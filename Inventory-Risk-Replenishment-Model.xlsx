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Project\"/>
    </mc:Choice>
  </mc:AlternateContent>
  <xr:revisionPtr revIDLastSave="0" documentId="13_ncr:1_{57F8B101-35A2-463D-B9B0-B8BC754D264A}" xr6:coauthVersionLast="47" xr6:coauthVersionMax="47" xr10:uidLastSave="{00000000-0000-0000-0000-000000000000}"/>
  <bookViews>
    <workbookView xWindow="-108" yWindow="-108" windowWidth="23256" windowHeight="12456" firstSheet="4" activeTab="5" xr2:uid="{00000000-000D-0000-FFFF-FFFF00000000}"/>
  </bookViews>
  <sheets>
    <sheet name="Model Overview" sheetId="16" r:id="rId1"/>
    <sheet name="Products" sheetId="2" r:id="rId2"/>
    <sheet name="Supplier Mapping" sheetId="3" r:id="rId3"/>
    <sheet name="Sales" sheetId="5" r:id="rId4"/>
    <sheet name="Inventory for Aug-31" sheetId="6" r:id="rId5"/>
    <sheet name="Inventory Risk" sheetId="13" r:id="rId6"/>
    <sheet name="Order First" sheetId="7" r:id="rId7"/>
    <sheet name="Need Plan to Order" sheetId="14" r:id="rId8"/>
    <sheet name="Monthly Sales Trend " sheetId="9" r:id="rId9"/>
    <sheet name="Top 10 Selling Products" sheetId="10" r:id="rId10"/>
    <sheet name="Store Analysis" sheetId="11" r:id="rId11"/>
  </sheets>
  <definedNames>
    <definedName name="_xlnm._FilterDatabase" localSheetId="7" hidden="1">'Need Plan to Order'!$B$2:$B$50</definedName>
    <definedName name="NativeTimeline_Sale_Date">#N/A</definedName>
    <definedName name="NativeTimeline_Sale_Date1">#N/A</definedName>
  </definedNames>
  <calcPr calcId="191029"/>
  <pivotCaches>
    <pivotCache cacheId="0" r:id="rId12"/>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3" l="1" a="1"/>
  <c r="K2" i="13" s="1"/>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D2" i="6" l="1"/>
  <c r="D3" i="6"/>
  <c r="D4" i="6"/>
  <c r="D5" i="6"/>
  <c r="D6" i="6"/>
  <c r="D7" i="6"/>
  <c r="G7" i="6" s="1"/>
  <c r="D8" i="6"/>
  <c r="G8" i="6" s="1"/>
  <c r="D9" i="6"/>
  <c r="G9" i="6" s="1"/>
  <c r="D10" i="6"/>
  <c r="D11" i="6"/>
  <c r="D12" i="6"/>
  <c r="D13" i="6"/>
  <c r="D14" i="6"/>
  <c r="G14" i="6" s="1"/>
  <c r="D15" i="6"/>
  <c r="G15" i="6" s="1"/>
  <c r="D16" i="6"/>
  <c r="G16" i="6" s="1"/>
  <c r="H16" i="6" s="1" a="1"/>
  <c r="H16" i="6" s="1"/>
  <c r="D17" i="6"/>
  <c r="G17" i="6" s="1"/>
  <c r="D18" i="6"/>
  <c r="D19" i="6"/>
  <c r="D20" i="6"/>
  <c r="D21" i="6"/>
  <c r="D22" i="6"/>
  <c r="G22" i="6" s="1"/>
  <c r="D23" i="6"/>
  <c r="G23" i="6" s="1"/>
  <c r="D24" i="6"/>
  <c r="G24" i="6" s="1"/>
  <c r="D25" i="6"/>
  <c r="G25" i="6" s="1"/>
  <c r="D26" i="6"/>
  <c r="D27" i="6"/>
  <c r="D28" i="6"/>
  <c r="D29" i="6"/>
  <c r="D30" i="6"/>
  <c r="G30" i="6" s="1"/>
  <c r="D31" i="6"/>
  <c r="G31" i="6" s="1"/>
  <c r="D32" i="6"/>
  <c r="G32" i="6" s="1"/>
  <c r="D33" i="6"/>
  <c r="G33" i="6" s="1"/>
  <c r="D34" i="6"/>
  <c r="D35" i="6"/>
  <c r="D36" i="6"/>
  <c r="D37" i="6"/>
  <c r="D38" i="6"/>
  <c r="G38" i="6" s="1"/>
  <c r="H38" i="6" s="1" a="1"/>
  <c r="H38" i="6" s="1"/>
  <c r="D39" i="6"/>
  <c r="G39" i="6" s="1"/>
  <c r="D40" i="6"/>
  <c r="G40" i="6" s="1"/>
  <c r="D41" i="6"/>
  <c r="G41" i="6" s="1"/>
  <c r="D42" i="6"/>
  <c r="D43" i="6"/>
  <c r="D44" i="6"/>
  <c r="D45" i="6"/>
  <c r="D46" i="6"/>
  <c r="G46" i="6" s="1"/>
  <c r="D47" i="6"/>
  <c r="G47" i="6" s="1"/>
  <c r="D48" i="6"/>
  <c r="D49" i="6"/>
  <c r="G49" i="6" s="1"/>
  <c r="D50" i="6"/>
  <c r="D51" i="6"/>
  <c r="D52" i="6"/>
  <c r="D53" i="6"/>
  <c r="G53" i="6" s="1"/>
  <c r="D54" i="6"/>
  <c r="G54" i="6" s="1"/>
  <c r="D55" i="6"/>
  <c r="G55" i="6" s="1"/>
  <c r="D56" i="6"/>
  <c r="D57" i="6"/>
  <c r="G57" i="6" s="1"/>
  <c r="D58" i="6"/>
  <c r="D59" i="6"/>
  <c r="D60" i="6"/>
  <c r="D61" i="6"/>
  <c r="D62" i="6"/>
  <c r="G62" i="6" s="1"/>
  <c r="D63" i="6"/>
  <c r="G63" i="6" s="1"/>
  <c r="D64" i="6"/>
  <c r="G64" i="6" s="1"/>
  <c r="D65" i="6"/>
  <c r="G65" i="6" s="1"/>
  <c r="D66" i="6"/>
  <c r="D67" i="6"/>
  <c r="D68" i="6"/>
  <c r="D69" i="6"/>
  <c r="D70" i="6"/>
  <c r="D71" i="6"/>
  <c r="G71" i="6" s="1"/>
  <c r="H71" i="6" s="1" a="1"/>
  <c r="H71" i="6" s="1"/>
  <c r="D72" i="6"/>
  <c r="G72" i="6" s="1"/>
  <c r="D73" i="6"/>
  <c r="G73" i="6" s="1"/>
  <c r="D74" i="6"/>
  <c r="D75" i="6"/>
  <c r="D76" i="6"/>
  <c r="D77" i="6"/>
  <c r="G77" i="6" s="1"/>
  <c r="H77" i="6" s="1" a="1"/>
  <c r="H77" i="6" s="1"/>
  <c r="D78" i="6"/>
  <c r="G78" i="6" s="1"/>
  <c r="H78" i="6" s="1" a="1"/>
  <c r="H78" i="6" s="1"/>
  <c r="D79" i="6"/>
  <c r="G79" i="6" s="1"/>
  <c r="D80" i="6"/>
  <c r="G80" i="6" s="1"/>
  <c r="D81" i="6"/>
  <c r="G81" i="6" s="1"/>
  <c r="D82" i="6"/>
  <c r="D83" i="6"/>
  <c r="D84" i="6"/>
  <c r="D85" i="6"/>
  <c r="D86" i="6"/>
  <c r="D87" i="6"/>
  <c r="D88" i="6"/>
  <c r="D89" i="6"/>
  <c r="G89" i="6" s="1"/>
  <c r="D90" i="6"/>
  <c r="D91" i="6"/>
  <c r="D92" i="6"/>
  <c r="D93" i="6"/>
  <c r="G93" i="6" s="1"/>
  <c r="D94" i="6"/>
  <c r="G94" i="6" s="1"/>
  <c r="H94" i="6" s="1" a="1"/>
  <c r="H94" i="6" s="1"/>
  <c r="D95" i="6"/>
  <c r="G95" i="6" s="1"/>
  <c r="D96" i="6"/>
  <c r="G96" i="6" s="1"/>
  <c r="D97" i="6"/>
  <c r="G97" i="6" s="1"/>
  <c r="D98" i="6"/>
  <c r="D99" i="6"/>
  <c r="D100" i="6"/>
  <c r="D101" i="6"/>
  <c r="D102" i="6"/>
  <c r="D103" i="6"/>
  <c r="G103" i="6" s="1"/>
  <c r="D104" i="6"/>
  <c r="G104" i="6" s="1"/>
  <c r="H104" i="6" s="1" a="1"/>
  <c r="H104" i="6" s="1"/>
  <c r="D105" i="6"/>
  <c r="G105" i="6" s="1"/>
  <c r="D106" i="6"/>
  <c r="D107" i="6"/>
  <c r="D108" i="6"/>
  <c r="D109" i="6"/>
  <c r="D110" i="6"/>
  <c r="D111" i="6"/>
  <c r="D112" i="6"/>
  <c r="G112" i="6" s="1"/>
  <c r="D113" i="6"/>
  <c r="G113" i="6" s="1"/>
  <c r="D114" i="6"/>
  <c r="D115" i="6"/>
  <c r="D116" i="6"/>
  <c r="D117" i="6"/>
  <c r="D118" i="6"/>
  <c r="D119" i="6"/>
  <c r="G119" i="6" s="1"/>
  <c r="D120" i="6"/>
  <c r="G120" i="6" s="1"/>
  <c r="D121" i="6"/>
  <c r="G121" i="6" s="1"/>
  <c r="D122" i="6"/>
  <c r="D123" i="6"/>
  <c r="D124" i="6"/>
  <c r="D125" i="6"/>
  <c r="D126" i="6"/>
  <c r="D127" i="6"/>
  <c r="D128" i="6"/>
  <c r="G128" i="6" s="1"/>
  <c r="D129" i="6"/>
  <c r="G129" i="6" s="1"/>
  <c r="D130" i="6"/>
  <c r="D131" i="6"/>
  <c r="D132" i="6"/>
  <c r="D133" i="6"/>
  <c r="G133" i="6" s="1"/>
  <c r="H133" i="6" s="1" a="1"/>
  <c r="H133" i="6" s="1"/>
  <c r="D134" i="6"/>
  <c r="G134" i="6" s="1"/>
  <c r="D135" i="6"/>
  <c r="G135" i="6" s="1"/>
  <c r="D136" i="6"/>
  <c r="G136" i="6" s="1"/>
  <c r="D137" i="6"/>
  <c r="G137" i="6" s="1"/>
  <c r="D138" i="6"/>
  <c r="D139" i="6"/>
  <c r="D140" i="6"/>
  <c r="D141" i="6"/>
  <c r="D142" i="6"/>
  <c r="G142" i="6" s="1"/>
  <c r="D143" i="6"/>
  <c r="G143" i="6" s="1"/>
  <c r="H143" i="6" s="1" a="1"/>
  <c r="H143" i="6" s="1"/>
  <c r="D144" i="6"/>
  <c r="G144" i="6" s="1"/>
  <c r="D145" i="6"/>
  <c r="G145" i="6" s="1"/>
  <c r="D146" i="6"/>
  <c r="D147" i="6"/>
  <c r="D148" i="6"/>
  <c r="D149" i="6"/>
  <c r="G149" i="6" s="1"/>
  <c r="D150" i="6"/>
  <c r="G150" i="6" s="1"/>
  <c r="D151" i="6"/>
  <c r="G151" i="6" s="1"/>
  <c r="D152" i="6"/>
  <c r="G152" i="6" s="1"/>
  <c r="D153" i="6"/>
  <c r="G153" i="6" s="1"/>
  <c r="H153" i="6" s="1" a="1"/>
  <c r="H153" i="6" s="1"/>
  <c r="D154" i="6"/>
  <c r="D155" i="6"/>
  <c r="D156" i="6"/>
  <c r="D157" i="6"/>
  <c r="G157" i="6" s="1"/>
  <c r="D158" i="6"/>
  <c r="D159" i="6"/>
  <c r="D160" i="6"/>
  <c r="D161" i="6"/>
  <c r="G161" i="6" s="1"/>
  <c r="D162" i="6"/>
  <c r="D163" i="6"/>
  <c r="G163" i="6" s="1"/>
  <c r="H163" i="6" s="1" a="1"/>
  <c r="H163" i="6" s="1"/>
  <c r="D164" i="6"/>
  <c r="D165" i="6"/>
  <c r="D166" i="6"/>
  <c r="D167" i="6"/>
  <c r="D168" i="6"/>
  <c r="G168" i="6" s="1"/>
  <c r="D169" i="6"/>
  <c r="G169" i="6" s="1"/>
  <c r="H169" i="6" s="1" a="1"/>
  <c r="H169" i="6" s="1"/>
  <c r="D170" i="6"/>
  <c r="D171" i="6"/>
  <c r="D172" i="6"/>
  <c r="D173" i="6"/>
  <c r="G173" i="6" s="1"/>
  <c r="D174" i="6"/>
  <c r="G174" i="6" s="1"/>
  <c r="D175" i="6"/>
  <c r="G175" i="6" s="1"/>
  <c r="H175" i="6" s="1" a="1"/>
  <c r="H175" i="6" s="1"/>
  <c r="D176" i="6"/>
  <c r="G176" i="6" s="1"/>
  <c r="D177" i="6"/>
  <c r="G177" i="6" s="1"/>
  <c r="D178" i="6"/>
  <c r="D179" i="6"/>
  <c r="D180" i="6"/>
  <c r="D181" i="6"/>
  <c r="D182" i="6"/>
  <c r="D183" i="6"/>
  <c r="G183" i="6" s="1"/>
  <c r="D184" i="6"/>
  <c r="G184" i="6" s="1"/>
  <c r="D185" i="6"/>
  <c r="G185" i="6" s="1"/>
  <c r="D186" i="6"/>
  <c r="D187" i="6"/>
  <c r="G187" i="6" s="1"/>
  <c r="D188" i="6"/>
  <c r="D189" i="6"/>
  <c r="G189" i="6" s="1"/>
  <c r="D190" i="6"/>
  <c r="G190" i="6" s="1"/>
  <c r="D191" i="6"/>
  <c r="D192" i="6"/>
  <c r="G192" i="6" s="1"/>
  <c r="D193" i="6"/>
  <c r="G193" i="6" s="1"/>
  <c r="D194" i="6"/>
  <c r="D195" i="6"/>
  <c r="D196" i="6"/>
  <c r="D197" i="6"/>
  <c r="D198" i="6"/>
  <c r="G198" i="6" s="1"/>
  <c r="H198" i="6" s="1" a="1"/>
  <c r="H198" i="6" s="1"/>
  <c r="D199" i="6"/>
  <c r="G199" i="6" s="1"/>
  <c r="D200" i="6"/>
  <c r="G200" i="6" s="1"/>
  <c r="D201" i="6"/>
  <c r="G201" i="6" s="1"/>
  <c r="H2" i="6" a="1"/>
  <c r="H2" i="6" s="1"/>
  <c r="H8" i="6" a="1"/>
  <c r="H8" i="6" s="1"/>
  <c r="H9" i="6" a="1"/>
  <c r="H9" i="6" s="1"/>
  <c r="H24" i="6" a="1"/>
  <c r="H24" i="6" s="1"/>
  <c r="H25" i="6" a="1"/>
  <c r="H25" i="6" s="1"/>
  <c r="H30" i="6" a="1"/>
  <c r="H30" i="6" s="1"/>
  <c r="H33" i="6" a="1"/>
  <c r="H33" i="6" s="1"/>
  <c r="H37" i="6" a="1"/>
  <c r="H37" i="6" s="1"/>
  <c r="H39" i="6" a="1"/>
  <c r="H39" i="6" s="1"/>
  <c r="H47" i="6" a="1"/>
  <c r="H47" i="6" s="1"/>
  <c r="H55" i="6" a="1"/>
  <c r="H55" i="6" s="1"/>
  <c r="H64" i="6" a="1"/>
  <c r="H64" i="6" s="1"/>
  <c r="H65" i="6" a="1"/>
  <c r="H65" i="6" s="1"/>
  <c r="H73" i="6" a="1"/>
  <c r="H73" i="6" s="1"/>
  <c r="H80" i="6" a="1"/>
  <c r="H80" i="6" s="1"/>
  <c r="H81" i="6" a="1"/>
  <c r="H81" i="6" s="1"/>
  <c r="H91" i="6" a="1"/>
  <c r="H91" i="6" s="1"/>
  <c r="H95" i="6" a="1"/>
  <c r="H95" i="6" s="1"/>
  <c r="H103" i="6" a="1"/>
  <c r="H103" i="6" s="1"/>
  <c r="H119" i="6" a="1"/>
  <c r="H119" i="6" s="1"/>
  <c r="H121" i="6" a="1"/>
  <c r="H121" i="6" s="1"/>
  <c r="H122" i="6" a="1"/>
  <c r="H122" i="6" s="1"/>
  <c r="H134" i="6" a="1"/>
  <c r="H134" i="6" s="1"/>
  <c r="H142" i="6" a="1"/>
  <c r="H142" i="6" s="1"/>
  <c r="H145" i="6" a="1"/>
  <c r="H145" i="6" s="1"/>
  <c r="H150" i="6" a="1"/>
  <c r="H150" i="6" s="1"/>
  <c r="H161" i="6" a="1"/>
  <c r="H161" i="6" s="1"/>
  <c r="H171" i="6" a="1"/>
  <c r="H171" i="6" s="1"/>
  <c r="H174" i="6" a="1"/>
  <c r="H174" i="6" s="1"/>
  <c r="H181" i="6" a="1"/>
  <c r="H181" i="6" s="1"/>
  <c r="H179" i="6" a="1"/>
  <c r="H179" i="6" s="1"/>
  <c r="H178" i="6" a="1"/>
  <c r="H178" i="6" s="1"/>
  <c r="H170" i="6" a="1"/>
  <c r="H170" i="6" s="1"/>
  <c r="H162" i="6" a="1"/>
  <c r="H162" i="6" s="1"/>
  <c r="H149" i="6" a="1"/>
  <c r="H149" i="6" s="1"/>
  <c r="H146" i="6" a="1"/>
  <c r="H146" i="6" s="1"/>
  <c r="H140" i="6" a="1"/>
  <c r="H140" i="6" s="1"/>
  <c r="H138" i="6" a="1"/>
  <c r="H138" i="6" s="1"/>
  <c r="H116" i="6" a="1"/>
  <c r="H116" i="6" s="1"/>
  <c r="H115" i="6" a="1"/>
  <c r="H115" i="6" s="1"/>
  <c r="H110" i="6" a="1"/>
  <c r="H110" i="6" s="1"/>
  <c r="H108" i="6" a="1"/>
  <c r="H108" i="6" s="1"/>
  <c r="H107" i="6" a="1"/>
  <c r="H107" i="6" s="1"/>
  <c r="H92" i="6" a="1"/>
  <c r="H92" i="6" s="1"/>
  <c r="H74" i="6" a="1"/>
  <c r="H74" i="6" s="1"/>
  <c r="H68" i="6" a="1"/>
  <c r="H68" i="6" s="1"/>
  <c r="H60" i="6" a="1"/>
  <c r="H60" i="6" s="1"/>
  <c r="H51" i="6" a="1"/>
  <c r="H51" i="6" s="1"/>
  <c r="H50" i="6" a="1"/>
  <c r="H50" i="6" s="1"/>
  <c r="H29" i="6" a="1"/>
  <c r="H29" i="6" s="1"/>
  <c r="H27" i="6" a="1"/>
  <c r="H27" i="6" s="1"/>
  <c r="H20" i="6" a="1"/>
  <c r="H20" i="6" s="1"/>
  <c r="H13" i="6" a="1"/>
  <c r="H13" i="6" s="1"/>
  <c r="H12" i="6" a="1"/>
  <c r="H12" i="6" s="1"/>
  <c r="H11" i="6" a="1"/>
  <c r="H11" i="6" s="1"/>
  <c r="H3" i="6" a="1"/>
  <c r="H3" i="6" s="1"/>
  <c r="G21" i="6"/>
  <c r="H21" i="6" s="1" a="1"/>
  <c r="H21" i="6" s="1"/>
  <c r="G48" i="6"/>
  <c r="H48" i="6" s="1" a="1"/>
  <c r="H48" i="6" s="1"/>
  <c r="G56" i="6"/>
  <c r="G85" i="6"/>
  <c r="H85" i="6" s="1" a="1"/>
  <c r="H85" i="6" s="1"/>
  <c r="G86" i="6"/>
  <c r="G87" i="6"/>
  <c r="G88" i="6"/>
  <c r="H88" i="6" s="1" a="1"/>
  <c r="H88" i="6" s="1"/>
  <c r="G117" i="6"/>
  <c r="G118" i="6"/>
  <c r="G126" i="6"/>
  <c r="H126" i="6" s="1" a="1"/>
  <c r="H126" i="6" s="1"/>
  <c r="G127" i="6"/>
  <c r="H127" i="6" s="1" a="1"/>
  <c r="H127" i="6" s="1"/>
  <c r="G158" i="6"/>
  <c r="G159" i="6"/>
  <c r="G172" i="6"/>
  <c r="H172" i="6" s="1" a="1"/>
  <c r="H172" i="6" s="1"/>
  <c r="G181" i="6"/>
  <c r="G182" i="6"/>
  <c r="G191" i="6"/>
  <c r="H191" i="6" s="1" a="1"/>
  <c r="H191" i="6" s="1"/>
  <c r="G160" i="6"/>
  <c r="G2" i="6"/>
  <c r="G3" i="6"/>
  <c r="G4" i="6"/>
  <c r="H4" i="6" s="1" a="1"/>
  <c r="H4" i="6" s="1"/>
  <c r="G5" i="6"/>
  <c r="H5" i="6" s="1" a="1"/>
  <c r="H5" i="6" s="1"/>
  <c r="G6" i="6"/>
  <c r="H6" i="6" s="1" a="1"/>
  <c r="H6" i="6" s="1"/>
  <c r="G10" i="6"/>
  <c r="H10" i="6" s="1" a="1"/>
  <c r="H10" i="6" s="1"/>
  <c r="G11" i="6"/>
  <c r="G12" i="6"/>
  <c r="G13" i="6"/>
  <c r="G18" i="6"/>
  <c r="H18" i="6" s="1" a="1"/>
  <c r="H18" i="6" s="1"/>
  <c r="G19" i="6"/>
  <c r="H19" i="6" s="1" a="1"/>
  <c r="H19" i="6" s="1"/>
  <c r="G20" i="6"/>
  <c r="G26" i="6"/>
  <c r="H26" i="6" s="1" a="1"/>
  <c r="H26" i="6" s="1"/>
  <c r="G27" i="6"/>
  <c r="G28" i="6"/>
  <c r="H28" i="6" s="1" a="1"/>
  <c r="H28" i="6" s="1"/>
  <c r="G29" i="6"/>
  <c r="G34" i="6"/>
  <c r="H34" i="6" s="1" a="1"/>
  <c r="H34" i="6" s="1"/>
  <c r="G35" i="6"/>
  <c r="H35" i="6" s="1" a="1"/>
  <c r="H35" i="6" s="1"/>
  <c r="G36" i="6"/>
  <c r="H36" i="6" s="1" a="1"/>
  <c r="H36" i="6" s="1"/>
  <c r="G37" i="6"/>
  <c r="G42" i="6"/>
  <c r="H42" i="6" s="1" a="1"/>
  <c r="H42" i="6" s="1"/>
  <c r="G43" i="6"/>
  <c r="H43" i="6" s="1" a="1"/>
  <c r="H43" i="6" s="1"/>
  <c r="G44" i="6"/>
  <c r="H44" i="6" s="1" a="1"/>
  <c r="H44" i="6" s="1"/>
  <c r="G45" i="6"/>
  <c r="H45" i="6" s="1" a="1"/>
  <c r="H45" i="6" s="1"/>
  <c r="G50" i="6"/>
  <c r="G51" i="6"/>
  <c r="G52" i="6"/>
  <c r="H52" i="6" s="1" a="1"/>
  <c r="H52" i="6" s="1"/>
  <c r="G58" i="6"/>
  <c r="H58" i="6" s="1" a="1"/>
  <c r="H58" i="6" s="1"/>
  <c r="G59" i="6"/>
  <c r="H59" i="6" s="1" a="1"/>
  <c r="H59" i="6" s="1"/>
  <c r="G60" i="6"/>
  <c r="G61" i="6"/>
  <c r="H61" i="6" s="1" a="1"/>
  <c r="H61" i="6" s="1"/>
  <c r="G66" i="6"/>
  <c r="H66" i="6" s="1" a="1"/>
  <c r="H66" i="6" s="1"/>
  <c r="G67" i="6"/>
  <c r="G68" i="6"/>
  <c r="G69" i="6"/>
  <c r="H69" i="6" s="1" a="1"/>
  <c r="H69" i="6" s="1"/>
  <c r="G70" i="6"/>
  <c r="G74" i="6"/>
  <c r="G75" i="6"/>
  <c r="H75" i="6" s="1" a="1"/>
  <c r="H75" i="6" s="1"/>
  <c r="G76" i="6"/>
  <c r="G82" i="6"/>
  <c r="H82" i="6" s="1" a="1"/>
  <c r="H82" i="6" s="1"/>
  <c r="G83" i="6"/>
  <c r="H83" i="6" s="1" a="1"/>
  <c r="H83" i="6" s="1"/>
  <c r="G84" i="6"/>
  <c r="H84" i="6" s="1" a="1"/>
  <c r="H84" i="6" s="1"/>
  <c r="G90" i="6"/>
  <c r="H90" i="6" s="1" a="1"/>
  <c r="H90" i="6" s="1"/>
  <c r="G91" i="6"/>
  <c r="G92" i="6"/>
  <c r="G98" i="6"/>
  <c r="H98" i="6" s="1" a="1"/>
  <c r="H98" i="6" s="1"/>
  <c r="G99" i="6"/>
  <c r="H99" i="6" s="1" a="1"/>
  <c r="H99" i="6" s="1"/>
  <c r="G100" i="6"/>
  <c r="H100" i="6" s="1" a="1"/>
  <c r="H100" i="6" s="1"/>
  <c r="G101" i="6"/>
  <c r="H101" i="6" s="1" a="1"/>
  <c r="H101" i="6" s="1"/>
  <c r="G102" i="6"/>
  <c r="G106" i="6"/>
  <c r="H106" i="6" s="1" a="1"/>
  <c r="H106" i="6" s="1"/>
  <c r="G107" i="6"/>
  <c r="G108" i="6"/>
  <c r="G109" i="6"/>
  <c r="G110" i="6"/>
  <c r="G111" i="6"/>
  <c r="H111" i="6" s="1" a="1"/>
  <c r="H111" i="6" s="1"/>
  <c r="G114" i="6"/>
  <c r="H114" i="6" s="1" a="1"/>
  <c r="H114" i="6" s="1"/>
  <c r="G115" i="6"/>
  <c r="G116" i="6"/>
  <c r="G122" i="6"/>
  <c r="G123" i="6"/>
  <c r="H123" i="6" s="1" a="1"/>
  <c r="H123" i="6" s="1"/>
  <c r="G124" i="6"/>
  <c r="H124" i="6" s="1" a="1"/>
  <c r="H124" i="6" s="1"/>
  <c r="G125" i="6"/>
  <c r="G130" i="6"/>
  <c r="H130" i="6" s="1" a="1"/>
  <c r="H130" i="6" s="1"/>
  <c r="G131" i="6"/>
  <c r="G132" i="6"/>
  <c r="H132" i="6" s="1" a="1"/>
  <c r="H132" i="6" s="1"/>
  <c r="G138" i="6"/>
  <c r="G139" i="6"/>
  <c r="H139" i="6" s="1" a="1"/>
  <c r="H139" i="6" s="1"/>
  <c r="G140" i="6"/>
  <c r="G141" i="6"/>
  <c r="G146" i="6"/>
  <c r="G147" i="6"/>
  <c r="G148" i="6"/>
  <c r="H148" i="6" s="1" a="1"/>
  <c r="H148" i="6" s="1"/>
  <c r="G154" i="6"/>
  <c r="H154" i="6" s="1" a="1"/>
  <c r="H154" i="6" s="1"/>
  <c r="G155" i="6"/>
  <c r="G156" i="6"/>
  <c r="G162" i="6"/>
  <c r="G164" i="6"/>
  <c r="H164" i="6" s="1" a="1"/>
  <c r="H164" i="6" s="1"/>
  <c r="G165" i="6"/>
  <c r="H165" i="6" s="1" a="1"/>
  <c r="H165" i="6" s="1"/>
  <c r="G166" i="6"/>
  <c r="H166" i="6" s="1" a="1"/>
  <c r="H166" i="6" s="1"/>
  <c r="G167" i="6"/>
  <c r="G170" i="6"/>
  <c r="G171" i="6"/>
  <c r="G178" i="6"/>
  <c r="G179" i="6"/>
  <c r="G180" i="6"/>
  <c r="H180" i="6" s="1" a="1"/>
  <c r="H180" i="6" s="1"/>
  <c r="G186" i="6"/>
  <c r="H186" i="6" s="1" a="1"/>
  <c r="H186" i="6" s="1"/>
  <c r="G188" i="6"/>
  <c r="H188" i="6" s="1" a="1"/>
  <c r="H188" i="6" s="1"/>
  <c r="G194" i="6"/>
  <c r="H194" i="6" s="1" a="1"/>
  <c r="H194" i="6" s="1"/>
  <c r="G195" i="6"/>
  <c r="H195" i="6" s="1" a="1"/>
  <c r="H195" i="6" s="1"/>
  <c r="G196" i="6"/>
  <c r="G197" i="6"/>
  <c r="H197" i="6" s="1" a="1"/>
  <c r="H197" i="6" s="1"/>
  <c r="J1801" i="5"/>
  <c r="J1800" i="5"/>
  <c r="J1799" i="5"/>
  <c r="J1798" i="5"/>
  <c r="J1797" i="5"/>
  <c r="J1796" i="5"/>
  <c r="J1795" i="5"/>
  <c r="J1794" i="5"/>
  <c r="J1793" i="5"/>
  <c r="J1792" i="5"/>
  <c r="J1791" i="5"/>
  <c r="J1790" i="5"/>
  <c r="J1789" i="5"/>
  <c r="J1788" i="5"/>
  <c r="J1787" i="5"/>
  <c r="J1786" i="5"/>
  <c r="J1785" i="5"/>
  <c r="J1784" i="5"/>
  <c r="J1783" i="5"/>
  <c r="J1782" i="5"/>
  <c r="J1781" i="5"/>
  <c r="J1780" i="5"/>
  <c r="J1779" i="5"/>
  <c r="J1778" i="5"/>
  <c r="J1777" i="5"/>
  <c r="J1776" i="5"/>
  <c r="J1775" i="5"/>
  <c r="J1774" i="5"/>
  <c r="J1773" i="5"/>
  <c r="J1772" i="5"/>
  <c r="J1771" i="5"/>
  <c r="J1770" i="5"/>
  <c r="J1769" i="5"/>
  <c r="J1768" i="5"/>
  <c r="J1767" i="5"/>
  <c r="J1766" i="5"/>
  <c r="J1765" i="5"/>
  <c r="J1764" i="5"/>
  <c r="J1763" i="5"/>
  <c r="J1762" i="5"/>
  <c r="J1761" i="5"/>
  <c r="J1760" i="5"/>
  <c r="J1759" i="5"/>
  <c r="J1758" i="5"/>
  <c r="J1757" i="5"/>
  <c r="J1756" i="5"/>
  <c r="J1755" i="5"/>
  <c r="J1754" i="5"/>
  <c r="J1753" i="5"/>
  <c r="J1752" i="5"/>
  <c r="J1751" i="5"/>
  <c r="J1750" i="5"/>
  <c r="J1749" i="5"/>
  <c r="J1748" i="5"/>
  <c r="J1747" i="5"/>
  <c r="J1746" i="5"/>
  <c r="J1745" i="5"/>
  <c r="J1744" i="5"/>
  <c r="J1743" i="5"/>
  <c r="J1742" i="5"/>
  <c r="J1741" i="5"/>
  <c r="J1740" i="5"/>
  <c r="J1739" i="5"/>
  <c r="J1738" i="5"/>
  <c r="J1737" i="5"/>
  <c r="J1736" i="5"/>
  <c r="J1735" i="5"/>
  <c r="J1734" i="5"/>
  <c r="J1733" i="5"/>
  <c r="J1732" i="5"/>
  <c r="J1731" i="5"/>
  <c r="J1730" i="5"/>
  <c r="J1729" i="5"/>
  <c r="J1728" i="5"/>
  <c r="J1727" i="5"/>
  <c r="J1726" i="5"/>
  <c r="J1725" i="5"/>
  <c r="J1724" i="5"/>
  <c r="J1723" i="5"/>
  <c r="J1722" i="5"/>
  <c r="J1721" i="5"/>
  <c r="J1720" i="5"/>
  <c r="J1719" i="5"/>
  <c r="J1718" i="5"/>
  <c r="J1717" i="5"/>
  <c r="J1716" i="5"/>
  <c r="J1715" i="5"/>
  <c r="J1714" i="5"/>
  <c r="J1713" i="5"/>
  <c r="J1712" i="5"/>
  <c r="J1711" i="5"/>
  <c r="J1710" i="5"/>
  <c r="J1709" i="5"/>
  <c r="J1708" i="5"/>
  <c r="J1707" i="5"/>
  <c r="J1706" i="5"/>
  <c r="J1705" i="5"/>
  <c r="J1704" i="5"/>
  <c r="J1703" i="5"/>
  <c r="J1702" i="5"/>
  <c r="J1701" i="5"/>
  <c r="J1700" i="5"/>
  <c r="J1699" i="5"/>
  <c r="J1698" i="5"/>
  <c r="J1697" i="5"/>
  <c r="J1696" i="5"/>
  <c r="J1695" i="5"/>
  <c r="J1694" i="5"/>
  <c r="J1693" i="5"/>
  <c r="J1692" i="5"/>
  <c r="J1691" i="5"/>
  <c r="J1690" i="5"/>
  <c r="J1689" i="5"/>
  <c r="J1688" i="5"/>
  <c r="J1687" i="5"/>
  <c r="J1686" i="5"/>
  <c r="J1685" i="5"/>
  <c r="J1684" i="5"/>
  <c r="J1683" i="5"/>
  <c r="J1682" i="5"/>
  <c r="J1681" i="5"/>
  <c r="J1680" i="5"/>
  <c r="J1679" i="5"/>
  <c r="J1678" i="5"/>
  <c r="J1677" i="5"/>
  <c r="J1676" i="5"/>
  <c r="J1675" i="5"/>
  <c r="J1674" i="5"/>
  <c r="J1673" i="5"/>
  <c r="J1672" i="5"/>
  <c r="J1671" i="5"/>
  <c r="J1670" i="5"/>
  <c r="J1669" i="5"/>
  <c r="J1668" i="5"/>
  <c r="J1667" i="5"/>
  <c r="J1666" i="5"/>
  <c r="J1665" i="5"/>
  <c r="J1664" i="5"/>
  <c r="J1663" i="5"/>
  <c r="J1662" i="5"/>
  <c r="J1661" i="5"/>
  <c r="J1660" i="5"/>
  <c r="J1659" i="5"/>
  <c r="J1658" i="5"/>
  <c r="J1657" i="5"/>
  <c r="J1656" i="5"/>
  <c r="J1655" i="5"/>
  <c r="J1654" i="5"/>
  <c r="J1653" i="5"/>
  <c r="J1652" i="5"/>
  <c r="J1651" i="5"/>
  <c r="J1650" i="5"/>
  <c r="J1649" i="5"/>
  <c r="J1648" i="5"/>
  <c r="J1647" i="5"/>
  <c r="J1646" i="5"/>
  <c r="J1645" i="5"/>
  <c r="J1644" i="5"/>
  <c r="J1643" i="5"/>
  <c r="J1642" i="5"/>
  <c r="J1641" i="5"/>
  <c r="J1640" i="5"/>
  <c r="J1639" i="5"/>
  <c r="J1638" i="5"/>
  <c r="J1637" i="5"/>
  <c r="J1636" i="5"/>
  <c r="J1635" i="5"/>
  <c r="J1634" i="5"/>
  <c r="J1633" i="5"/>
  <c r="J1632" i="5"/>
  <c r="J1631" i="5"/>
  <c r="J1630" i="5"/>
  <c r="J1629" i="5"/>
  <c r="J1628" i="5"/>
  <c r="J1627" i="5"/>
  <c r="J1626" i="5"/>
  <c r="J1625" i="5"/>
  <c r="J1624" i="5"/>
  <c r="J1623" i="5"/>
  <c r="J1622" i="5"/>
  <c r="J1621" i="5"/>
  <c r="J1620" i="5"/>
  <c r="J1619" i="5"/>
  <c r="J1618" i="5"/>
  <c r="J1617" i="5"/>
  <c r="J1616" i="5"/>
  <c r="J1615" i="5"/>
  <c r="J1614" i="5"/>
  <c r="J1613" i="5"/>
  <c r="J1612" i="5"/>
  <c r="J1611" i="5"/>
  <c r="J1610" i="5"/>
  <c r="J1609" i="5"/>
  <c r="J1608" i="5"/>
  <c r="J1607" i="5"/>
  <c r="J1606" i="5"/>
  <c r="J1605" i="5"/>
  <c r="J1604" i="5"/>
  <c r="J1603" i="5"/>
  <c r="J1602" i="5"/>
  <c r="J1601" i="5"/>
  <c r="J1600" i="5"/>
  <c r="J1599" i="5"/>
  <c r="J1598" i="5"/>
  <c r="J1597" i="5"/>
  <c r="J1596" i="5"/>
  <c r="J1595" i="5"/>
  <c r="J1594" i="5"/>
  <c r="J1593" i="5"/>
  <c r="J1592" i="5"/>
  <c r="J1591" i="5"/>
  <c r="J1590" i="5"/>
  <c r="J1589" i="5"/>
  <c r="J1588" i="5"/>
  <c r="J1587" i="5"/>
  <c r="J1586" i="5"/>
  <c r="J1585" i="5"/>
  <c r="J1584" i="5"/>
  <c r="J1583" i="5"/>
  <c r="J1582" i="5"/>
  <c r="J1581" i="5"/>
  <c r="J1580" i="5"/>
  <c r="J1579" i="5"/>
  <c r="J1578" i="5"/>
  <c r="J1577" i="5"/>
  <c r="J1576" i="5"/>
  <c r="J1575" i="5"/>
  <c r="J1574" i="5"/>
  <c r="J1573" i="5"/>
  <c r="J1572" i="5"/>
  <c r="J1571" i="5"/>
  <c r="J1570" i="5"/>
  <c r="J1569" i="5"/>
  <c r="J1568" i="5"/>
  <c r="J1567" i="5"/>
  <c r="J1566" i="5"/>
  <c r="J1565" i="5"/>
  <c r="J1564" i="5"/>
  <c r="J1563" i="5"/>
  <c r="J1562" i="5"/>
  <c r="J1561" i="5"/>
  <c r="J1560" i="5"/>
  <c r="J1559" i="5"/>
  <c r="J1558" i="5"/>
  <c r="J1557" i="5"/>
  <c r="J1556" i="5"/>
  <c r="J1555" i="5"/>
  <c r="J1554" i="5"/>
  <c r="J1553" i="5"/>
  <c r="J1552" i="5"/>
  <c r="J1551" i="5"/>
  <c r="J1550" i="5"/>
  <c r="J1549" i="5"/>
  <c r="J1548" i="5"/>
  <c r="J1547" i="5"/>
  <c r="J1546" i="5"/>
  <c r="J1545" i="5"/>
  <c r="J1544" i="5"/>
  <c r="J1543" i="5"/>
  <c r="J1542" i="5"/>
  <c r="J1541" i="5"/>
  <c r="J1540" i="5"/>
  <c r="J1539" i="5"/>
  <c r="J1538" i="5"/>
  <c r="J1537" i="5"/>
  <c r="J1536" i="5"/>
  <c r="J1535" i="5"/>
  <c r="J1534" i="5"/>
  <c r="J1533" i="5"/>
  <c r="J1532" i="5"/>
  <c r="J1531" i="5"/>
  <c r="J1530" i="5"/>
  <c r="J1529" i="5"/>
  <c r="J1528" i="5"/>
  <c r="J1527" i="5"/>
  <c r="J1526" i="5"/>
  <c r="J1525" i="5"/>
  <c r="J1524" i="5"/>
  <c r="J1523" i="5"/>
  <c r="J1522" i="5"/>
  <c r="J1521" i="5"/>
  <c r="J1520" i="5"/>
  <c r="J1519" i="5"/>
  <c r="J1518" i="5"/>
  <c r="J1517" i="5"/>
  <c r="J1516" i="5"/>
  <c r="J1515" i="5"/>
  <c r="J1514" i="5"/>
  <c r="J1513" i="5"/>
  <c r="J1512" i="5"/>
  <c r="J1511" i="5"/>
  <c r="J1510" i="5"/>
  <c r="J1509" i="5"/>
  <c r="J1508" i="5"/>
  <c r="J1507" i="5"/>
  <c r="J1506" i="5"/>
  <c r="J1505" i="5"/>
  <c r="J1504" i="5"/>
  <c r="J1503" i="5"/>
  <c r="J1502" i="5"/>
  <c r="J1501" i="5"/>
  <c r="J1500" i="5"/>
  <c r="J1499" i="5"/>
  <c r="J1498" i="5"/>
  <c r="J1497" i="5"/>
  <c r="J1496" i="5"/>
  <c r="J1495" i="5"/>
  <c r="J1494" i="5"/>
  <c r="J1493" i="5"/>
  <c r="J1492" i="5"/>
  <c r="J1491" i="5"/>
  <c r="J1490" i="5"/>
  <c r="J1489" i="5"/>
  <c r="J1488" i="5"/>
  <c r="J1487" i="5"/>
  <c r="J1486" i="5"/>
  <c r="J1485" i="5"/>
  <c r="J1484" i="5"/>
  <c r="J1483" i="5"/>
  <c r="J1482" i="5"/>
  <c r="J1481" i="5"/>
  <c r="J1480" i="5"/>
  <c r="J1479" i="5"/>
  <c r="J1478" i="5"/>
  <c r="J1477" i="5"/>
  <c r="J1476" i="5"/>
  <c r="J1475" i="5"/>
  <c r="J1474" i="5"/>
  <c r="J1473" i="5"/>
  <c r="J1472" i="5"/>
  <c r="J1471" i="5"/>
  <c r="J1470" i="5"/>
  <c r="J1469" i="5"/>
  <c r="J1468" i="5"/>
  <c r="J1467" i="5"/>
  <c r="J1466" i="5"/>
  <c r="J1465" i="5"/>
  <c r="J1464" i="5"/>
  <c r="J1463" i="5"/>
  <c r="J1462" i="5"/>
  <c r="J1461" i="5"/>
  <c r="J1460" i="5"/>
  <c r="J1459" i="5"/>
  <c r="J1458" i="5"/>
  <c r="J1457" i="5"/>
  <c r="J1456" i="5"/>
  <c r="J1455" i="5"/>
  <c r="J1454" i="5"/>
  <c r="J1453" i="5"/>
  <c r="J1452" i="5"/>
  <c r="J1451" i="5"/>
  <c r="J1450" i="5"/>
  <c r="J1449" i="5"/>
  <c r="J1448" i="5"/>
  <c r="J1447" i="5"/>
  <c r="J1446" i="5"/>
  <c r="J1445" i="5"/>
  <c r="J1444" i="5"/>
  <c r="J1443" i="5"/>
  <c r="J1442" i="5"/>
  <c r="J1441" i="5"/>
  <c r="J1440" i="5"/>
  <c r="J1439" i="5"/>
  <c r="J1438" i="5"/>
  <c r="J1437" i="5"/>
  <c r="J1436" i="5"/>
  <c r="J1435" i="5"/>
  <c r="J1434" i="5"/>
  <c r="J1433" i="5"/>
  <c r="J1432" i="5"/>
  <c r="J1431" i="5"/>
  <c r="J1430" i="5"/>
  <c r="J1429" i="5"/>
  <c r="J1428" i="5"/>
  <c r="J1427" i="5"/>
  <c r="J1426" i="5"/>
  <c r="J1425" i="5"/>
  <c r="J1424" i="5"/>
  <c r="J1423" i="5"/>
  <c r="J1422" i="5"/>
  <c r="J1421" i="5"/>
  <c r="J1420" i="5"/>
  <c r="J1419" i="5"/>
  <c r="J1418" i="5"/>
  <c r="J1417" i="5"/>
  <c r="J1416" i="5"/>
  <c r="J1415" i="5"/>
  <c r="J1414" i="5"/>
  <c r="J1413" i="5"/>
  <c r="J1412" i="5"/>
  <c r="J1411" i="5"/>
  <c r="J1410" i="5"/>
  <c r="J1409" i="5"/>
  <c r="J1408" i="5"/>
  <c r="J1407" i="5"/>
  <c r="J1406" i="5"/>
  <c r="J1405" i="5"/>
  <c r="J1404" i="5"/>
  <c r="J1403" i="5"/>
  <c r="J1402" i="5"/>
  <c r="J1401" i="5"/>
  <c r="J1400" i="5"/>
  <c r="J1399" i="5"/>
  <c r="J1398" i="5"/>
  <c r="J1397" i="5"/>
  <c r="J1396" i="5"/>
  <c r="J1395" i="5"/>
  <c r="J1394" i="5"/>
  <c r="J1393" i="5"/>
  <c r="J1392" i="5"/>
  <c r="J1391" i="5"/>
  <c r="J1390" i="5"/>
  <c r="J1389" i="5"/>
  <c r="J1388" i="5"/>
  <c r="J1387" i="5"/>
  <c r="J1386" i="5"/>
  <c r="J1385" i="5"/>
  <c r="J1384" i="5"/>
  <c r="J1383" i="5"/>
  <c r="J1382" i="5"/>
  <c r="J1381" i="5"/>
  <c r="J1380" i="5"/>
  <c r="J1379" i="5"/>
  <c r="J1378" i="5"/>
  <c r="J1377" i="5"/>
  <c r="J1376" i="5"/>
  <c r="J1375" i="5"/>
  <c r="J1374" i="5"/>
  <c r="J1373" i="5"/>
  <c r="J1372" i="5"/>
  <c r="J1371" i="5"/>
  <c r="J1370" i="5"/>
  <c r="J1369" i="5"/>
  <c r="J1368" i="5"/>
  <c r="J1367" i="5"/>
  <c r="J1366" i="5"/>
  <c r="J1365" i="5"/>
  <c r="J1364" i="5"/>
  <c r="J1363" i="5"/>
  <c r="J1362" i="5"/>
  <c r="J1361" i="5"/>
  <c r="J1360" i="5"/>
  <c r="J1359" i="5"/>
  <c r="J1358" i="5"/>
  <c r="J1357" i="5"/>
  <c r="J1356" i="5"/>
  <c r="J1355" i="5"/>
  <c r="J1354" i="5"/>
  <c r="J1353" i="5"/>
  <c r="J1352" i="5"/>
  <c r="J1351" i="5"/>
  <c r="J1350" i="5"/>
  <c r="J1349" i="5"/>
  <c r="J1348" i="5"/>
  <c r="J1347" i="5"/>
  <c r="J1346" i="5"/>
  <c r="J1345" i="5"/>
  <c r="J1344" i="5"/>
  <c r="J1343" i="5"/>
  <c r="J1342" i="5"/>
  <c r="J1341" i="5"/>
  <c r="J1340" i="5"/>
  <c r="J1339" i="5"/>
  <c r="J1338" i="5"/>
  <c r="J1337" i="5"/>
  <c r="J1336" i="5"/>
  <c r="J1335" i="5"/>
  <c r="J1334" i="5"/>
  <c r="J1333" i="5"/>
  <c r="J1332" i="5"/>
  <c r="J1331" i="5"/>
  <c r="J1330" i="5"/>
  <c r="J1329" i="5"/>
  <c r="J1328" i="5"/>
  <c r="J1327" i="5"/>
  <c r="J1326" i="5"/>
  <c r="J1325" i="5"/>
  <c r="J1324" i="5"/>
  <c r="J1323" i="5"/>
  <c r="J1322" i="5"/>
  <c r="J1321" i="5"/>
  <c r="J1320" i="5"/>
  <c r="J1319" i="5"/>
  <c r="J1318" i="5"/>
  <c r="J1317" i="5"/>
  <c r="J1316" i="5"/>
  <c r="J1315" i="5"/>
  <c r="J1314" i="5"/>
  <c r="J1313" i="5"/>
  <c r="J1312" i="5"/>
  <c r="J1311" i="5"/>
  <c r="J1310" i="5"/>
  <c r="J1309" i="5"/>
  <c r="J1308" i="5"/>
  <c r="J1307" i="5"/>
  <c r="J1306" i="5"/>
  <c r="J1305" i="5"/>
  <c r="J1304" i="5"/>
  <c r="J1303" i="5"/>
  <c r="J1302" i="5"/>
  <c r="J1301" i="5"/>
  <c r="J1300" i="5"/>
  <c r="J1299" i="5"/>
  <c r="J1298" i="5"/>
  <c r="J1297" i="5"/>
  <c r="J1296" i="5"/>
  <c r="J1295" i="5"/>
  <c r="J1294" i="5"/>
  <c r="J1293" i="5"/>
  <c r="J1292" i="5"/>
  <c r="J1291" i="5"/>
  <c r="J1290" i="5"/>
  <c r="J1289" i="5"/>
  <c r="J1288" i="5"/>
  <c r="J1287" i="5"/>
  <c r="J1286" i="5"/>
  <c r="J1285" i="5"/>
  <c r="J1284" i="5"/>
  <c r="J1283" i="5"/>
  <c r="J1282" i="5"/>
  <c r="J1281" i="5"/>
  <c r="J1280" i="5"/>
  <c r="J1279" i="5"/>
  <c r="J1278" i="5"/>
  <c r="J1277" i="5"/>
  <c r="J1276" i="5"/>
  <c r="J1275" i="5"/>
  <c r="J1274" i="5"/>
  <c r="J1273" i="5"/>
  <c r="J1272" i="5"/>
  <c r="J1271" i="5"/>
  <c r="J1270" i="5"/>
  <c r="J1269" i="5"/>
  <c r="J1268" i="5"/>
  <c r="J1267" i="5"/>
  <c r="J1266" i="5"/>
  <c r="J1265" i="5"/>
  <c r="J1264" i="5"/>
  <c r="J1263" i="5"/>
  <c r="J1262" i="5"/>
  <c r="J1261" i="5"/>
  <c r="J1260" i="5"/>
  <c r="J1259" i="5"/>
  <c r="J1258" i="5"/>
  <c r="J1257" i="5"/>
  <c r="J1256" i="5"/>
  <c r="J1255" i="5"/>
  <c r="J1254" i="5"/>
  <c r="J1253" i="5"/>
  <c r="J1252" i="5"/>
  <c r="J1251" i="5"/>
  <c r="J1250" i="5"/>
  <c r="J1249" i="5"/>
  <c r="J1248" i="5"/>
  <c r="J1247" i="5"/>
  <c r="J1246" i="5"/>
  <c r="J1245" i="5"/>
  <c r="J1244" i="5"/>
  <c r="J1243" i="5"/>
  <c r="J1242" i="5"/>
  <c r="J1241" i="5"/>
  <c r="J1240" i="5"/>
  <c r="J1239" i="5"/>
  <c r="J1238" i="5"/>
  <c r="J1237" i="5"/>
  <c r="J1236" i="5"/>
  <c r="J1235" i="5"/>
  <c r="J1234" i="5"/>
  <c r="J1233" i="5"/>
  <c r="J1232" i="5"/>
  <c r="J1231" i="5"/>
  <c r="J1230" i="5"/>
  <c r="J1229" i="5"/>
  <c r="J1228" i="5"/>
  <c r="J1227" i="5"/>
  <c r="J1226" i="5"/>
  <c r="J1225" i="5"/>
  <c r="J1224" i="5"/>
  <c r="J1223" i="5"/>
  <c r="J1222" i="5"/>
  <c r="J1221" i="5"/>
  <c r="J1220" i="5"/>
  <c r="J1219" i="5"/>
  <c r="J1218" i="5"/>
  <c r="J1217" i="5"/>
  <c r="J1216" i="5"/>
  <c r="J1215" i="5"/>
  <c r="J1214" i="5"/>
  <c r="J1213" i="5"/>
  <c r="J1212" i="5"/>
  <c r="J1211" i="5"/>
  <c r="J1210" i="5"/>
  <c r="J1209" i="5"/>
  <c r="J1208" i="5"/>
  <c r="J1207" i="5"/>
  <c r="J1206" i="5"/>
  <c r="J1205" i="5"/>
  <c r="J1204" i="5"/>
  <c r="J1203" i="5"/>
  <c r="J1202" i="5"/>
  <c r="J1201" i="5"/>
  <c r="J1200" i="5"/>
  <c r="J1199" i="5"/>
  <c r="J1198" i="5"/>
  <c r="J1197" i="5"/>
  <c r="J1196" i="5"/>
  <c r="J1195" i="5"/>
  <c r="J1194" i="5"/>
  <c r="J1193" i="5"/>
  <c r="J1192" i="5"/>
  <c r="J1191" i="5"/>
  <c r="J1190" i="5"/>
  <c r="J1189" i="5"/>
  <c r="J1188" i="5"/>
  <c r="J1187" i="5"/>
  <c r="J1186" i="5"/>
  <c r="J1185" i="5"/>
  <c r="J1184" i="5"/>
  <c r="J1183" i="5"/>
  <c r="J1182" i="5"/>
  <c r="J1181" i="5"/>
  <c r="J1180" i="5"/>
  <c r="J1179" i="5"/>
  <c r="J1178" i="5"/>
  <c r="J1177" i="5"/>
  <c r="J1176" i="5"/>
  <c r="J1175" i="5"/>
  <c r="J1174" i="5"/>
  <c r="J1173" i="5"/>
  <c r="J1172" i="5"/>
  <c r="J1171" i="5"/>
  <c r="J1170" i="5"/>
  <c r="J1169" i="5"/>
  <c r="J1168" i="5"/>
  <c r="J1167" i="5"/>
  <c r="J1166" i="5"/>
  <c r="J1165" i="5"/>
  <c r="J1164" i="5"/>
  <c r="J1163" i="5"/>
  <c r="J1162" i="5"/>
  <c r="J1161" i="5"/>
  <c r="J1160" i="5"/>
  <c r="J1159" i="5"/>
  <c r="J1158" i="5"/>
  <c r="J1157" i="5"/>
  <c r="J1156" i="5"/>
  <c r="J1155" i="5"/>
  <c r="J1154" i="5"/>
  <c r="J1153" i="5"/>
  <c r="J1152" i="5"/>
  <c r="J1151" i="5"/>
  <c r="J1150" i="5"/>
  <c r="J1149" i="5"/>
  <c r="J1148" i="5"/>
  <c r="J1147" i="5"/>
  <c r="J1146" i="5"/>
  <c r="J1145" i="5"/>
  <c r="J1144" i="5"/>
  <c r="J1143" i="5"/>
  <c r="J1142" i="5"/>
  <c r="J1141" i="5"/>
  <c r="J1140" i="5"/>
  <c r="J1139" i="5"/>
  <c r="J1138" i="5"/>
  <c r="J1137" i="5"/>
  <c r="J1136" i="5"/>
  <c r="J1135" i="5"/>
  <c r="J1134" i="5"/>
  <c r="J1133" i="5"/>
  <c r="J1132" i="5"/>
  <c r="J1131" i="5"/>
  <c r="J1130" i="5"/>
  <c r="J1129" i="5"/>
  <c r="J1128" i="5"/>
  <c r="J1127" i="5"/>
  <c r="J1126" i="5"/>
  <c r="J1125" i="5"/>
  <c r="J1124" i="5"/>
  <c r="J1123" i="5"/>
  <c r="J1122" i="5"/>
  <c r="J1121" i="5"/>
  <c r="J1120" i="5"/>
  <c r="J1119" i="5"/>
  <c r="J1118" i="5"/>
  <c r="J1117" i="5"/>
  <c r="J1116" i="5"/>
  <c r="J1115" i="5"/>
  <c r="J1114" i="5"/>
  <c r="J1113" i="5"/>
  <c r="J1112" i="5"/>
  <c r="J1111" i="5"/>
  <c r="J1110" i="5"/>
  <c r="J1109" i="5"/>
  <c r="J1108" i="5"/>
  <c r="J1107" i="5"/>
  <c r="J1106" i="5"/>
  <c r="J1105" i="5"/>
  <c r="J1104" i="5"/>
  <c r="J1103" i="5"/>
  <c r="J1102" i="5"/>
  <c r="J1101" i="5"/>
  <c r="J1100" i="5"/>
  <c r="J1099" i="5"/>
  <c r="J1098" i="5"/>
  <c r="J1097" i="5"/>
  <c r="J1096" i="5"/>
  <c r="J1095" i="5"/>
  <c r="J1094" i="5"/>
  <c r="J1093" i="5"/>
  <c r="J1092" i="5"/>
  <c r="J1091" i="5"/>
  <c r="J1090" i="5"/>
  <c r="J1089" i="5"/>
  <c r="J1088" i="5"/>
  <c r="J1087" i="5"/>
  <c r="J1086" i="5"/>
  <c r="J1085" i="5"/>
  <c r="J1084" i="5"/>
  <c r="J1083" i="5"/>
  <c r="J1082" i="5"/>
  <c r="J1081" i="5"/>
  <c r="J1080" i="5"/>
  <c r="J1079" i="5"/>
  <c r="J1078"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D176" i="2"/>
  <c r="E176" i="2" s="1"/>
  <c r="D5" i="2"/>
  <c r="D2" i="2"/>
  <c r="E2" i="2" s="1"/>
  <c r="D3" i="2"/>
  <c r="E3" i="2" s="1"/>
  <c r="D4" i="2"/>
  <c r="E4" i="2" s="1"/>
  <c r="E5" i="2"/>
  <c r="D6" i="2"/>
  <c r="E6" i="2" s="1"/>
  <c r="D7" i="2"/>
  <c r="E7" i="2" s="1"/>
  <c r="D8" i="2"/>
  <c r="E8" i="2" s="1"/>
  <c r="D9" i="2"/>
  <c r="D10" i="2"/>
  <c r="E10" i="2" s="1"/>
  <c r="D11" i="2"/>
  <c r="E11" i="2" s="1"/>
  <c r="D12" i="2"/>
  <c r="E12" i="2" s="1"/>
  <c r="D13" i="2"/>
  <c r="E13" i="2" s="1"/>
  <c r="D14" i="2"/>
  <c r="E14" i="2" s="1"/>
  <c r="D15" i="2"/>
  <c r="E15" i="2" s="1"/>
  <c r="D16" i="2"/>
  <c r="E16" i="2" s="1"/>
  <c r="D17" i="2"/>
  <c r="E17" i="2" s="1"/>
  <c r="D18" i="2"/>
  <c r="E18" i="2" s="1"/>
  <c r="D19" i="2"/>
  <c r="E19" i="2" s="1"/>
  <c r="D20" i="2"/>
  <c r="E20" i="2" s="1"/>
  <c r="D21" i="2"/>
  <c r="E21" i="2" s="1"/>
  <c r="D22" i="2"/>
  <c r="E22" i="2" s="1"/>
  <c r="D23" i="2"/>
  <c r="E23" i="2" s="1"/>
  <c r="D24" i="2"/>
  <c r="E24" i="2" s="1"/>
  <c r="D25" i="2"/>
  <c r="D26" i="2"/>
  <c r="D27" i="2"/>
  <c r="E27" i="2" s="1"/>
  <c r="D28" i="2"/>
  <c r="E28" i="2" s="1"/>
  <c r="D29" i="2"/>
  <c r="E29" i="2" s="1"/>
  <c r="D30" i="2"/>
  <c r="E30" i="2" s="1"/>
  <c r="D31" i="2"/>
  <c r="D32" i="2"/>
  <c r="E32" i="2" s="1"/>
  <c r="D33" i="2"/>
  <c r="E33" i="2" s="1"/>
  <c r="D34" i="2"/>
  <c r="E34" i="2" s="1"/>
  <c r="D35" i="2"/>
  <c r="E35" i="2" s="1"/>
  <c r="D36" i="2"/>
  <c r="E36" i="2" s="1"/>
  <c r="D37" i="2"/>
  <c r="E37" i="2" s="1"/>
  <c r="D38" i="2"/>
  <c r="E38" i="2" s="1"/>
  <c r="D39" i="2"/>
  <c r="E39" i="2" s="1"/>
  <c r="D40" i="2"/>
  <c r="E40" i="2" s="1"/>
  <c r="D41" i="2"/>
  <c r="D42" i="2"/>
  <c r="E42" i="2" s="1"/>
  <c r="D43" i="2"/>
  <c r="E43" i="2" s="1"/>
  <c r="D44" i="2"/>
  <c r="E44" i="2" s="1"/>
  <c r="D45" i="2"/>
  <c r="E45" i="2" s="1"/>
  <c r="D46" i="2"/>
  <c r="E46" i="2" s="1"/>
  <c r="D47" i="2"/>
  <c r="E47" i="2" s="1"/>
  <c r="D48" i="2"/>
  <c r="E48" i="2" s="1"/>
  <c r="D49" i="2"/>
  <c r="D50" i="2"/>
  <c r="D51" i="2"/>
  <c r="E51" i="2" s="1"/>
  <c r="D52" i="2"/>
  <c r="D53" i="2"/>
  <c r="E53" i="2" s="1"/>
  <c r="D54" i="2"/>
  <c r="E54" i="2" s="1"/>
  <c r="D55" i="2"/>
  <c r="D56" i="2"/>
  <c r="E56" i="2" s="1"/>
  <c r="D57" i="2"/>
  <c r="E57" i="2" s="1"/>
  <c r="D58" i="2"/>
  <c r="E58" i="2" s="1"/>
  <c r="D59" i="2"/>
  <c r="E59" i="2" s="1"/>
  <c r="D60" i="2"/>
  <c r="E60" i="2" s="1"/>
  <c r="D61" i="2"/>
  <c r="E61" i="2" s="1"/>
  <c r="D62" i="2"/>
  <c r="E62" i="2" s="1"/>
  <c r="D63" i="2"/>
  <c r="E63" i="2" s="1"/>
  <c r="D64" i="2"/>
  <c r="E64" i="2" s="1"/>
  <c r="D65" i="2"/>
  <c r="D66" i="2"/>
  <c r="E66" i="2" s="1"/>
  <c r="D67" i="2"/>
  <c r="E67" i="2" s="1"/>
  <c r="D68" i="2"/>
  <c r="E68" i="2" s="1"/>
  <c r="D69" i="2"/>
  <c r="E69" i="2" s="1"/>
  <c r="D70" i="2"/>
  <c r="E70" i="2" s="1"/>
  <c r="D71" i="2"/>
  <c r="E71" i="2" s="1"/>
  <c r="D72" i="2"/>
  <c r="E72" i="2" s="1"/>
  <c r="D73" i="2"/>
  <c r="D74" i="2"/>
  <c r="E74" i="2" s="1"/>
  <c r="D75" i="2"/>
  <c r="E75" i="2" s="1"/>
  <c r="D76" i="2"/>
  <c r="E76" i="2" s="1"/>
  <c r="D77" i="2"/>
  <c r="E77" i="2" s="1"/>
  <c r="D78" i="2"/>
  <c r="E78" i="2" s="1"/>
  <c r="D79" i="2"/>
  <c r="E79" i="2" s="1"/>
  <c r="D80" i="2"/>
  <c r="E80" i="2" s="1"/>
  <c r="D81" i="2"/>
  <c r="D82" i="2"/>
  <c r="D83" i="2"/>
  <c r="E83" i="2" s="1"/>
  <c r="D84" i="2"/>
  <c r="E84" i="2" s="1"/>
  <c r="D85" i="2"/>
  <c r="E85" i="2" s="1"/>
  <c r="D86" i="2"/>
  <c r="E86" i="2" s="1"/>
  <c r="D87" i="2"/>
  <c r="E87" i="2" s="1"/>
  <c r="D88" i="2"/>
  <c r="E88" i="2" s="1"/>
  <c r="D89" i="2"/>
  <c r="D90" i="2"/>
  <c r="D91" i="2"/>
  <c r="E91" i="2" s="1"/>
  <c r="D92" i="2"/>
  <c r="E92" i="2" s="1"/>
  <c r="D93" i="2"/>
  <c r="E93" i="2" s="1"/>
  <c r="D94" i="2"/>
  <c r="E94" i="2" s="1"/>
  <c r="D95" i="2"/>
  <c r="D96" i="2"/>
  <c r="E96" i="2" s="1"/>
  <c r="D97" i="2"/>
  <c r="E97" i="2" s="1"/>
  <c r="D98" i="2"/>
  <c r="E98" i="2" s="1"/>
  <c r="D99" i="2"/>
  <c r="E99" i="2" s="1"/>
  <c r="D100" i="2"/>
  <c r="E100" i="2" s="1"/>
  <c r="D101" i="2"/>
  <c r="E101" i="2" s="1"/>
  <c r="D102" i="2"/>
  <c r="E102" i="2" s="1"/>
  <c r="D103" i="2"/>
  <c r="E103" i="2" s="1"/>
  <c r="D104" i="2"/>
  <c r="E104" i="2" s="1"/>
  <c r="D105" i="2"/>
  <c r="D106" i="2"/>
  <c r="D107" i="2"/>
  <c r="E107" i="2" s="1"/>
  <c r="D108" i="2"/>
  <c r="E108" i="2" s="1"/>
  <c r="D109" i="2"/>
  <c r="E109" i="2" s="1"/>
  <c r="D110" i="2"/>
  <c r="E110" i="2" s="1"/>
  <c r="D111" i="2"/>
  <c r="E111" i="2" s="1"/>
  <c r="D112" i="2"/>
  <c r="E112" i="2" s="1"/>
  <c r="D113" i="2"/>
  <c r="D114" i="2"/>
  <c r="E114" i="2" s="1"/>
  <c r="D115" i="2"/>
  <c r="E115" i="2" s="1"/>
  <c r="D116" i="2"/>
  <c r="E116" i="2" s="1"/>
  <c r="D117" i="2"/>
  <c r="E117" i="2" s="1"/>
  <c r="D118" i="2"/>
  <c r="E118" i="2" s="1"/>
  <c r="D119" i="2"/>
  <c r="E119" i="2" s="1"/>
  <c r="D120" i="2"/>
  <c r="E120" i="2" s="1"/>
  <c r="D121" i="2"/>
  <c r="D122" i="2"/>
  <c r="E122" i="2" s="1"/>
  <c r="D123" i="2"/>
  <c r="E123" i="2" s="1"/>
  <c r="D124" i="2"/>
  <c r="E124" i="2" s="1"/>
  <c r="D125" i="2"/>
  <c r="E125" i="2" s="1"/>
  <c r="D126" i="2"/>
  <c r="E126" i="2" s="1"/>
  <c r="D127" i="2"/>
  <c r="E127" i="2" s="1"/>
  <c r="D128" i="2"/>
  <c r="E128" i="2" s="1"/>
  <c r="D129" i="2"/>
  <c r="E129" i="2" s="1"/>
  <c r="D130" i="2"/>
  <c r="D131" i="2"/>
  <c r="E131" i="2" s="1"/>
  <c r="D132" i="2"/>
  <c r="E132" i="2" s="1"/>
  <c r="D133" i="2"/>
  <c r="E133" i="2" s="1"/>
  <c r="D134" i="2"/>
  <c r="E134" i="2" s="1"/>
  <c r="D135" i="2"/>
  <c r="E135" i="2" s="1"/>
  <c r="D136" i="2"/>
  <c r="E136" i="2" s="1"/>
  <c r="D137" i="2"/>
  <c r="D138" i="2"/>
  <c r="E138" i="2" s="1"/>
  <c r="D139" i="2"/>
  <c r="E139" i="2" s="1"/>
  <c r="D140" i="2"/>
  <c r="E140" i="2" s="1"/>
  <c r="D141" i="2"/>
  <c r="E141" i="2" s="1"/>
  <c r="D142" i="2"/>
  <c r="E142" i="2" s="1"/>
  <c r="D143" i="2"/>
  <c r="E143" i="2" s="1"/>
  <c r="D144" i="2"/>
  <c r="E144" i="2" s="1"/>
  <c r="D145" i="2"/>
  <c r="D146" i="2"/>
  <c r="E146" i="2" s="1"/>
  <c r="D147" i="2"/>
  <c r="E147" i="2" s="1"/>
  <c r="D148" i="2"/>
  <c r="E148" i="2" s="1"/>
  <c r="D149" i="2"/>
  <c r="E149" i="2" s="1"/>
  <c r="D150" i="2"/>
  <c r="E150" i="2" s="1"/>
  <c r="D151" i="2"/>
  <c r="E151" i="2" s="1"/>
  <c r="D152" i="2"/>
  <c r="E152" i="2" s="1"/>
  <c r="D153" i="2"/>
  <c r="D154" i="2"/>
  <c r="E154" i="2" s="1"/>
  <c r="D155" i="2"/>
  <c r="E155" i="2" s="1"/>
  <c r="D156" i="2"/>
  <c r="E156" i="2" s="1"/>
  <c r="D157" i="2"/>
  <c r="E157" i="2" s="1"/>
  <c r="D158" i="2"/>
  <c r="E158" i="2" s="1"/>
  <c r="D159" i="2"/>
  <c r="E159" i="2" s="1"/>
  <c r="D160" i="2"/>
  <c r="E160" i="2" s="1"/>
  <c r="D161" i="2"/>
  <c r="E161" i="2" s="1"/>
  <c r="D162" i="2"/>
  <c r="E162" i="2" s="1"/>
  <c r="D163" i="2"/>
  <c r="E163" i="2" s="1"/>
  <c r="D164" i="2"/>
  <c r="E164" i="2" s="1"/>
  <c r="D165" i="2"/>
  <c r="E165" i="2" s="1"/>
  <c r="D166" i="2"/>
  <c r="E166" i="2" s="1"/>
  <c r="D167" i="2"/>
  <c r="E167" i="2" s="1"/>
  <c r="D168" i="2"/>
  <c r="E168" i="2" s="1"/>
  <c r="D169" i="2"/>
  <c r="D170" i="2"/>
  <c r="E170" i="2" s="1"/>
  <c r="D171" i="2"/>
  <c r="E171" i="2" s="1"/>
  <c r="D172" i="2"/>
  <c r="E172" i="2" s="1"/>
  <c r="D173" i="2"/>
  <c r="E173" i="2" s="1"/>
  <c r="D174" i="2"/>
  <c r="E174" i="2" s="1"/>
  <c r="D175" i="2"/>
  <c r="D177" i="2"/>
  <c r="D178" i="2"/>
  <c r="D179" i="2"/>
  <c r="D180" i="2"/>
  <c r="D181" i="2"/>
  <c r="D182" i="2"/>
  <c r="E182" i="2" s="1"/>
  <c r="D183" i="2"/>
  <c r="E183" i="2" s="1"/>
  <c r="D184" i="2"/>
  <c r="E184" i="2" s="1"/>
  <c r="D185" i="2"/>
  <c r="D186" i="2"/>
  <c r="E186" i="2" s="1"/>
  <c r="D187" i="2"/>
  <c r="E187" i="2" s="1"/>
  <c r="D188" i="2"/>
  <c r="E188" i="2" s="1"/>
  <c r="D189" i="2"/>
  <c r="E189" i="2" s="1"/>
  <c r="D190" i="2"/>
  <c r="E190" i="2" s="1"/>
  <c r="D191" i="2"/>
  <c r="E191" i="2" s="1"/>
  <c r="D192" i="2"/>
  <c r="E192" i="2" s="1"/>
  <c r="D193" i="2"/>
  <c r="E193" i="2" s="1"/>
  <c r="D194" i="2"/>
  <c r="E194" i="2" s="1"/>
  <c r="D195" i="2"/>
  <c r="E195" i="2" s="1"/>
  <c r="D196" i="2"/>
  <c r="E196" i="2" s="1"/>
  <c r="D197" i="2"/>
  <c r="E197" i="2" s="1"/>
  <c r="D198" i="2"/>
  <c r="E198" i="2" s="1"/>
  <c r="D199" i="2"/>
  <c r="E199" i="2" s="1"/>
  <c r="D200" i="2"/>
  <c r="E200" i="2" s="1"/>
  <c r="D201" i="2"/>
  <c r="E201" i="2" s="1"/>
  <c r="E9" i="2"/>
  <c r="E25" i="2"/>
  <c r="E26" i="2"/>
  <c r="E31" i="2"/>
  <c r="E41" i="2"/>
  <c r="E49" i="2"/>
  <c r="E50" i="2"/>
  <c r="E52" i="2"/>
  <c r="E55" i="2"/>
  <c r="E65" i="2"/>
  <c r="E73" i="2"/>
  <c r="E81" i="2"/>
  <c r="E82" i="2"/>
  <c r="E89" i="2"/>
  <c r="E90" i="2"/>
  <c r="E95" i="2"/>
  <c r="E105" i="2"/>
  <c r="E106" i="2"/>
  <c r="E113" i="2"/>
  <c r="E121" i="2"/>
  <c r="E130" i="2"/>
  <c r="E137" i="2"/>
  <c r="E145" i="2"/>
  <c r="E153" i="2"/>
  <c r="E169" i="2"/>
  <c r="E175" i="2"/>
  <c r="E177" i="2"/>
  <c r="E178" i="2"/>
  <c r="E179" i="2"/>
  <c r="E180" i="2"/>
  <c r="E181" i="2"/>
  <c r="E185" i="2"/>
  <c r="H156" i="6" l="1" a="1"/>
  <c r="H156" i="6" s="1"/>
  <c r="H155" i="6" a="1"/>
  <c r="H155" i="6" s="1"/>
  <c r="H136" i="6" a="1"/>
  <c r="H136" i="6" s="1"/>
  <c r="H117" i="6" a="1"/>
  <c r="H117" i="6" s="1"/>
  <c r="H67" i="6" a="1"/>
  <c r="H67" i="6" s="1"/>
  <c r="H54" i="6" a="1"/>
  <c r="H54" i="6" s="1"/>
  <c r="H32" i="6" a="1"/>
  <c r="H32" i="6" s="1"/>
  <c r="H22" i="6" a="1"/>
  <c r="H22" i="6" s="1"/>
  <c r="H192" i="6" a="1"/>
  <c r="H192" i="6" s="1"/>
  <c r="H187" i="6" a="1"/>
  <c r="H187" i="6" s="1"/>
  <c r="H159" i="6" a="1"/>
  <c r="H159" i="6" s="1"/>
  <c r="H120" i="6" a="1"/>
  <c r="H120" i="6" s="1"/>
  <c r="H200" i="6" a="1"/>
  <c r="H200" i="6" s="1"/>
  <c r="H184" i="6" a="1"/>
  <c r="H184" i="6" s="1"/>
  <c r="H176" i="6" a="1"/>
  <c r="H176" i="6" s="1"/>
  <c r="H168" i="6" a="1"/>
  <c r="H168" i="6" s="1"/>
  <c r="H160" i="6" a="1"/>
  <c r="H160" i="6" s="1"/>
  <c r="H152" i="6" a="1"/>
  <c r="H152" i="6" s="1"/>
  <c r="H144" i="6" a="1"/>
  <c r="H144" i="6" s="1"/>
  <c r="H128" i="6" a="1"/>
  <c r="H128" i="6" s="1"/>
  <c r="H112" i="6" a="1"/>
  <c r="H112" i="6" s="1"/>
  <c r="H96" i="6" a="1"/>
  <c r="H96" i="6" s="1"/>
  <c r="H72" i="6" a="1"/>
  <c r="H72" i="6" s="1"/>
  <c r="H56" i="6" a="1"/>
  <c r="H56" i="6" s="1"/>
  <c r="H40" i="6" a="1"/>
  <c r="H40" i="6" s="1"/>
  <c r="H199" i="6" a="1"/>
  <c r="H199" i="6" s="1"/>
  <c r="H167" i="6" a="1"/>
  <c r="H167" i="6" s="1"/>
  <c r="H31" i="6" a="1"/>
  <c r="H31" i="6" s="1"/>
  <c r="H7" i="6" a="1"/>
  <c r="H7" i="6" s="1"/>
  <c r="H190" i="6" a="1"/>
  <c r="H190" i="6" s="1"/>
  <c r="H182" i="6" a="1"/>
  <c r="H182" i="6" s="1"/>
  <c r="H158" i="6" a="1"/>
  <c r="H158" i="6" s="1"/>
  <c r="H118" i="6" a="1"/>
  <c r="H118" i="6" s="1"/>
  <c r="H102" i="6" a="1"/>
  <c r="H102" i="6" s="1"/>
  <c r="H86" i="6" a="1"/>
  <c r="H86" i="6" s="1"/>
  <c r="H70" i="6" a="1"/>
  <c r="H70" i="6" s="1"/>
  <c r="H62" i="6" a="1"/>
  <c r="H62" i="6" s="1"/>
  <c r="H46" i="6" a="1"/>
  <c r="H46" i="6" s="1"/>
  <c r="H14" i="6" a="1"/>
  <c r="H14" i="6" s="1"/>
  <c r="H193" i="6" a="1"/>
  <c r="H193" i="6" s="1"/>
  <c r="H185" i="6" a="1"/>
  <c r="H185" i="6" s="1"/>
  <c r="H177" i="6" a="1"/>
  <c r="H177" i="6" s="1"/>
  <c r="H113" i="6" a="1"/>
  <c r="H113" i="6" s="1"/>
  <c r="H105" i="6" a="1"/>
  <c r="H105" i="6" s="1"/>
  <c r="H89" i="6" a="1"/>
  <c r="H89" i="6" s="1"/>
  <c r="H57" i="6" a="1"/>
  <c r="H57" i="6" s="1"/>
  <c r="H49" i="6" a="1"/>
  <c r="H49" i="6" s="1"/>
  <c r="H41" i="6" a="1"/>
  <c r="H41" i="6" s="1"/>
  <c r="H17" i="6" a="1"/>
  <c r="H17" i="6" s="1"/>
  <c r="H201" i="6" a="1"/>
  <c r="H201" i="6" s="1"/>
  <c r="H137" i="6" a="1"/>
  <c r="H137" i="6" s="1"/>
  <c r="H129" i="6" a="1"/>
  <c r="H129" i="6" s="1"/>
  <c r="H97" i="6" a="1"/>
  <c r="H97" i="6" s="1"/>
  <c r="H183" i="6" a="1"/>
  <c r="H183" i="6" s="1"/>
  <c r="H151" i="6" a="1"/>
  <c r="H151" i="6" s="1"/>
  <c r="H135" i="6" a="1"/>
  <c r="H135" i="6" s="1"/>
  <c r="H87" i="6" a="1"/>
  <c r="H87" i="6" s="1"/>
  <c r="H79" i="6" a="1"/>
  <c r="H79" i="6" s="1"/>
  <c r="H23" i="6" a="1"/>
  <c r="H23" i="6" s="1"/>
  <c r="H15" i="6" a="1"/>
  <c r="H15" i="6" s="1"/>
  <c r="H189" i="6" a="1"/>
  <c r="H189" i="6" s="1"/>
  <c r="H157" i="6" a="1"/>
  <c r="H157" i="6" s="1"/>
  <c r="H196" i="6" a="1"/>
  <c r="H196" i="6" s="1"/>
  <c r="H76" i="6" a="1"/>
  <c r="H76" i="6" s="1"/>
  <c r="H173" i="6" a="1"/>
  <c r="H173" i="6" s="1"/>
  <c r="H141" i="6" a="1"/>
  <c r="H141" i="6" s="1"/>
  <c r="H125" i="6" a="1"/>
  <c r="H125" i="6" s="1"/>
  <c r="H109" i="6" a="1"/>
  <c r="H109" i="6" s="1"/>
  <c r="H93" i="6" a="1"/>
  <c r="H93" i="6" s="1"/>
  <c r="H53" i="6" a="1"/>
  <c r="H53" i="6" s="1"/>
  <c r="H147" i="6" a="1"/>
  <c r="H147" i="6" s="1"/>
  <c r="H131" i="6" a="1"/>
  <c r="H131" i="6" s="1"/>
  <c r="H63" i="6" a="1"/>
  <c r="H63" i="6" s="1"/>
  <c r="A2" i="13" l="1" a="1"/>
  <c r="A2" i="13" s="1"/>
  <c r="C2" i="13" l="1" a="1"/>
  <c r="C2" i="13" s="1"/>
  <c r="D2" i="13" a="1"/>
  <c r="D2" i="13" s="1"/>
  <c r="G2" i="13" a="1"/>
  <c r="G2" i="13" s="1"/>
  <c r="B2" i="13" a="1"/>
  <c r="B2" i="13" s="1"/>
  <c r="H2" i="13" a="1"/>
  <c r="H2" i="13" s="1"/>
  <c r="I2" i="13" a="1"/>
  <c r="I2" i="13" s="1"/>
  <c r="F2" i="13" l="1" a="1"/>
  <c r="F2" i="13" s="1"/>
  <c r="E2" i="13" a="1"/>
  <c r="E2" i="13" s="1"/>
  <c r="J2" i="13" l="1" a="1"/>
  <c r="J2" i="13" s="1"/>
  <c r="A2" i="7" l="1" a="1"/>
  <c r="A2" i="14" l="1" a="1"/>
  <c r="A2" i="14" s="1"/>
  <c r="C2" i="14" s="1" a="1"/>
  <c r="C2" i="14" s="1"/>
  <c r="A2" i="7"/>
  <c r="B2" i="7" s="1" a="1"/>
  <c r="B2" i="7" s="1"/>
  <c r="C2" i="7" a="1"/>
  <c r="C2" i="7" s="1"/>
  <c r="D2" i="14" l="1" a="1"/>
  <c r="D2" i="14" s="1"/>
  <c r="E2" i="14" a="1"/>
  <c r="E2" i="14" s="1"/>
  <c r="B2" i="14" a="1"/>
  <c r="B2"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<sst xmlns="http://schemas.openxmlformats.org/spreadsheetml/2006/main" count="9957" uniqueCount="2307">
  <si>
    <t>Primary Category</t>
  </si>
  <si>
    <t>Maple Prairie Foods</t>
  </si>
  <si>
    <t>MorningStar Foodservice</t>
  </si>
  <si>
    <t>Breakfast</t>
  </si>
  <si>
    <t>SKU</t>
  </si>
  <si>
    <t>Product Name</t>
  </si>
  <si>
    <t>Category</t>
  </si>
  <si>
    <t>Supplier</t>
  </si>
  <si>
    <t>Unit Cost (CAD)</t>
  </si>
  <si>
    <t>Selling Price (CAD)</t>
  </si>
  <si>
    <t>NorthStar Frozen Foods</t>
  </si>
  <si>
    <t>Sides</t>
  </si>
  <si>
    <t>WEN-BUR-001</t>
  </si>
  <si>
    <t>Classic Single Burger</t>
  </si>
  <si>
    <t>Burgers</t>
  </si>
  <si>
    <t>Fraser Fresh Produce</t>
  </si>
  <si>
    <t>Salads</t>
  </si>
  <si>
    <t>WEN-BUR-002</t>
  </si>
  <si>
    <t>Classic Double Burger</t>
  </si>
  <si>
    <t>Pacific Beverage Partners</t>
  </si>
  <si>
    <t>Beverages</t>
  </si>
  <si>
    <t>WEN-BUR-003</t>
  </si>
  <si>
    <t>Classic Triple Burger</t>
  </si>
  <si>
    <t>SweetPeak Desserts</t>
  </si>
  <si>
    <t>Desserts</t>
  </si>
  <si>
    <t>WEN-BUR-004</t>
  </si>
  <si>
    <t>Cheese Single Burger</t>
  </si>
  <si>
    <t>Canada QuickServe Distribution</t>
  </si>
  <si>
    <t>WEN-BUR-005</t>
  </si>
  <si>
    <t>Cheese Double Burger</t>
  </si>
  <si>
    <t>TrueNorth Sauces &amp; Seasonings</t>
  </si>
  <si>
    <t>Sauces &amp; Add-ons</t>
  </si>
  <si>
    <t>WEN-BUR-006</t>
  </si>
  <si>
    <t>Cheese Triple Burger</t>
  </si>
  <si>
    <t>WEN-BUR-007</t>
  </si>
  <si>
    <t>Bacon Single Burger</t>
  </si>
  <si>
    <t>WEN-BUR-008</t>
  </si>
  <si>
    <t>Bacon Double Burger</t>
  </si>
  <si>
    <t>WEN-BUR-009</t>
  </si>
  <si>
    <t>Bacon Triple Burger</t>
  </si>
  <si>
    <t>WEN-BUR-010</t>
  </si>
  <si>
    <t>Mushroom Swiss Single Burger</t>
  </si>
  <si>
    <t>WEN-BUR-011</t>
  </si>
  <si>
    <t>Mushroom Swiss Double Burger</t>
  </si>
  <si>
    <t>WEN-BUR-012</t>
  </si>
  <si>
    <t>Jalapeño Cheddar Single Burger</t>
  </si>
  <si>
    <t>WEN-BUR-013</t>
  </si>
  <si>
    <t>Jalapeño Cheddar Double Burger</t>
  </si>
  <si>
    <t>WEN-BUR-014</t>
  </si>
  <si>
    <t>BBQ Onion Single Burger</t>
  </si>
  <si>
    <t>WEN-BUR-015</t>
  </si>
  <si>
    <t>BBQ Onion Double Burger</t>
  </si>
  <si>
    <t>WEN-BUR-016</t>
  </si>
  <si>
    <t>Smoky Bacon Single Burger</t>
  </si>
  <si>
    <t>WEN-BUR-017</t>
  </si>
  <si>
    <t>Smoky Bacon Double Burger</t>
  </si>
  <si>
    <t>WEN-BUR-018</t>
  </si>
  <si>
    <t>Pepper Jack Single Burger</t>
  </si>
  <si>
    <t>WEN-BUR-019</t>
  </si>
  <si>
    <t>Pepper Jack Double Burger</t>
  </si>
  <si>
    <t>WEN-BUR-020</t>
  </si>
  <si>
    <t>Avocado Ranch Single Burger</t>
  </si>
  <si>
    <t>WEN-BUR-021</t>
  </si>
  <si>
    <t>Avocado Ranch Double Burger</t>
  </si>
  <si>
    <t>WEN-BUR-022</t>
  </si>
  <si>
    <t>Crispy Onion Single Burger</t>
  </si>
  <si>
    <t>WEN-BUR-023</t>
  </si>
  <si>
    <t>Crispy Onion Double Burger</t>
  </si>
  <si>
    <t>WEN-BUR-024</t>
  </si>
  <si>
    <t>Spicy Southwest Single Burger</t>
  </si>
  <si>
    <t>WEN-BUR-025</t>
  </si>
  <si>
    <t>Spicy Southwest Double Burger</t>
  </si>
  <si>
    <t>WEN-BUR-026</t>
  </si>
  <si>
    <t>Maple Bacon Single Burger</t>
  </si>
  <si>
    <t>WEN-BUR-027</t>
  </si>
  <si>
    <t>Maple Bacon Double Burger</t>
  </si>
  <si>
    <t>WEN-BUR-028</t>
  </si>
  <si>
    <t>Junior Cheeseburger</t>
  </si>
  <si>
    <t>WEN-BUR-029</t>
  </si>
  <si>
    <t>Junior Bacon Cheeseburger</t>
  </si>
  <si>
    <t>WEN-BUR-030</t>
  </si>
  <si>
    <t>Junior Deluxe Burger</t>
  </si>
  <si>
    <t>WEN-CHK-001</t>
  </si>
  <si>
    <t>Classic Chicken Sandwich</t>
  </si>
  <si>
    <t>Chicken</t>
  </si>
  <si>
    <t>WEN-CHK-002</t>
  </si>
  <si>
    <t>Spicy Chicken Sandwich</t>
  </si>
  <si>
    <t>WEN-CHK-003</t>
  </si>
  <si>
    <t>Grilled Chicken Sandwich</t>
  </si>
  <si>
    <t>WEN-CHK-004</t>
  </si>
  <si>
    <t>Bacon Ranch Chicken Sandwich</t>
  </si>
  <si>
    <t>WEN-CHK-005</t>
  </si>
  <si>
    <t>Jalapeño Chicken Sandwich</t>
  </si>
  <si>
    <t>WEN-CHK-006</t>
  </si>
  <si>
    <t>BBQ Chicken Sandwich</t>
  </si>
  <si>
    <t>WEN-CHK-007</t>
  </si>
  <si>
    <t>Honey Mustard Chicken Sandwich</t>
  </si>
  <si>
    <t>WEN-CHK-008</t>
  </si>
  <si>
    <t>Crispy Chicken Sandwich</t>
  </si>
  <si>
    <t>WEN-CHK-009</t>
  </si>
  <si>
    <t>Crispy Chicken BLT</t>
  </si>
  <si>
    <t>WEN-CHK-010</t>
  </si>
  <si>
    <t>Spicy Chicken BLT</t>
  </si>
  <si>
    <t>WEN-CHK-011</t>
  </si>
  <si>
    <t>Grilled Chicken BLT</t>
  </si>
  <si>
    <t>WEN-CHK-012</t>
  </si>
  <si>
    <t>Chicken Wrap Classic</t>
  </si>
  <si>
    <t>WEN-CHK-013</t>
  </si>
  <si>
    <t>Chicken Wrap Spicy</t>
  </si>
  <si>
    <t>WEN-CHK-014</t>
  </si>
  <si>
    <t>Chicken Wrap Ranch</t>
  </si>
  <si>
    <t>WEN-CHK-015</t>
  </si>
  <si>
    <t>Chicken Wrap Caesar</t>
  </si>
  <si>
    <t>WEN-CHK-016</t>
  </si>
  <si>
    <t>Chicken Wrap BBQ</t>
  </si>
  <si>
    <t>WEN-CHK-017</t>
  </si>
  <si>
    <t>Chicken Nuggets - 4 pc</t>
  </si>
  <si>
    <t>WEN-CHK-018</t>
  </si>
  <si>
    <t>Chicken Nuggets - 6 pc</t>
  </si>
  <si>
    <t>WEN-CHK-019</t>
  </si>
  <si>
    <t>Chicken Nuggets - 10 pc</t>
  </si>
  <si>
    <t>WEN-CHK-020</t>
  </si>
  <si>
    <t>Chicken Nuggets - 20 pc</t>
  </si>
  <si>
    <t>WEN-CHK-021</t>
  </si>
  <si>
    <t>Spicy Nuggets - 4 pc</t>
  </si>
  <si>
    <t>WEN-CHK-022</t>
  </si>
  <si>
    <t>Spicy Nuggets - 6 pc</t>
  </si>
  <si>
    <t>WEN-CHK-023</t>
  </si>
  <si>
    <t>Spicy Nuggets - 10 pc</t>
  </si>
  <si>
    <t>WEN-CHK-024</t>
  </si>
  <si>
    <t>Spicy Nuggets - 20 pc</t>
  </si>
  <si>
    <t>WEN-CHK-025</t>
  </si>
  <si>
    <t>Chicken Tender Basket</t>
  </si>
  <si>
    <t>WEN-BRK-001</t>
  </si>
  <si>
    <t>Sausage Egg Biscuit</t>
  </si>
  <si>
    <t>WEN-BRK-002</t>
  </si>
  <si>
    <t>Bacon Egg Biscuit</t>
  </si>
  <si>
    <t>WEN-BRK-003</t>
  </si>
  <si>
    <t>Egg &amp; Cheese Biscuit</t>
  </si>
  <si>
    <t>WEN-BRK-004</t>
  </si>
  <si>
    <t>Sausage Egg Croissant</t>
  </si>
  <si>
    <t>WEN-BRK-005</t>
  </si>
  <si>
    <t>Bacon Egg Croissant</t>
  </si>
  <si>
    <t>WEN-BRK-006</t>
  </si>
  <si>
    <t>Egg &amp; Cheese Croissant</t>
  </si>
  <si>
    <t>WEN-BRK-007</t>
  </si>
  <si>
    <t>Sausage Breakfast Sandwich</t>
  </si>
  <si>
    <t>WEN-BRK-008</t>
  </si>
  <si>
    <t>Bacon Breakfast Sandwich</t>
  </si>
  <si>
    <t>WEN-BRK-009</t>
  </si>
  <si>
    <t>Maple Chicken Biscuit</t>
  </si>
  <si>
    <t>WEN-BRK-010</t>
  </si>
  <si>
    <t>Honey Butter Chicken Biscuit</t>
  </si>
  <si>
    <t>WEN-BRK-011</t>
  </si>
  <si>
    <t>Sausage Breakfast Wrap</t>
  </si>
  <si>
    <t>WEN-BRK-012</t>
  </si>
  <si>
    <t>Bacon Breakfast Wrap</t>
  </si>
  <si>
    <t>WEN-BRK-013</t>
  </si>
  <si>
    <t>Veggie Breakfast Wrap</t>
  </si>
  <si>
    <t>WEN-BRK-014</t>
  </si>
  <si>
    <t>Breakfast Potatoes - Small</t>
  </si>
  <si>
    <t>WEN-BRK-015</t>
  </si>
  <si>
    <t>Breakfast Potatoes - Medium</t>
  </si>
  <si>
    <t>WEN-BRK-016</t>
  </si>
  <si>
    <t>Breakfast Potatoes - Large</t>
  </si>
  <si>
    <t>WEN-BRK-017</t>
  </si>
  <si>
    <t>French Toast Sticks - 4 pc</t>
  </si>
  <si>
    <t>WEN-BRK-018</t>
  </si>
  <si>
    <t>French Toast Sticks - 6 pc</t>
  </si>
  <si>
    <t>WEN-BRK-019</t>
  </si>
  <si>
    <t>Oatmeal Cup</t>
  </si>
  <si>
    <t>WEN-BRK-020</t>
  </si>
  <si>
    <t>Yogurt &amp; Granola Cup</t>
  </si>
  <si>
    <t>WEN-BRK-021</t>
  </si>
  <si>
    <t>Breakfast Platter - Sausage</t>
  </si>
  <si>
    <t>WEN-BRK-022</t>
  </si>
  <si>
    <t>Breakfast Platter - Bacon</t>
  </si>
  <si>
    <t>WEN-BRK-023</t>
  </si>
  <si>
    <t>Breakfast Platter - Chicken</t>
  </si>
  <si>
    <t>WEN-BRK-024</t>
  </si>
  <si>
    <t>English Muffin Egg &amp; Cheese</t>
  </si>
  <si>
    <t>WEN-BRK-025</t>
  </si>
  <si>
    <t>English Muffin Sausage &amp; Egg</t>
  </si>
  <si>
    <t>WEN-SID-001</t>
  </si>
  <si>
    <t>Natural-Cut Fries - Small</t>
  </si>
  <si>
    <t>WEN-SID-002</t>
  </si>
  <si>
    <t>Natural-Cut Fries - Medium</t>
  </si>
  <si>
    <t>WEN-SID-003</t>
  </si>
  <si>
    <t>Natural-Cut Fries - Large</t>
  </si>
  <si>
    <t>WEN-SID-004</t>
  </si>
  <si>
    <t>Seasoned Fries - Small</t>
  </si>
  <si>
    <t>WEN-SID-005</t>
  </si>
  <si>
    <t>Seasoned Fries - Medium</t>
  </si>
  <si>
    <t>WEN-SID-006</t>
  </si>
  <si>
    <t>Seasoned Fries - Large</t>
  </si>
  <si>
    <t>WEN-SID-007</t>
  </si>
  <si>
    <t>Onion Rings - Small</t>
  </si>
  <si>
    <t>WEN-SID-008</t>
  </si>
  <si>
    <t>Onion Rings - Medium</t>
  </si>
  <si>
    <t>WEN-SID-009</t>
  </si>
  <si>
    <t>Onion Rings - Large</t>
  </si>
  <si>
    <t>WEN-SID-010</t>
  </si>
  <si>
    <t>Baked Potato - Plain</t>
  </si>
  <si>
    <t>WEN-SID-011</t>
  </si>
  <si>
    <t>Baked Potato - Cheese</t>
  </si>
  <si>
    <t>WEN-SID-012</t>
  </si>
  <si>
    <t>Baked Potato - Bacon &amp; Cheese</t>
  </si>
  <si>
    <t>WEN-SID-013</t>
  </si>
  <si>
    <t>Chili - Small</t>
  </si>
  <si>
    <t>WEN-SID-014</t>
  </si>
  <si>
    <t>Chili - Large</t>
  </si>
  <si>
    <t>WEN-SID-015</t>
  </si>
  <si>
    <t>Mac &amp; Cheese - Small</t>
  </si>
  <si>
    <t>WEN-SID-016</t>
  </si>
  <si>
    <t>Mac &amp; Cheese - Large</t>
  </si>
  <si>
    <t>WEN-SID-017</t>
  </si>
  <si>
    <t>Apple Bites</t>
  </si>
  <si>
    <t>WEN-SID-018</t>
  </si>
  <si>
    <t>Side Caesar Salad</t>
  </si>
  <si>
    <t>WEN-SID-019</t>
  </si>
  <si>
    <t>Side Garden Salad</t>
  </si>
  <si>
    <t>WEN-SID-020</t>
  </si>
  <si>
    <t>Loaded Fries</t>
  </si>
  <si>
    <t>WEN-SAL-001</t>
  </si>
  <si>
    <t>Garden Chicken Salad</t>
  </si>
  <si>
    <t>WEN-SAL-002</t>
  </si>
  <si>
    <t>Spicy Chicken Salad</t>
  </si>
  <si>
    <t>WEN-SAL-003</t>
  </si>
  <si>
    <t>Grilled Chicken Caesar Salad</t>
  </si>
  <si>
    <t>WEN-SAL-004</t>
  </si>
  <si>
    <t>Crispy Chicken Caesar Salad</t>
  </si>
  <si>
    <t>WEN-SAL-005</t>
  </si>
  <si>
    <t>Southwest Chicken Salad</t>
  </si>
  <si>
    <t>WEN-SAL-006</t>
  </si>
  <si>
    <t>Avocado Ranch Chicken Salad</t>
  </si>
  <si>
    <t>WEN-SAL-007</t>
  </si>
  <si>
    <t>Apple Pecan Chicken Salad</t>
  </si>
  <si>
    <t>WEN-SAL-008</t>
  </si>
  <si>
    <t>BBQ Chicken Salad</t>
  </si>
  <si>
    <t>WEN-SAL-009</t>
  </si>
  <si>
    <t>Bacon Ranch Chicken Salad</t>
  </si>
  <si>
    <t>WEN-SAL-010</t>
  </si>
  <si>
    <t>Mediterranean Chicken Salad</t>
  </si>
  <si>
    <t>WEN-SAL-011</t>
  </si>
  <si>
    <t>Garden Salad</t>
  </si>
  <si>
    <t>WEN-SAL-012</t>
  </si>
  <si>
    <t>Caesar Salad</t>
  </si>
  <si>
    <t>WEN-SAL-013</t>
  </si>
  <si>
    <t>Southwest Salad</t>
  </si>
  <si>
    <t>WEN-SAL-014</t>
  </si>
  <si>
    <t>Apple Pecan Salad</t>
  </si>
  <si>
    <t>WEN-SAL-015</t>
  </si>
  <si>
    <t>Avocado Ranch Salad</t>
  </si>
  <si>
    <t>WEN-BEV-001</t>
  </si>
  <si>
    <t>Cola - Small</t>
  </si>
  <si>
    <t>WEN-BEV-002</t>
  </si>
  <si>
    <t>Cola - Medium</t>
  </si>
  <si>
    <t>WEN-BEV-003</t>
  </si>
  <si>
    <t>Cola - Large</t>
  </si>
  <si>
    <t>WEN-BEV-004</t>
  </si>
  <si>
    <t>Diet Cola - Small</t>
  </si>
  <si>
    <t>WEN-BEV-005</t>
  </si>
  <si>
    <t>Diet Cola - Medium</t>
  </si>
  <si>
    <t>WEN-BEV-006</t>
  </si>
  <si>
    <t>Diet Cola - Large</t>
  </si>
  <si>
    <t>WEN-BEV-007</t>
  </si>
  <si>
    <t>Lemon-Lime Soda - Small</t>
  </si>
  <si>
    <t>WEN-BEV-008</t>
  </si>
  <si>
    <t>Lemon-Lime Soda - Medium</t>
  </si>
  <si>
    <t>WEN-BEV-009</t>
  </si>
  <si>
    <t>Lemon-Lime Soda - Large</t>
  </si>
  <si>
    <t>WEN-BEV-010</t>
  </si>
  <si>
    <t>Root Beer - Small</t>
  </si>
  <si>
    <t>WEN-BEV-011</t>
  </si>
  <si>
    <t>Root Beer - Medium</t>
  </si>
  <si>
    <t>WEN-BEV-012</t>
  </si>
  <si>
    <t>Root Beer - Large</t>
  </si>
  <si>
    <t>WEN-BEV-013</t>
  </si>
  <si>
    <t>Iced Tea - Small</t>
  </si>
  <si>
    <t>WEN-BEV-014</t>
  </si>
  <si>
    <t>Iced Tea - Medium</t>
  </si>
  <si>
    <t>WEN-BEV-015</t>
  </si>
  <si>
    <t>Iced Tea - Large</t>
  </si>
  <si>
    <t>WEN-BEV-016</t>
  </si>
  <si>
    <t>Lemonade - Small</t>
  </si>
  <si>
    <t>WEN-BEV-017</t>
  </si>
  <si>
    <t>Lemonade - Medium</t>
  </si>
  <si>
    <t>WEN-BEV-018</t>
  </si>
  <si>
    <t>Lemonade - Large</t>
  </si>
  <si>
    <t>WEN-BEV-019</t>
  </si>
  <si>
    <t>Strawberry Lemonade - Small</t>
  </si>
  <si>
    <t>WEN-BEV-020</t>
  </si>
  <si>
    <t>Strawberry Lemonade - Medium</t>
  </si>
  <si>
    <t>WEN-BEV-021</t>
  </si>
  <si>
    <t>Strawberry Lemonade - Large</t>
  </si>
  <si>
    <t>WEN-BEV-022</t>
  </si>
  <si>
    <t>Orange Juice</t>
  </si>
  <si>
    <t>WEN-BEV-023</t>
  </si>
  <si>
    <t>Apple Juice</t>
  </si>
  <si>
    <t>WEN-BEV-024</t>
  </si>
  <si>
    <t>Bottled Water</t>
  </si>
  <si>
    <t>WEN-BEV-025</t>
  </si>
  <si>
    <t>Hot Coffee - Small</t>
  </si>
  <si>
    <t>WEN-BEV-026</t>
  </si>
  <si>
    <t>Hot Coffee - Medium</t>
  </si>
  <si>
    <t>WEN-BEV-027</t>
  </si>
  <si>
    <t>Hot Coffee - Large</t>
  </si>
  <si>
    <t>WEN-BEV-028</t>
  </si>
  <si>
    <t>Iced Coffee - Small</t>
  </si>
  <si>
    <t>WEN-BEV-029</t>
  </si>
  <si>
    <t>Iced Coffee - Medium</t>
  </si>
  <si>
    <t>WEN-BEV-030</t>
  </si>
  <si>
    <t>Iced Coffee - Large</t>
  </si>
  <si>
    <t>WEN-BEV-031</t>
  </si>
  <si>
    <t>Vanilla Cold Brew</t>
  </si>
  <si>
    <t>WEN-BEV-032</t>
  </si>
  <si>
    <t>Caramel Cold Brew</t>
  </si>
  <si>
    <t>WEN-BEV-033</t>
  </si>
  <si>
    <t>Chocolate Cold Brew</t>
  </si>
  <si>
    <t>WEN-BEV-034</t>
  </si>
  <si>
    <t>Milk - White</t>
  </si>
  <si>
    <t>WEN-BEV-035</t>
  </si>
  <si>
    <t>Milk - Chocolate</t>
  </si>
  <si>
    <t>WEN-DES-001</t>
  </si>
  <si>
    <t>Vanilla Frozen Dessert - Small</t>
  </si>
  <si>
    <t>WEN-DES-002</t>
  </si>
  <si>
    <t>Vanilla Frozen Dessert - Medium</t>
  </si>
  <si>
    <t>WEN-DES-003</t>
  </si>
  <si>
    <t>Vanilla Frozen Dessert - Large</t>
  </si>
  <si>
    <t>WEN-DES-004</t>
  </si>
  <si>
    <t>Chocolate Frozen Dessert - Small</t>
  </si>
  <si>
    <t>WEN-DES-005</t>
  </si>
  <si>
    <t>Chocolate Frozen Dessert - Medium</t>
  </si>
  <si>
    <t>WEN-DES-006</t>
  </si>
  <si>
    <t>Chocolate Frozen Dessert - Large</t>
  </si>
  <si>
    <t>WEN-DES-007</t>
  </si>
  <si>
    <t>Chocolate Chip Cookie</t>
  </si>
  <si>
    <t>WEN-DES-008</t>
  </si>
  <si>
    <t>Double Chocolate Cookie</t>
  </si>
  <si>
    <t>WEN-DES-009</t>
  </si>
  <si>
    <t>Oatmeal Raisin Cookie</t>
  </si>
  <si>
    <t>WEN-DES-010</t>
  </si>
  <si>
    <t>Sugar Cookie</t>
  </si>
  <si>
    <t>WEN-DES-011</t>
  </si>
  <si>
    <t>Brownie</t>
  </si>
  <si>
    <t>WEN-DES-012</t>
  </si>
  <si>
    <t>Chocolate Brownie Sundae</t>
  </si>
  <si>
    <t>WEN-DES-013</t>
  </si>
  <si>
    <t>Caramel Sundae</t>
  </si>
  <si>
    <t>WEN-DES-014</t>
  </si>
  <si>
    <t>Chocolate Sundae</t>
  </si>
  <si>
    <t>WEN-DES-015</t>
  </si>
  <si>
    <t>Strawberry Sundae</t>
  </si>
  <si>
    <t>WEN-DES-016</t>
  </si>
  <si>
    <t>Vanilla Shake - Small</t>
  </si>
  <si>
    <t>WEN-DES-017</t>
  </si>
  <si>
    <t>Vanilla Shake - Large</t>
  </si>
  <si>
    <t>WEN-DES-018</t>
  </si>
  <si>
    <t>Chocolate Shake - Small</t>
  </si>
  <si>
    <t>WEN-DES-019</t>
  </si>
  <si>
    <t>Chocolate Shake - Large</t>
  </si>
  <si>
    <t>WEN-DES-020</t>
  </si>
  <si>
    <t>Caramel Shake - Large</t>
  </si>
  <si>
    <t>WEN-KID-001</t>
  </si>
  <si>
    <t>Kids Cheeseburger Meal</t>
  </si>
  <si>
    <t>Kids Meals</t>
  </si>
  <si>
    <t>WEN-KID-002</t>
  </si>
  <si>
    <t>Kids Hamburger Meal</t>
  </si>
  <si>
    <t>WEN-KID-003</t>
  </si>
  <si>
    <t>Kids Chicken Sandwich Meal</t>
  </si>
  <si>
    <t>WEN-KID-004</t>
  </si>
  <si>
    <t>Kids Nuggets Meal - 4 pc</t>
  </si>
  <si>
    <t>WEN-KID-005</t>
  </si>
  <si>
    <t>Kids Nuggets Meal - 6 pc</t>
  </si>
  <si>
    <t>WEN-KID-006</t>
  </si>
  <si>
    <t>Kids Grilled Chicken Meal</t>
  </si>
  <si>
    <t>WEN-KID-007</t>
  </si>
  <si>
    <t>Kids Breakfast Sandwich Meal</t>
  </si>
  <si>
    <t>WEN-KID-008</t>
  </si>
  <si>
    <t>Kids French Toast Meal</t>
  </si>
  <si>
    <t>WEN-KID-009</t>
  </si>
  <si>
    <t>Kids Mac &amp; Cheese Meal</t>
  </si>
  <si>
    <t>WEN-KID-010</t>
  </si>
  <si>
    <t>Kids Mini Wrap Meal</t>
  </si>
  <si>
    <t>WEN-SAU-001</t>
  </si>
  <si>
    <t>Ketchup Packet</t>
  </si>
  <si>
    <t>WEN-SAU-002</t>
  </si>
  <si>
    <t>Mayonnaise Packet</t>
  </si>
  <si>
    <t>WEN-SAU-003</t>
  </si>
  <si>
    <t>Mustard Packet</t>
  </si>
  <si>
    <t>WEN-SAU-004</t>
  </si>
  <si>
    <t>BBQ Sauce Cup</t>
  </si>
  <si>
    <t>WEN-SAU-005</t>
  </si>
  <si>
    <t>Ranch Sauce Cup</t>
  </si>
  <si>
    <t>WEN-SAU-006</t>
  </si>
  <si>
    <t>Honey Mustard Sauce Cup</t>
  </si>
  <si>
    <t>WEN-SAU-007</t>
  </si>
  <si>
    <t>Spicy Sauce Cup</t>
  </si>
  <si>
    <t>WEN-SAU-008</t>
  </si>
  <si>
    <t>Extra Cheese Slice</t>
  </si>
  <si>
    <t>WEN-SAU-009</t>
  </si>
  <si>
    <t>Extra Bacon Portion</t>
  </si>
  <si>
    <t>WEN-SAU-010</t>
  </si>
  <si>
    <t>Avocado Add-on</t>
  </si>
  <si>
    <t>WEN-COM-001</t>
  </si>
  <si>
    <t>Classic Single Combo</t>
  </si>
  <si>
    <t>Combo Meals</t>
  </si>
  <si>
    <t>WEN-COM-002</t>
  </si>
  <si>
    <t>Classic Double Combo</t>
  </si>
  <si>
    <t>WEN-COM-003</t>
  </si>
  <si>
    <t>Bacon Double Combo</t>
  </si>
  <si>
    <t>WEN-COM-004</t>
  </si>
  <si>
    <t>Spicy Chicken Combo</t>
  </si>
  <si>
    <t>WEN-COM-005</t>
  </si>
  <si>
    <t>Grilled Chicken Combo</t>
  </si>
  <si>
    <t>WEN-COM-006</t>
  </si>
  <si>
    <t>Crispy Chicken Combo</t>
  </si>
  <si>
    <t>WEN-COM-007</t>
  </si>
  <si>
    <t>10 pc Nuggets Combo</t>
  </si>
  <si>
    <t>WEN-COM-008</t>
  </si>
  <si>
    <t>Breakfast Croissant Combo</t>
  </si>
  <si>
    <t>WEN-COM-009</t>
  </si>
  <si>
    <t>Chicken Biscuit Combo</t>
  </si>
  <si>
    <t>WEN-COM-010</t>
  </si>
  <si>
    <t>Southwest Chicken Salad Combo</t>
  </si>
  <si>
    <t xml:space="preserve">Supplier ID </t>
  </si>
  <si>
    <t>Supplier ID</t>
  </si>
  <si>
    <t>SUP01</t>
  </si>
  <si>
    <t>SUP02</t>
  </si>
  <si>
    <t>SUP03</t>
  </si>
  <si>
    <t>SUP04</t>
  </si>
  <si>
    <t>SUP05</t>
  </si>
  <si>
    <t>SUP06</t>
  </si>
  <si>
    <t>SUP07</t>
  </si>
  <si>
    <t>SUP08</t>
  </si>
  <si>
    <t>Suppliers</t>
  </si>
  <si>
    <t>Sale ID</t>
  </si>
  <si>
    <t>Sale Date</t>
  </si>
  <si>
    <t>Store Location</t>
  </si>
  <si>
    <t>Sales Channel</t>
  </si>
  <si>
    <t>Quantity Sold</t>
  </si>
  <si>
    <t>Unit Selling Price (CAD)</t>
  </si>
  <si>
    <t>Sales Revenue (CAD)</t>
  </si>
  <si>
    <t>SAL-00001</t>
  </si>
  <si>
    <t>Kamloops - Downtown</t>
  </si>
  <si>
    <t>Delivery</t>
  </si>
  <si>
    <t>SAL-00002</t>
  </si>
  <si>
    <t>Kamloops - Valleyview</t>
  </si>
  <si>
    <t>SAL-00003</t>
  </si>
  <si>
    <t>Kamloops - Aberdeen</t>
  </si>
  <si>
    <t>Drive-Thru</t>
  </si>
  <si>
    <t>SAL-00004</t>
  </si>
  <si>
    <t>Takeout</t>
  </si>
  <si>
    <t>SAL-00005</t>
  </si>
  <si>
    <t>Dine-In</t>
  </si>
  <si>
    <t>SAL-00006</t>
  </si>
  <si>
    <t>SAL-00007</t>
  </si>
  <si>
    <t>SAL-00008</t>
  </si>
  <si>
    <t>SAL-00009</t>
  </si>
  <si>
    <t>SAL-00010</t>
  </si>
  <si>
    <t>SAL-00011</t>
  </si>
  <si>
    <t>SAL-00012</t>
  </si>
  <si>
    <t>SAL-00013</t>
  </si>
  <si>
    <t>SAL-00014</t>
  </si>
  <si>
    <t>SAL-00015</t>
  </si>
  <si>
    <t>SAL-00016</t>
  </si>
  <si>
    <t>SAL-00017</t>
  </si>
  <si>
    <t>SAL-00018</t>
  </si>
  <si>
    <t>SAL-00019</t>
  </si>
  <si>
    <t>SAL-00020</t>
  </si>
  <si>
    <t>SAL-00021</t>
  </si>
  <si>
    <t>SAL-00022</t>
  </si>
  <si>
    <t>SAL-00023</t>
  </si>
  <si>
    <t>SAL-00024</t>
  </si>
  <si>
    <t>SAL-00025</t>
  </si>
  <si>
    <t>SAL-00026</t>
  </si>
  <si>
    <t>SAL-00027</t>
  </si>
  <si>
    <t>SAL-00028</t>
  </si>
  <si>
    <t>SAL-00029</t>
  </si>
  <si>
    <t>SAL-00030</t>
  </si>
  <si>
    <t>SAL-00031</t>
  </si>
  <si>
    <t>SAL-00032</t>
  </si>
  <si>
    <t>SAL-00033</t>
  </si>
  <si>
    <t>SAL-00034</t>
  </si>
  <si>
    <t>SAL-00035</t>
  </si>
  <si>
    <t>SAL-00036</t>
  </si>
  <si>
    <t>SAL-00037</t>
  </si>
  <si>
    <t>SAL-00038</t>
  </si>
  <si>
    <t>SAL-00039</t>
  </si>
  <si>
    <t>SAL-00040</t>
  </si>
  <si>
    <t>SAL-00041</t>
  </si>
  <si>
    <t>SAL-00042</t>
  </si>
  <si>
    <t>SAL-00043</t>
  </si>
  <si>
    <t>SAL-00044</t>
  </si>
  <si>
    <t>SAL-00045</t>
  </si>
  <si>
    <t>SAL-00046</t>
  </si>
  <si>
    <t>SAL-00047</t>
  </si>
  <si>
    <t>SAL-00048</t>
  </si>
  <si>
    <t>SAL-00049</t>
  </si>
  <si>
    <t>SAL-00050</t>
  </si>
  <si>
    <t>SAL-00051</t>
  </si>
  <si>
    <t>SAL-00052</t>
  </si>
  <si>
    <t>SAL-00053</t>
  </si>
  <si>
    <t>SAL-00054</t>
  </si>
  <si>
    <t>SAL-00055</t>
  </si>
  <si>
    <t>SAL-00056</t>
  </si>
  <si>
    <t>SAL-00057</t>
  </si>
  <si>
    <t>SAL-00058</t>
  </si>
  <si>
    <t>SAL-00059</t>
  </si>
  <si>
    <t>SAL-00060</t>
  </si>
  <si>
    <t>SAL-00061</t>
  </si>
  <si>
    <t>SAL-00062</t>
  </si>
  <si>
    <t>SAL-00063</t>
  </si>
  <si>
    <t>SAL-00064</t>
  </si>
  <si>
    <t>SAL-00065</t>
  </si>
  <si>
    <t>SAL-00066</t>
  </si>
  <si>
    <t>SAL-00067</t>
  </si>
  <si>
    <t>SAL-00068</t>
  </si>
  <si>
    <t>SAL-00069</t>
  </si>
  <si>
    <t>SAL-00070</t>
  </si>
  <si>
    <t>SAL-00071</t>
  </si>
  <si>
    <t>SAL-00072</t>
  </si>
  <si>
    <t>SAL-00073</t>
  </si>
  <si>
    <t>SAL-00074</t>
  </si>
  <si>
    <t>SAL-00075</t>
  </si>
  <si>
    <t>SAL-00076</t>
  </si>
  <si>
    <t>SAL-00077</t>
  </si>
  <si>
    <t>SAL-00078</t>
  </si>
  <si>
    <t>SAL-00079</t>
  </si>
  <si>
    <t>SAL-00080</t>
  </si>
  <si>
    <t>SAL-00081</t>
  </si>
  <si>
    <t>SAL-00082</t>
  </si>
  <si>
    <t>SAL-00083</t>
  </si>
  <si>
    <t>SAL-00084</t>
  </si>
  <si>
    <t>SAL-00085</t>
  </si>
  <si>
    <t>SAL-00086</t>
  </si>
  <si>
    <t>SAL-00087</t>
  </si>
  <si>
    <t>SAL-00088</t>
  </si>
  <si>
    <t>SAL-00089</t>
  </si>
  <si>
    <t>SAL-00090</t>
  </si>
  <si>
    <t>SAL-00091</t>
  </si>
  <si>
    <t>SAL-00092</t>
  </si>
  <si>
    <t>SAL-00093</t>
  </si>
  <si>
    <t>SAL-00094</t>
  </si>
  <si>
    <t>SAL-00095</t>
  </si>
  <si>
    <t>SAL-00096</t>
  </si>
  <si>
    <t>SAL-00097</t>
  </si>
  <si>
    <t>SAL-00098</t>
  </si>
  <si>
    <t>SAL-00099</t>
  </si>
  <si>
    <t>SAL-00100</t>
  </si>
  <si>
    <t>SAL-00101</t>
  </si>
  <si>
    <t>SAL-00102</t>
  </si>
  <si>
    <t>SAL-00103</t>
  </si>
  <si>
    <t>SAL-00104</t>
  </si>
  <si>
    <t>SAL-00105</t>
  </si>
  <si>
    <t>SAL-00106</t>
  </si>
  <si>
    <t>SAL-00107</t>
  </si>
  <si>
    <t>SAL-00108</t>
  </si>
  <si>
    <t>SAL-00109</t>
  </si>
  <si>
    <t>SAL-00110</t>
  </si>
  <si>
    <t>SAL-00111</t>
  </si>
  <si>
    <t>SAL-00112</t>
  </si>
  <si>
    <t>SAL-00113</t>
  </si>
  <si>
    <t>SAL-00114</t>
  </si>
  <si>
    <t>SAL-00115</t>
  </si>
  <si>
    <t>SAL-00116</t>
  </si>
  <si>
    <t>SAL-00117</t>
  </si>
  <si>
    <t>SAL-00118</t>
  </si>
  <si>
    <t>SAL-00119</t>
  </si>
  <si>
    <t>SAL-00120</t>
  </si>
  <si>
    <t>SAL-00121</t>
  </si>
  <si>
    <t>SAL-00122</t>
  </si>
  <si>
    <t>SAL-00123</t>
  </si>
  <si>
    <t>SAL-00124</t>
  </si>
  <si>
    <t>SAL-00125</t>
  </si>
  <si>
    <t>SAL-00126</t>
  </si>
  <si>
    <t>SAL-00127</t>
  </si>
  <si>
    <t>SAL-00128</t>
  </si>
  <si>
    <t>SAL-00129</t>
  </si>
  <si>
    <t>SAL-00130</t>
  </si>
  <si>
    <t>SAL-00131</t>
  </si>
  <si>
    <t>SAL-00132</t>
  </si>
  <si>
    <t>SAL-00133</t>
  </si>
  <si>
    <t>SAL-00134</t>
  </si>
  <si>
    <t>SAL-00135</t>
  </si>
  <si>
    <t>SAL-00136</t>
  </si>
  <si>
    <t>SAL-00137</t>
  </si>
  <si>
    <t>SAL-00138</t>
  </si>
  <si>
    <t>SAL-00139</t>
  </si>
  <si>
    <t>SAL-00140</t>
  </si>
  <si>
    <t>SAL-00141</t>
  </si>
  <si>
    <t>SAL-00142</t>
  </si>
  <si>
    <t>SAL-00143</t>
  </si>
  <si>
    <t>SAL-00144</t>
  </si>
  <si>
    <t>SAL-00145</t>
  </si>
  <si>
    <t>SAL-00146</t>
  </si>
  <si>
    <t>SAL-00147</t>
  </si>
  <si>
    <t>SAL-00148</t>
  </si>
  <si>
    <t>SAL-00149</t>
  </si>
  <si>
    <t>SAL-00150</t>
  </si>
  <si>
    <t>SAL-00151</t>
  </si>
  <si>
    <t>SAL-00152</t>
  </si>
  <si>
    <t>SAL-00153</t>
  </si>
  <si>
    <t>SAL-00154</t>
  </si>
  <si>
    <t>SAL-00155</t>
  </si>
  <si>
    <t>SAL-00156</t>
  </si>
  <si>
    <t>SAL-00157</t>
  </si>
  <si>
    <t>SAL-00158</t>
  </si>
  <si>
    <t>SAL-00159</t>
  </si>
  <si>
    <t>SAL-00160</t>
  </si>
  <si>
    <t>SAL-00161</t>
  </si>
  <si>
    <t>SAL-00162</t>
  </si>
  <si>
    <t>SAL-00163</t>
  </si>
  <si>
    <t>SAL-00164</t>
  </si>
  <si>
    <t>SAL-00165</t>
  </si>
  <si>
    <t>SAL-00166</t>
  </si>
  <si>
    <t>SAL-00167</t>
  </si>
  <si>
    <t>SAL-00168</t>
  </si>
  <si>
    <t>SAL-00169</t>
  </si>
  <si>
    <t>SAL-00170</t>
  </si>
  <si>
    <t>SAL-00171</t>
  </si>
  <si>
    <t>SAL-00172</t>
  </si>
  <si>
    <t>SAL-00173</t>
  </si>
  <si>
    <t>SAL-00174</t>
  </si>
  <si>
    <t>SAL-00175</t>
  </si>
  <si>
    <t>SAL-00176</t>
  </si>
  <si>
    <t>SAL-00177</t>
  </si>
  <si>
    <t>SAL-00178</t>
  </si>
  <si>
    <t>SAL-00179</t>
  </si>
  <si>
    <t>SAL-00180</t>
  </si>
  <si>
    <t>SAL-00181</t>
  </si>
  <si>
    <t>SAL-00182</t>
  </si>
  <si>
    <t>SAL-00183</t>
  </si>
  <si>
    <t>SAL-00184</t>
  </si>
  <si>
    <t>SAL-00185</t>
  </si>
  <si>
    <t>SAL-00186</t>
  </si>
  <si>
    <t>SAL-00187</t>
  </si>
  <si>
    <t>SAL-00188</t>
  </si>
  <si>
    <t>SAL-00189</t>
  </si>
  <si>
    <t>SAL-00190</t>
  </si>
  <si>
    <t>SAL-00191</t>
  </si>
  <si>
    <t>SAL-00192</t>
  </si>
  <si>
    <t>SAL-00193</t>
  </si>
  <si>
    <t>SAL-00194</t>
  </si>
  <si>
    <t>SAL-00195</t>
  </si>
  <si>
    <t>SAL-00196</t>
  </si>
  <si>
    <t>SAL-00197</t>
  </si>
  <si>
    <t>SAL-00198</t>
  </si>
  <si>
    <t>SAL-00199</t>
  </si>
  <si>
    <t>SAL-00200</t>
  </si>
  <si>
    <t>SAL-00201</t>
  </si>
  <si>
    <t>SAL-00202</t>
  </si>
  <si>
    <t>SAL-00203</t>
  </si>
  <si>
    <t>SAL-00204</t>
  </si>
  <si>
    <t>SAL-00205</t>
  </si>
  <si>
    <t>SAL-00206</t>
  </si>
  <si>
    <t>SAL-00207</t>
  </si>
  <si>
    <t>SAL-00208</t>
  </si>
  <si>
    <t>SAL-00209</t>
  </si>
  <si>
    <t>SAL-00210</t>
  </si>
  <si>
    <t>SAL-00211</t>
  </si>
  <si>
    <t>SAL-00212</t>
  </si>
  <si>
    <t>SAL-00213</t>
  </si>
  <si>
    <t>SAL-00214</t>
  </si>
  <si>
    <t>SAL-00215</t>
  </si>
  <si>
    <t>SAL-00216</t>
  </si>
  <si>
    <t>SAL-00217</t>
  </si>
  <si>
    <t>SAL-00218</t>
  </si>
  <si>
    <t>SAL-00219</t>
  </si>
  <si>
    <t>SAL-00220</t>
  </si>
  <si>
    <t>SAL-00221</t>
  </si>
  <si>
    <t>SAL-00222</t>
  </si>
  <si>
    <t>SAL-00223</t>
  </si>
  <si>
    <t>SAL-00224</t>
  </si>
  <si>
    <t>SAL-00225</t>
  </si>
  <si>
    <t>SAL-00226</t>
  </si>
  <si>
    <t>SAL-00227</t>
  </si>
  <si>
    <t>SAL-00228</t>
  </si>
  <si>
    <t>SAL-00229</t>
  </si>
  <si>
    <t>SAL-00230</t>
  </si>
  <si>
    <t>SAL-00231</t>
  </si>
  <si>
    <t>SAL-00232</t>
  </si>
  <si>
    <t>SAL-00233</t>
  </si>
  <si>
    <t>SAL-00234</t>
  </si>
  <si>
    <t>SAL-00235</t>
  </si>
  <si>
    <t>SAL-00236</t>
  </si>
  <si>
    <t>SAL-00237</t>
  </si>
  <si>
    <t>SAL-00238</t>
  </si>
  <si>
    <t>SAL-00239</t>
  </si>
  <si>
    <t>SAL-00240</t>
  </si>
  <si>
    <t>SAL-00241</t>
  </si>
  <si>
    <t>SAL-00242</t>
  </si>
  <si>
    <t>SAL-00243</t>
  </si>
  <si>
    <t>SAL-00244</t>
  </si>
  <si>
    <t>SAL-00245</t>
  </si>
  <si>
    <t>SAL-00246</t>
  </si>
  <si>
    <t>SAL-00247</t>
  </si>
  <si>
    <t>SAL-00248</t>
  </si>
  <si>
    <t>SAL-00249</t>
  </si>
  <si>
    <t>SAL-00250</t>
  </si>
  <si>
    <t>SAL-00251</t>
  </si>
  <si>
    <t>SAL-00252</t>
  </si>
  <si>
    <t>SAL-00253</t>
  </si>
  <si>
    <t>SAL-00254</t>
  </si>
  <si>
    <t>SAL-00255</t>
  </si>
  <si>
    <t>SAL-00256</t>
  </si>
  <si>
    <t>SAL-00257</t>
  </si>
  <si>
    <t>SAL-00258</t>
  </si>
  <si>
    <t>SAL-00259</t>
  </si>
  <si>
    <t>SAL-00260</t>
  </si>
  <si>
    <t>SAL-00261</t>
  </si>
  <si>
    <t>SAL-00262</t>
  </si>
  <si>
    <t>SAL-00263</t>
  </si>
  <si>
    <t>SAL-00264</t>
  </si>
  <si>
    <t>SAL-00265</t>
  </si>
  <si>
    <t>SAL-00266</t>
  </si>
  <si>
    <t>SAL-00267</t>
  </si>
  <si>
    <t>SAL-00268</t>
  </si>
  <si>
    <t>SAL-00269</t>
  </si>
  <si>
    <t>SAL-00270</t>
  </si>
  <si>
    <t>SAL-00271</t>
  </si>
  <si>
    <t>SAL-00272</t>
  </si>
  <si>
    <t>SAL-00273</t>
  </si>
  <si>
    <t>SAL-00274</t>
  </si>
  <si>
    <t>SAL-00275</t>
  </si>
  <si>
    <t>SAL-00276</t>
  </si>
  <si>
    <t>SAL-00277</t>
  </si>
  <si>
    <t>SAL-00278</t>
  </si>
  <si>
    <t>SAL-00279</t>
  </si>
  <si>
    <t>SAL-00280</t>
  </si>
  <si>
    <t>SAL-00281</t>
  </si>
  <si>
    <t>SAL-00282</t>
  </si>
  <si>
    <t>SAL-00283</t>
  </si>
  <si>
    <t>SAL-00284</t>
  </si>
  <si>
    <t>SAL-00285</t>
  </si>
  <si>
    <t>SAL-00286</t>
  </si>
  <si>
    <t>SAL-00287</t>
  </si>
  <si>
    <t>SAL-00288</t>
  </si>
  <si>
    <t>SAL-00289</t>
  </si>
  <si>
    <t>SAL-00290</t>
  </si>
  <si>
    <t>SAL-00291</t>
  </si>
  <si>
    <t>SAL-00292</t>
  </si>
  <si>
    <t>SAL-00293</t>
  </si>
  <si>
    <t>SAL-00294</t>
  </si>
  <si>
    <t>SAL-00295</t>
  </si>
  <si>
    <t>SAL-00296</t>
  </si>
  <si>
    <t>SAL-00297</t>
  </si>
  <si>
    <t>SAL-00298</t>
  </si>
  <si>
    <t>SAL-00299</t>
  </si>
  <si>
    <t>SAL-00300</t>
  </si>
  <si>
    <t>SAL-00301</t>
  </si>
  <si>
    <t>SAL-00302</t>
  </si>
  <si>
    <t>SAL-00303</t>
  </si>
  <si>
    <t>SAL-00304</t>
  </si>
  <si>
    <t>SAL-00305</t>
  </si>
  <si>
    <t>SAL-00306</t>
  </si>
  <si>
    <t>SAL-00307</t>
  </si>
  <si>
    <t>SAL-00308</t>
  </si>
  <si>
    <t>SAL-00309</t>
  </si>
  <si>
    <t>SAL-00310</t>
  </si>
  <si>
    <t>SAL-00311</t>
  </si>
  <si>
    <t>SAL-00312</t>
  </si>
  <si>
    <t>SAL-00313</t>
  </si>
  <si>
    <t>SAL-00314</t>
  </si>
  <si>
    <t>SAL-00315</t>
  </si>
  <si>
    <t>SAL-00316</t>
  </si>
  <si>
    <t>SAL-00317</t>
  </si>
  <si>
    <t>SAL-00318</t>
  </si>
  <si>
    <t>SAL-00319</t>
  </si>
  <si>
    <t>SAL-00320</t>
  </si>
  <si>
    <t>SAL-00321</t>
  </si>
  <si>
    <t>SAL-00322</t>
  </si>
  <si>
    <t>SAL-00323</t>
  </si>
  <si>
    <t>SAL-00324</t>
  </si>
  <si>
    <t>SAL-00325</t>
  </si>
  <si>
    <t>SAL-00326</t>
  </si>
  <si>
    <t>SAL-00327</t>
  </si>
  <si>
    <t>SAL-00328</t>
  </si>
  <si>
    <t>SAL-00329</t>
  </si>
  <si>
    <t>SAL-00330</t>
  </si>
  <si>
    <t>SAL-00331</t>
  </si>
  <si>
    <t>SAL-00332</t>
  </si>
  <si>
    <t>SAL-00333</t>
  </si>
  <si>
    <t>SAL-00334</t>
  </si>
  <si>
    <t>SAL-00335</t>
  </si>
  <si>
    <t>SAL-00336</t>
  </si>
  <si>
    <t>SAL-00337</t>
  </si>
  <si>
    <t>SAL-00338</t>
  </si>
  <si>
    <t>SAL-00339</t>
  </si>
  <si>
    <t>SAL-00340</t>
  </si>
  <si>
    <t>SAL-00341</t>
  </si>
  <si>
    <t>SAL-00342</t>
  </si>
  <si>
    <t>SAL-00343</t>
  </si>
  <si>
    <t>SAL-00344</t>
  </si>
  <si>
    <t>SAL-00345</t>
  </si>
  <si>
    <t>SAL-00346</t>
  </si>
  <si>
    <t>SAL-00347</t>
  </si>
  <si>
    <t>SAL-00348</t>
  </si>
  <si>
    <t>SAL-00349</t>
  </si>
  <si>
    <t>SAL-00350</t>
  </si>
  <si>
    <t>SAL-00351</t>
  </si>
  <si>
    <t>SAL-00352</t>
  </si>
  <si>
    <t>SAL-00353</t>
  </si>
  <si>
    <t>SAL-00354</t>
  </si>
  <si>
    <t>SAL-00355</t>
  </si>
  <si>
    <t>SAL-00356</t>
  </si>
  <si>
    <t>SAL-00357</t>
  </si>
  <si>
    <t>SAL-00358</t>
  </si>
  <si>
    <t>SAL-00359</t>
  </si>
  <si>
    <t>SAL-00360</t>
  </si>
  <si>
    <t>SAL-00361</t>
  </si>
  <si>
    <t>SAL-00362</t>
  </si>
  <si>
    <t>SAL-00363</t>
  </si>
  <si>
    <t>SAL-00364</t>
  </si>
  <si>
    <t>SAL-00365</t>
  </si>
  <si>
    <t>SAL-00366</t>
  </si>
  <si>
    <t>SAL-00367</t>
  </si>
  <si>
    <t>SAL-00368</t>
  </si>
  <si>
    <t>SAL-00369</t>
  </si>
  <si>
    <t>SAL-00370</t>
  </si>
  <si>
    <t>SAL-00371</t>
  </si>
  <si>
    <t>SAL-00372</t>
  </si>
  <si>
    <t>SAL-00373</t>
  </si>
  <si>
    <t>SAL-00374</t>
  </si>
  <si>
    <t>SAL-00375</t>
  </si>
  <si>
    <t>SAL-00376</t>
  </si>
  <si>
    <t>SAL-00377</t>
  </si>
  <si>
    <t>SAL-00378</t>
  </si>
  <si>
    <t>SAL-00379</t>
  </si>
  <si>
    <t>SAL-00380</t>
  </si>
  <si>
    <t>SAL-00381</t>
  </si>
  <si>
    <t>SAL-00382</t>
  </si>
  <si>
    <t>SAL-00383</t>
  </si>
  <si>
    <t>SAL-00384</t>
  </si>
  <si>
    <t>SAL-00385</t>
  </si>
  <si>
    <t>SAL-00386</t>
  </si>
  <si>
    <t>SAL-00387</t>
  </si>
  <si>
    <t>SAL-00388</t>
  </si>
  <si>
    <t>SAL-00389</t>
  </si>
  <si>
    <t>SAL-00390</t>
  </si>
  <si>
    <t>SAL-00391</t>
  </si>
  <si>
    <t>SAL-00392</t>
  </si>
  <si>
    <t>SAL-00393</t>
  </si>
  <si>
    <t>SAL-00394</t>
  </si>
  <si>
    <t>SAL-00395</t>
  </si>
  <si>
    <t>SAL-00396</t>
  </si>
  <si>
    <t>SAL-00397</t>
  </si>
  <si>
    <t>SAL-00398</t>
  </si>
  <si>
    <t>SAL-00399</t>
  </si>
  <si>
    <t>SAL-00400</t>
  </si>
  <si>
    <t>SAL-00401</t>
  </si>
  <si>
    <t>SAL-00402</t>
  </si>
  <si>
    <t>SAL-00403</t>
  </si>
  <si>
    <t>SAL-00404</t>
  </si>
  <si>
    <t>SAL-00405</t>
  </si>
  <si>
    <t>SAL-00406</t>
  </si>
  <si>
    <t>SAL-00407</t>
  </si>
  <si>
    <t>SAL-00408</t>
  </si>
  <si>
    <t>SAL-00409</t>
  </si>
  <si>
    <t>SAL-00410</t>
  </si>
  <si>
    <t>SAL-00411</t>
  </si>
  <si>
    <t>SAL-00412</t>
  </si>
  <si>
    <t>SAL-00413</t>
  </si>
  <si>
    <t>SAL-00414</t>
  </si>
  <si>
    <t>SAL-00415</t>
  </si>
  <si>
    <t>SAL-00416</t>
  </si>
  <si>
    <t>SAL-00417</t>
  </si>
  <si>
    <t>SAL-00418</t>
  </si>
  <si>
    <t>SAL-00419</t>
  </si>
  <si>
    <t>SAL-00420</t>
  </si>
  <si>
    <t>SAL-00421</t>
  </si>
  <si>
    <t>SAL-00422</t>
  </si>
  <si>
    <t>SAL-00423</t>
  </si>
  <si>
    <t>SAL-00424</t>
  </si>
  <si>
    <t>SAL-00425</t>
  </si>
  <si>
    <t>SAL-00426</t>
  </si>
  <si>
    <t>SAL-00427</t>
  </si>
  <si>
    <t>SAL-00428</t>
  </si>
  <si>
    <t>SAL-00429</t>
  </si>
  <si>
    <t>SAL-00430</t>
  </si>
  <si>
    <t>SAL-00431</t>
  </si>
  <si>
    <t>SAL-00432</t>
  </si>
  <si>
    <t>SAL-00433</t>
  </si>
  <si>
    <t>SAL-00434</t>
  </si>
  <si>
    <t>SAL-00435</t>
  </si>
  <si>
    <t>SAL-00436</t>
  </si>
  <si>
    <t>SAL-00437</t>
  </si>
  <si>
    <t>SAL-00438</t>
  </si>
  <si>
    <t>SAL-00439</t>
  </si>
  <si>
    <t>SAL-00440</t>
  </si>
  <si>
    <t>SAL-00441</t>
  </si>
  <si>
    <t>SAL-00442</t>
  </si>
  <si>
    <t>SAL-00443</t>
  </si>
  <si>
    <t>SAL-00444</t>
  </si>
  <si>
    <t>SAL-00445</t>
  </si>
  <si>
    <t>SAL-00446</t>
  </si>
  <si>
    <t>SAL-00447</t>
  </si>
  <si>
    <t>SAL-00448</t>
  </si>
  <si>
    <t>SAL-00449</t>
  </si>
  <si>
    <t>SAL-00450</t>
  </si>
  <si>
    <t>SAL-00451</t>
  </si>
  <si>
    <t>SAL-00452</t>
  </si>
  <si>
    <t>SAL-00453</t>
  </si>
  <si>
    <t>SAL-00454</t>
  </si>
  <si>
    <t>SAL-00455</t>
  </si>
  <si>
    <t>SAL-00456</t>
  </si>
  <si>
    <t>SAL-00457</t>
  </si>
  <si>
    <t>SAL-00458</t>
  </si>
  <si>
    <t>SAL-00459</t>
  </si>
  <si>
    <t>SAL-00460</t>
  </si>
  <si>
    <t>SAL-00461</t>
  </si>
  <si>
    <t>SAL-00462</t>
  </si>
  <si>
    <t>SAL-00463</t>
  </si>
  <si>
    <t>SAL-00464</t>
  </si>
  <si>
    <t>SAL-00465</t>
  </si>
  <si>
    <t>SAL-00466</t>
  </si>
  <si>
    <t>SAL-00467</t>
  </si>
  <si>
    <t>SAL-00468</t>
  </si>
  <si>
    <t>SAL-00469</t>
  </si>
  <si>
    <t>SAL-00470</t>
  </si>
  <si>
    <t>SAL-00471</t>
  </si>
  <si>
    <t>SAL-00472</t>
  </si>
  <si>
    <t>SAL-00473</t>
  </si>
  <si>
    <t>SAL-00474</t>
  </si>
  <si>
    <t>SAL-00475</t>
  </si>
  <si>
    <t>SAL-00476</t>
  </si>
  <si>
    <t>SAL-00477</t>
  </si>
  <si>
    <t>SAL-00478</t>
  </si>
  <si>
    <t>SAL-00479</t>
  </si>
  <si>
    <t>SAL-00480</t>
  </si>
  <si>
    <t>SAL-00481</t>
  </si>
  <si>
    <t>SAL-00482</t>
  </si>
  <si>
    <t>SAL-00483</t>
  </si>
  <si>
    <t>SAL-00484</t>
  </si>
  <si>
    <t>SAL-00485</t>
  </si>
  <si>
    <t>SAL-00486</t>
  </si>
  <si>
    <t>SAL-00487</t>
  </si>
  <si>
    <t>SAL-00488</t>
  </si>
  <si>
    <t>SAL-00489</t>
  </si>
  <si>
    <t>SAL-00490</t>
  </si>
  <si>
    <t>SAL-00491</t>
  </si>
  <si>
    <t>SAL-00492</t>
  </si>
  <si>
    <t>SAL-00493</t>
  </si>
  <si>
    <t>SAL-00494</t>
  </si>
  <si>
    <t>SAL-00495</t>
  </si>
  <si>
    <t>SAL-00496</t>
  </si>
  <si>
    <t>SAL-00497</t>
  </si>
  <si>
    <t>SAL-00498</t>
  </si>
  <si>
    <t>SAL-00499</t>
  </si>
  <si>
    <t>SAL-00500</t>
  </si>
  <si>
    <t>SAL-00501</t>
  </si>
  <si>
    <t>SAL-00502</t>
  </si>
  <si>
    <t>SAL-00503</t>
  </si>
  <si>
    <t>SAL-00504</t>
  </si>
  <si>
    <t>SAL-00505</t>
  </si>
  <si>
    <t>SAL-00506</t>
  </si>
  <si>
    <t>SAL-00507</t>
  </si>
  <si>
    <t>SAL-00508</t>
  </si>
  <si>
    <t>SAL-00509</t>
  </si>
  <si>
    <t>SAL-00510</t>
  </si>
  <si>
    <t>SAL-00511</t>
  </si>
  <si>
    <t>SAL-00512</t>
  </si>
  <si>
    <t>SAL-00513</t>
  </si>
  <si>
    <t>SAL-00514</t>
  </si>
  <si>
    <t>SAL-00515</t>
  </si>
  <si>
    <t>SAL-00516</t>
  </si>
  <si>
    <t>SAL-00517</t>
  </si>
  <si>
    <t>SAL-00518</t>
  </si>
  <si>
    <t>SAL-00519</t>
  </si>
  <si>
    <t>SAL-00520</t>
  </si>
  <si>
    <t>SAL-00521</t>
  </si>
  <si>
    <t>SAL-00522</t>
  </si>
  <si>
    <t>SAL-00523</t>
  </si>
  <si>
    <t>SAL-00524</t>
  </si>
  <si>
    <t>SAL-00525</t>
  </si>
  <si>
    <t>SAL-00526</t>
  </si>
  <si>
    <t>SAL-00527</t>
  </si>
  <si>
    <t>SAL-00528</t>
  </si>
  <si>
    <t>SAL-00529</t>
  </si>
  <si>
    <t>SAL-00530</t>
  </si>
  <si>
    <t>SAL-00531</t>
  </si>
  <si>
    <t>SAL-00532</t>
  </si>
  <si>
    <t>SAL-00533</t>
  </si>
  <si>
    <t>SAL-00534</t>
  </si>
  <si>
    <t>SAL-00535</t>
  </si>
  <si>
    <t>SAL-00536</t>
  </si>
  <si>
    <t>SAL-00537</t>
  </si>
  <si>
    <t>SAL-00538</t>
  </si>
  <si>
    <t>SAL-00539</t>
  </si>
  <si>
    <t>SAL-00540</t>
  </si>
  <si>
    <t>SAL-00541</t>
  </si>
  <si>
    <t>SAL-00542</t>
  </si>
  <si>
    <t>SAL-00543</t>
  </si>
  <si>
    <t>SAL-00544</t>
  </si>
  <si>
    <t>SAL-00545</t>
  </si>
  <si>
    <t>SAL-00546</t>
  </si>
  <si>
    <t>SAL-00547</t>
  </si>
  <si>
    <t>SAL-00548</t>
  </si>
  <si>
    <t>SAL-00549</t>
  </si>
  <si>
    <t>SAL-00550</t>
  </si>
  <si>
    <t>SAL-00551</t>
  </si>
  <si>
    <t>SAL-00552</t>
  </si>
  <si>
    <t>SAL-00553</t>
  </si>
  <si>
    <t>SAL-00554</t>
  </si>
  <si>
    <t>SAL-00555</t>
  </si>
  <si>
    <t>SAL-00556</t>
  </si>
  <si>
    <t>SAL-00557</t>
  </si>
  <si>
    <t>SAL-00558</t>
  </si>
  <si>
    <t>SAL-00559</t>
  </si>
  <si>
    <t>SAL-00560</t>
  </si>
  <si>
    <t>SAL-00561</t>
  </si>
  <si>
    <t>SAL-00562</t>
  </si>
  <si>
    <t>SAL-00563</t>
  </si>
  <si>
    <t>SAL-00564</t>
  </si>
  <si>
    <t>SAL-00565</t>
  </si>
  <si>
    <t>SAL-00566</t>
  </si>
  <si>
    <t>SAL-00567</t>
  </si>
  <si>
    <t>SAL-00568</t>
  </si>
  <si>
    <t>SAL-00569</t>
  </si>
  <si>
    <t>SAL-00570</t>
  </si>
  <si>
    <t>SAL-00571</t>
  </si>
  <si>
    <t>SAL-00572</t>
  </si>
  <si>
    <t>SAL-00573</t>
  </si>
  <si>
    <t>SAL-00574</t>
  </si>
  <si>
    <t>SAL-00575</t>
  </si>
  <si>
    <t>SAL-00576</t>
  </si>
  <si>
    <t>SAL-00577</t>
  </si>
  <si>
    <t>SAL-00578</t>
  </si>
  <si>
    <t>SAL-00579</t>
  </si>
  <si>
    <t>SAL-00580</t>
  </si>
  <si>
    <t>SAL-00581</t>
  </si>
  <si>
    <t>SAL-00582</t>
  </si>
  <si>
    <t>SAL-00583</t>
  </si>
  <si>
    <t>SAL-00584</t>
  </si>
  <si>
    <t>SAL-00585</t>
  </si>
  <si>
    <t>SAL-00586</t>
  </si>
  <si>
    <t>SAL-00587</t>
  </si>
  <si>
    <t>SAL-00588</t>
  </si>
  <si>
    <t>SAL-00589</t>
  </si>
  <si>
    <t>SAL-00590</t>
  </si>
  <si>
    <t>SAL-00591</t>
  </si>
  <si>
    <t>SAL-00592</t>
  </si>
  <si>
    <t>SAL-00593</t>
  </si>
  <si>
    <t>SAL-00594</t>
  </si>
  <si>
    <t>SAL-00595</t>
  </si>
  <si>
    <t>SAL-00596</t>
  </si>
  <si>
    <t>SAL-00597</t>
  </si>
  <si>
    <t>SAL-00598</t>
  </si>
  <si>
    <t>SAL-00599</t>
  </si>
  <si>
    <t>SAL-00600</t>
  </si>
  <si>
    <t>SAL-00601</t>
  </si>
  <si>
    <t>SAL-00602</t>
  </si>
  <si>
    <t>SAL-00603</t>
  </si>
  <si>
    <t>SAL-00604</t>
  </si>
  <si>
    <t>SAL-00605</t>
  </si>
  <si>
    <t>SAL-00606</t>
  </si>
  <si>
    <t>SAL-00607</t>
  </si>
  <si>
    <t>SAL-00608</t>
  </si>
  <si>
    <t>SAL-00609</t>
  </si>
  <si>
    <t>SAL-00610</t>
  </si>
  <si>
    <t>SAL-00611</t>
  </si>
  <si>
    <t>SAL-00612</t>
  </si>
  <si>
    <t>SAL-00613</t>
  </si>
  <si>
    <t>SAL-00614</t>
  </si>
  <si>
    <t>SAL-00615</t>
  </si>
  <si>
    <t>SAL-00616</t>
  </si>
  <si>
    <t>SAL-00617</t>
  </si>
  <si>
    <t>SAL-00618</t>
  </si>
  <si>
    <t>SAL-00619</t>
  </si>
  <si>
    <t>SAL-00620</t>
  </si>
  <si>
    <t>SAL-00621</t>
  </si>
  <si>
    <t>SAL-00622</t>
  </si>
  <si>
    <t>SAL-00623</t>
  </si>
  <si>
    <t>SAL-00624</t>
  </si>
  <si>
    <t>SAL-00625</t>
  </si>
  <si>
    <t>SAL-00626</t>
  </si>
  <si>
    <t>SAL-00627</t>
  </si>
  <si>
    <t>SAL-00628</t>
  </si>
  <si>
    <t>SAL-00629</t>
  </si>
  <si>
    <t>SAL-00630</t>
  </si>
  <si>
    <t>SAL-00631</t>
  </si>
  <si>
    <t>SAL-00632</t>
  </si>
  <si>
    <t>SAL-00633</t>
  </si>
  <si>
    <t>SAL-00634</t>
  </si>
  <si>
    <t>SAL-00635</t>
  </si>
  <si>
    <t>SAL-00636</t>
  </si>
  <si>
    <t>SAL-00637</t>
  </si>
  <si>
    <t>SAL-00638</t>
  </si>
  <si>
    <t>SAL-00639</t>
  </si>
  <si>
    <t>SAL-00640</t>
  </si>
  <si>
    <t>SAL-00641</t>
  </si>
  <si>
    <t>SAL-00642</t>
  </si>
  <si>
    <t>SAL-00643</t>
  </si>
  <si>
    <t>SAL-00644</t>
  </si>
  <si>
    <t>SAL-00645</t>
  </si>
  <si>
    <t>SAL-00646</t>
  </si>
  <si>
    <t>SAL-00647</t>
  </si>
  <si>
    <t>SAL-00648</t>
  </si>
  <si>
    <t>SAL-00649</t>
  </si>
  <si>
    <t>SAL-00650</t>
  </si>
  <si>
    <t>SAL-00651</t>
  </si>
  <si>
    <t>SAL-00652</t>
  </si>
  <si>
    <t>SAL-00653</t>
  </si>
  <si>
    <t>SAL-00654</t>
  </si>
  <si>
    <t>SAL-00655</t>
  </si>
  <si>
    <t>SAL-00656</t>
  </si>
  <si>
    <t>SAL-00657</t>
  </si>
  <si>
    <t>SAL-00658</t>
  </si>
  <si>
    <t>SAL-00659</t>
  </si>
  <si>
    <t>SAL-00660</t>
  </si>
  <si>
    <t>SAL-00661</t>
  </si>
  <si>
    <t>SAL-00662</t>
  </si>
  <si>
    <t>SAL-00663</t>
  </si>
  <si>
    <t>SAL-00664</t>
  </si>
  <si>
    <t>SAL-00665</t>
  </si>
  <si>
    <t>SAL-00666</t>
  </si>
  <si>
    <t>SAL-00667</t>
  </si>
  <si>
    <t>SAL-00668</t>
  </si>
  <si>
    <t>SAL-00669</t>
  </si>
  <si>
    <t>SAL-00670</t>
  </si>
  <si>
    <t>SAL-00671</t>
  </si>
  <si>
    <t>SAL-00672</t>
  </si>
  <si>
    <t>SAL-00673</t>
  </si>
  <si>
    <t>SAL-00674</t>
  </si>
  <si>
    <t>SAL-00675</t>
  </si>
  <si>
    <t>SAL-00676</t>
  </si>
  <si>
    <t>SAL-00677</t>
  </si>
  <si>
    <t>SAL-00678</t>
  </si>
  <si>
    <t>SAL-00679</t>
  </si>
  <si>
    <t>SAL-00680</t>
  </si>
  <si>
    <t>SAL-00681</t>
  </si>
  <si>
    <t>SAL-00682</t>
  </si>
  <si>
    <t>SAL-00683</t>
  </si>
  <si>
    <t>SAL-00684</t>
  </si>
  <si>
    <t>SAL-00685</t>
  </si>
  <si>
    <t>SAL-00686</t>
  </si>
  <si>
    <t>SAL-00687</t>
  </si>
  <si>
    <t>SAL-00688</t>
  </si>
  <si>
    <t>SAL-00689</t>
  </si>
  <si>
    <t>SAL-00690</t>
  </si>
  <si>
    <t>SAL-00691</t>
  </si>
  <si>
    <t>SAL-00692</t>
  </si>
  <si>
    <t>SAL-00693</t>
  </si>
  <si>
    <t>SAL-00694</t>
  </si>
  <si>
    <t>SAL-00695</t>
  </si>
  <si>
    <t>SAL-00696</t>
  </si>
  <si>
    <t>SAL-00697</t>
  </si>
  <si>
    <t>SAL-00698</t>
  </si>
  <si>
    <t>SAL-00699</t>
  </si>
  <si>
    <t>SAL-00700</t>
  </si>
  <si>
    <t>SAL-00701</t>
  </si>
  <si>
    <t>SAL-00702</t>
  </si>
  <si>
    <t>SAL-00703</t>
  </si>
  <si>
    <t>SAL-00704</t>
  </si>
  <si>
    <t>SAL-00705</t>
  </si>
  <si>
    <t>SAL-00706</t>
  </si>
  <si>
    <t>SAL-00707</t>
  </si>
  <si>
    <t>SAL-00708</t>
  </si>
  <si>
    <t>SAL-00709</t>
  </si>
  <si>
    <t>SAL-00710</t>
  </si>
  <si>
    <t>SAL-00711</t>
  </si>
  <si>
    <t>SAL-00712</t>
  </si>
  <si>
    <t>SAL-00713</t>
  </si>
  <si>
    <t>SAL-00714</t>
  </si>
  <si>
    <t>SAL-00715</t>
  </si>
  <si>
    <t>SAL-00716</t>
  </si>
  <si>
    <t>SAL-00717</t>
  </si>
  <si>
    <t>SAL-00718</t>
  </si>
  <si>
    <t>SAL-00719</t>
  </si>
  <si>
    <t>SAL-00720</t>
  </si>
  <si>
    <t>SAL-00721</t>
  </si>
  <si>
    <t>SAL-00722</t>
  </si>
  <si>
    <t>SAL-00723</t>
  </si>
  <si>
    <t>SAL-00724</t>
  </si>
  <si>
    <t>SAL-00725</t>
  </si>
  <si>
    <t>SAL-00726</t>
  </si>
  <si>
    <t>SAL-00727</t>
  </si>
  <si>
    <t>SAL-00728</t>
  </si>
  <si>
    <t>SAL-00729</t>
  </si>
  <si>
    <t>SAL-00730</t>
  </si>
  <si>
    <t>SAL-00731</t>
  </si>
  <si>
    <t>SAL-00732</t>
  </si>
  <si>
    <t>SAL-00733</t>
  </si>
  <si>
    <t>SAL-00734</t>
  </si>
  <si>
    <t>SAL-00735</t>
  </si>
  <si>
    <t>SAL-00736</t>
  </si>
  <si>
    <t>SAL-00737</t>
  </si>
  <si>
    <t>SAL-00738</t>
  </si>
  <si>
    <t>SAL-00739</t>
  </si>
  <si>
    <t>SAL-00740</t>
  </si>
  <si>
    <t>SAL-00741</t>
  </si>
  <si>
    <t>SAL-00742</t>
  </si>
  <si>
    <t>SAL-00743</t>
  </si>
  <si>
    <t>SAL-00744</t>
  </si>
  <si>
    <t>SAL-00745</t>
  </si>
  <si>
    <t>SAL-00746</t>
  </si>
  <si>
    <t>SAL-00747</t>
  </si>
  <si>
    <t>SAL-00748</t>
  </si>
  <si>
    <t>SAL-00749</t>
  </si>
  <si>
    <t>SAL-00750</t>
  </si>
  <si>
    <t>SAL-00751</t>
  </si>
  <si>
    <t>SAL-00752</t>
  </si>
  <si>
    <t>SAL-00753</t>
  </si>
  <si>
    <t>SAL-00754</t>
  </si>
  <si>
    <t>SAL-00755</t>
  </si>
  <si>
    <t>SAL-00756</t>
  </si>
  <si>
    <t>SAL-00757</t>
  </si>
  <si>
    <t>SAL-00758</t>
  </si>
  <si>
    <t>SAL-00759</t>
  </si>
  <si>
    <t>SAL-00760</t>
  </si>
  <si>
    <t>SAL-00761</t>
  </si>
  <si>
    <t>SAL-00762</t>
  </si>
  <si>
    <t>SAL-00763</t>
  </si>
  <si>
    <t>SAL-00764</t>
  </si>
  <si>
    <t>SAL-00765</t>
  </si>
  <si>
    <t>SAL-00766</t>
  </si>
  <si>
    <t>SAL-00767</t>
  </si>
  <si>
    <t>SAL-00768</t>
  </si>
  <si>
    <t>SAL-00769</t>
  </si>
  <si>
    <t>SAL-00770</t>
  </si>
  <si>
    <t>SAL-00771</t>
  </si>
  <si>
    <t>SAL-00772</t>
  </si>
  <si>
    <t>SAL-00773</t>
  </si>
  <si>
    <t>SAL-00774</t>
  </si>
  <si>
    <t>SAL-00775</t>
  </si>
  <si>
    <t>SAL-00776</t>
  </si>
  <si>
    <t>SAL-00777</t>
  </si>
  <si>
    <t>SAL-00778</t>
  </si>
  <si>
    <t>SAL-00779</t>
  </si>
  <si>
    <t>SAL-00780</t>
  </si>
  <si>
    <t>SAL-00781</t>
  </si>
  <si>
    <t>SAL-00782</t>
  </si>
  <si>
    <t>SAL-00783</t>
  </si>
  <si>
    <t>SAL-00784</t>
  </si>
  <si>
    <t>SAL-00785</t>
  </si>
  <si>
    <t>SAL-00786</t>
  </si>
  <si>
    <t>SAL-00787</t>
  </si>
  <si>
    <t>SAL-00788</t>
  </si>
  <si>
    <t>SAL-00789</t>
  </si>
  <si>
    <t>SAL-00790</t>
  </si>
  <si>
    <t>SAL-00791</t>
  </si>
  <si>
    <t>SAL-00792</t>
  </si>
  <si>
    <t>SAL-00793</t>
  </si>
  <si>
    <t>SAL-00794</t>
  </si>
  <si>
    <t>SAL-00795</t>
  </si>
  <si>
    <t>SAL-00796</t>
  </si>
  <si>
    <t>SAL-00797</t>
  </si>
  <si>
    <t>SAL-00798</t>
  </si>
  <si>
    <t>SAL-00799</t>
  </si>
  <si>
    <t>SAL-00800</t>
  </si>
  <si>
    <t>SAL-00801</t>
  </si>
  <si>
    <t>SAL-00802</t>
  </si>
  <si>
    <t>SAL-00803</t>
  </si>
  <si>
    <t>SAL-00804</t>
  </si>
  <si>
    <t>SAL-00805</t>
  </si>
  <si>
    <t>SAL-00806</t>
  </si>
  <si>
    <t>SAL-00807</t>
  </si>
  <si>
    <t>SAL-00808</t>
  </si>
  <si>
    <t>SAL-00809</t>
  </si>
  <si>
    <t>SAL-00810</t>
  </si>
  <si>
    <t>SAL-00811</t>
  </si>
  <si>
    <t>SAL-00812</t>
  </si>
  <si>
    <t>SAL-00813</t>
  </si>
  <si>
    <t>SAL-00814</t>
  </si>
  <si>
    <t>SAL-00815</t>
  </si>
  <si>
    <t>SAL-00816</t>
  </si>
  <si>
    <t>SAL-00817</t>
  </si>
  <si>
    <t>SAL-00818</t>
  </si>
  <si>
    <t>SAL-00819</t>
  </si>
  <si>
    <t>SAL-00820</t>
  </si>
  <si>
    <t>SAL-00821</t>
  </si>
  <si>
    <t>SAL-00822</t>
  </si>
  <si>
    <t>SAL-00823</t>
  </si>
  <si>
    <t>SAL-00824</t>
  </si>
  <si>
    <t>SAL-00825</t>
  </si>
  <si>
    <t>SAL-00826</t>
  </si>
  <si>
    <t>SAL-00827</t>
  </si>
  <si>
    <t>SAL-00828</t>
  </si>
  <si>
    <t>SAL-00829</t>
  </si>
  <si>
    <t>SAL-00830</t>
  </si>
  <si>
    <t>SAL-00831</t>
  </si>
  <si>
    <t>SAL-00832</t>
  </si>
  <si>
    <t>SAL-00833</t>
  </si>
  <si>
    <t>SAL-00834</t>
  </si>
  <si>
    <t>SAL-00835</t>
  </si>
  <si>
    <t>SAL-00836</t>
  </si>
  <si>
    <t>SAL-00837</t>
  </si>
  <si>
    <t>SAL-00838</t>
  </si>
  <si>
    <t>SAL-00839</t>
  </si>
  <si>
    <t>SAL-00840</t>
  </si>
  <si>
    <t>SAL-00841</t>
  </si>
  <si>
    <t>SAL-00842</t>
  </si>
  <si>
    <t>SAL-00843</t>
  </si>
  <si>
    <t>SAL-00844</t>
  </si>
  <si>
    <t>SAL-00845</t>
  </si>
  <si>
    <t>SAL-00846</t>
  </si>
  <si>
    <t>SAL-00847</t>
  </si>
  <si>
    <t>SAL-00848</t>
  </si>
  <si>
    <t>SAL-00849</t>
  </si>
  <si>
    <t>SAL-00850</t>
  </si>
  <si>
    <t>SAL-00851</t>
  </si>
  <si>
    <t>SAL-00852</t>
  </si>
  <si>
    <t>SAL-00853</t>
  </si>
  <si>
    <t>SAL-00854</t>
  </si>
  <si>
    <t>SAL-00855</t>
  </si>
  <si>
    <t>SAL-00856</t>
  </si>
  <si>
    <t>SAL-00857</t>
  </si>
  <si>
    <t>SAL-00858</t>
  </si>
  <si>
    <t>SAL-00859</t>
  </si>
  <si>
    <t>SAL-00860</t>
  </si>
  <si>
    <t>SAL-00861</t>
  </si>
  <si>
    <t>SAL-00862</t>
  </si>
  <si>
    <t>SAL-00863</t>
  </si>
  <si>
    <t>SAL-00864</t>
  </si>
  <si>
    <t>SAL-00865</t>
  </si>
  <si>
    <t>SAL-00866</t>
  </si>
  <si>
    <t>SAL-00867</t>
  </si>
  <si>
    <t>SAL-00868</t>
  </si>
  <si>
    <t>SAL-00869</t>
  </si>
  <si>
    <t>SAL-00870</t>
  </si>
  <si>
    <t>SAL-00871</t>
  </si>
  <si>
    <t>SAL-00872</t>
  </si>
  <si>
    <t>SAL-00873</t>
  </si>
  <si>
    <t>SAL-00874</t>
  </si>
  <si>
    <t>SAL-00875</t>
  </si>
  <si>
    <t>SAL-00876</t>
  </si>
  <si>
    <t>SAL-00877</t>
  </si>
  <si>
    <t>SAL-00878</t>
  </si>
  <si>
    <t>SAL-00879</t>
  </si>
  <si>
    <t>SAL-00880</t>
  </si>
  <si>
    <t>SAL-00881</t>
  </si>
  <si>
    <t>SAL-00882</t>
  </si>
  <si>
    <t>SAL-00883</t>
  </si>
  <si>
    <t>SAL-00884</t>
  </si>
  <si>
    <t>SAL-00885</t>
  </si>
  <si>
    <t>SAL-00886</t>
  </si>
  <si>
    <t>SAL-00887</t>
  </si>
  <si>
    <t>SAL-00888</t>
  </si>
  <si>
    <t>SAL-00889</t>
  </si>
  <si>
    <t>SAL-00890</t>
  </si>
  <si>
    <t>SAL-00891</t>
  </si>
  <si>
    <t>SAL-00892</t>
  </si>
  <si>
    <t>SAL-00893</t>
  </si>
  <si>
    <t>SAL-00894</t>
  </si>
  <si>
    <t>SAL-00895</t>
  </si>
  <si>
    <t>SAL-00896</t>
  </si>
  <si>
    <t>SAL-00897</t>
  </si>
  <si>
    <t>SAL-00898</t>
  </si>
  <si>
    <t>SAL-00899</t>
  </si>
  <si>
    <t>SAL-00900</t>
  </si>
  <si>
    <t>SAL-00901</t>
  </si>
  <si>
    <t>SAL-00902</t>
  </si>
  <si>
    <t>SAL-00903</t>
  </si>
  <si>
    <t>SAL-00904</t>
  </si>
  <si>
    <t>SAL-00905</t>
  </si>
  <si>
    <t>SAL-00906</t>
  </si>
  <si>
    <t>SAL-00907</t>
  </si>
  <si>
    <t>SAL-00908</t>
  </si>
  <si>
    <t>SAL-00909</t>
  </si>
  <si>
    <t>SAL-00910</t>
  </si>
  <si>
    <t>SAL-00911</t>
  </si>
  <si>
    <t>SAL-00912</t>
  </si>
  <si>
    <t>SAL-00913</t>
  </si>
  <si>
    <t>SAL-00914</t>
  </si>
  <si>
    <t>SAL-00915</t>
  </si>
  <si>
    <t>SAL-00916</t>
  </si>
  <si>
    <t>SAL-00917</t>
  </si>
  <si>
    <t>SAL-00918</t>
  </si>
  <si>
    <t>SAL-00919</t>
  </si>
  <si>
    <t>SAL-00920</t>
  </si>
  <si>
    <t>SAL-00921</t>
  </si>
  <si>
    <t>SAL-00922</t>
  </si>
  <si>
    <t>SAL-00923</t>
  </si>
  <si>
    <t>SAL-00924</t>
  </si>
  <si>
    <t>SAL-00925</t>
  </si>
  <si>
    <t>SAL-00926</t>
  </si>
  <si>
    <t>SAL-00927</t>
  </si>
  <si>
    <t>SAL-00928</t>
  </si>
  <si>
    <t>SAL-00929</t>
  </si>
  <si>
    <t>SAL-00930</t>
  </si>
  <si>
    <t>SAL-00931</t>
  </si>
  <si>
    <t>SAL-00932</t>
  </si>
  <si>
    <t>SAL-00933</t>
  </si>
  <si>
    <t>SAL-00934</t>
  </si>
  <si>
    <t>SAL-00935</t>
  </si>
  <si>
    <t>SAL-00936</t>
  </si>
  <si>
    <t>SAL-00937</t>
  </si>
  <si>
    <t>SAL-00938</t>
  </si>
  <si>
    <t>SAL-00939</t>
  </si>
  <si>
    <t>SAL-00940</t>
  </si>
  <si>
    <t>SAL-00941</t>
  </si>
  <si>
    <t>SAL-00942</t>
  </si>
  <si>
    <t>SAL-00943</t>
  </si>
  <si>
    <t>SAL-00944</t>
  </si>
  <si>
    <t>SAL-00945</t>
  </si>
  <si>
    <t>SAL-00946</t>
  </si>
  <si>
    <t>SAL-00947</t>
  </si>
  <si>
    <t>SAL-00948</t>
  </si>
  <si>
    <t>SAL-00949</t>
  </si>
  <si>
    <t>SAL-00950</t>
  </si>
  <si>
    <t>SAL-00951</t>
  </si>
  <si>
    <t>SAL-00952</t>
  </si>
  <si>
    <t>SAL-00953</t>
  </si>
  <si>
    <t>SAL-00954</t>
  </si>
  <si>
    <t>SAL-00955</t>
  </si>
  <si>
    <t>SAL-00956</t>
  </si>
  <si>
    <t>SAL-00957</t>
  </si>
  <si>
    <t>SAL-00958</t>
  </si>
  <si>
    <t>SAL-00959</t>
  </si>
  <si>
    <t>SAL-00960</t>
  </si>
  <si>
    <t>SAL-00961</t>
  </si>
  <si>
    <t>SAL-00962</t>
  </si>
  <si>
    <t>SAL-00963</t>
  </si>
  <si>
    <t>SAL-00964</t>
  </si>
  <si>
    <t>SAL-00965</t>
  </si>
  <si>
    <t>SAL-00966</t>
  </si>
  <si>
    <t>SAL-00967</t>
  </si>
  <si>
    <t>SAL-00968</t>
  </si>
  <si>
    <t>SAL-00969</t>
  </si>
  <si>
    <t>SAL-00970</t>
  </si>
  <si>
    <t>SAL-00971</t>
  </si>
  <si>
    <t>SAL-00972</t>
  </si>
  <si>
    <t>SAL-00973</t>
  </si>
  <si>
    <t>SAL-00974</t>
  </si>
  <si>
    <t>SAL-00975</t>
  </si>
  <si>
    <t>SAL-00976</t>
  </si>
  <si>
    <t>SAL-00977</t>
  </si>
  <si>
    <t>SAL-00978</t>
  </si>
  <si>
    <t>SAL-00979</t>
  </si>
  <si>
    <t>SAL-00980</t>
  </si>
  <si>
    <t>SAL-00981</t>
  </si>
  <si>
    <t>SAL-00982</t>
  </si>
  <si>
    <t>SAL-00983</t>
  </si>
  <si>
    <t>SAL-00984</t>
  </si>
  <si>
    <t>SAL-00985</t>
  </si>
  <si>
    <t>SAL-00986</t>
  </si>
  <si>
    <t>SAL-00987</t>
  </si>
  <si>
    <t>SAL-00988</t>
  </si>
  <si>
    <t>SAL-00989</t>
  </si>
  <si>
    <t>SAL-00990</t>
  </si>
  <si>
    <t>SAL-00991</t>
  </si>
  <si>
    <t>SAL-00992</t>
  </si>
  <si>
    <t>SAL-00993</t>
  </si>
  <si>
    <t>SAL-00994</t>
  </si>
  <si>
    <t>SAL-00995</t>
  </si>
  <si>
    <t>SAL-00996</t>
  </si>
  <si>
    <t>SAL-00997</t>
  </si>
  <si>
    <t>SAL-00998</t>
  </si>
  <si>
    <t>SAL-00999</t>
  </si>
  <si>
    <t>SAL-01000</t>
  </si>
  <si>
    <t>SAL-01001</t>
  </si>
  <si>
    <t>SAL-01002</t>
  </si>
  <si>
    <t>SAL-01003</t>
  </si>
  <si>
    <t>SAL-01004</t>
  </si>
  <si>
    <t>SAL-01005</t>
  </si>
  <si>
    <t>SAL-01006</t>
  </si>
  <si>
    <t>SAL-01007</t>
  </si>
  <si>
    <t>SAL-01008</t>
  </si>
  <si>
    <t>SAL-01009</t>
  </si>
  <si>
    <t>SAL-01010</t>
  </si>
  <si>
    <t>SAL-01011</t>
  </si>
  <si>
    <t>SAL-01012</t>
  </si>
  <si>
    <t>SAL-01013</t>
  </si>
  <si>
    <t>SAL-01014</t>
  </si>
  <si>
    <t>SAL-01015</t>
  </si>
  <si>
    <t>SAL-01016</t>
  </si>
  <si>
    <t>SAL-01017</t>
  </si>
  <si>
    <t>SAL-01018</t>
  </si>
  <si>
    <t>SAL-01019</t>
  </si>
  <si>
    <t>SAL-01020</t>
  </si>
  <si>
    <t>SAL-01021</t>
  </si>
  <si>
    <t>SAL-01022</t>
  </si>
  <si>
    <t>SAL-01023</t>
  </si>
  <si>
    <t>SAL-01024</t>
  </si>
  <si>
    <t>SAL-01025</t>
  </si>
  <si>
    <t>SAL-01026</t>
  </si>
  <si>
    <t>SAL-01027</t>
  </si>
  <si>
    <t>SAL-01028</t>
  </si>
  <si>
    <t>SAL-01029</t>
  </si>
  <si>
    <t>SAL-01030</t>
  </si>
  <si>
    <t>SAL-01031</t>
  </si>
  <si>
    <t>SAL-01032</t>
  </si>
  <si>
    <t>SAL-01033</t>
  </si>
  <si>
    <t>SAL-01034</t>
  </si>
  <si>
    <t>SAL-01035</t>
  </si>
  <si>
    <t>SAL-01036</t>
  </si>
  <si>
    <t>SAL-01037</t>
  </si>
  <si>
    <t>SAL-01038</t>
  </si>
  <si>
    <t>SAL-01039</t>
  </si>
  <si>
    <t>SAL-01040</t>
  </si>
  <si>
    <t>SAL-01041</t>
  </si>
  <si>
    <t>SAL-01042</t>
  </si>
  <si>
    <t>SAL-01043</t>
  </si>
  <si>
    <t>SAL-01044</t>
  </si>
  <si>
    <t>SAL-01045</t>
  </si>
  <si>
    <t>SAL-01046</t>
  </si>
  <si>
    <t>SAL-01047</t>
  </si>
  <si>
    <t>SAL-01048</t>
  </si>
  <si>
    <t>SAL-01049</t>
  </si>
  <si>
    <t>SAL-01050</t>
  </si>
  <si>
    <t>SAL-01051</t>
  </si>
  <si>
    <t>SAL-01052</t>
  </si>
  <si>
    <t>SAL-01053</t>
  </si>
  <si>
    <t>SAL-01054</t>
  </si>
  <si>
    <t>SAL-01055</t>
  </si>
  <si>
    <t>SAL-01056</t>
  </si>
  <si>
    <t>SAL-01057</t>
  </si>
  <si>
    <t>SAL-01058</t>
  </si>
  <si>
    <t>SAL-01059</t>
  </si>
  <si>
    <t>SAL-01060</t>
  </si>
  <si>
    <t>SAL-01061</t>
  </si>
  <si>
    <t>SAL-01062</t>
  </si>
  <si>
    <t>SAL-01063</t>
  </si>
  <si>
    <t>SAL-01064</t>
  </si>
  <si>
    <t>SAL-01065</t>
  </si>
  <si>
    <t>SAL-01066</t>
  </si>
  <si>
    <t>SAL-01067</t>
  </si>
  <si>
    <t>SAL-01068</t>
  </si>
  <si>
    <t>SAL-01069</t>
  </si>
  <si>
    <t>SAL-01070</t>
  </si>
  <si>
    <t>SAL-01071</t>
  </si>
  <si>
    <t>SAL-01072</t>
  </si>
  <si>
    <t>SAL-01073</t>
  </si>
  <si>
    <t>SAL-01074</t>
  </si>
  <si>
    <t>SAL-01075</t>
  </si>
  <si>
    <t>SAL-01076</t>
  </si>
  <si>
    <t>SAL-01077</t>
  </si>
  <si>
    <t>SAL-01078</t>
  </si>
  <si>
    <t>SAL-01079</t>
  </si>
  <si>
    <t>SAL-01080</t>
  </si>
  <si>
    <t>SAL-01081</t>
  </si>
  <si>
    <t>SAL-01082</t>
  </si>
  <si>
    <t>SAL-01083</t>
  </si>
  <si>
    <t>SAL-01084</t>
  </si>
  <si>
    <t>SAL-01085</t>
  </si>
  <si>
    <t>SAL-01086</t>
  </si>
  <si>
    <t>SAL-01087</t>
  </si>
  <si>
    <t>SAL-01088</t>
  </si>
  <si>
    <t>SAL-01089</t>
  </si>
  <si>
    <t>SAL-01090</t>
  </si>
  <si>
    <t>SAL-01091</t>
  </si>
  <si>
    <t>SAL-01092</t>
  </si>
  <si>
    <t>SAL-01093</t>
  </si>
  <si>
    <t>SAL-01094</t>
  </si>
  <si>
    <t>SAL-01095</t>
  </si>
  <si>
    <t>SAL-01096</t>
  </si>
  <si>
    <t>SAL-01097</t>
  </si>
  <si>
    <t>SAL-01098</t>
  </si>
  <si>
    <t>SAL-01099</t>
  </si>
  <si>
    <t>SAL-01100</t>
  </si>
  <si>
    <t>SAL-01101</t>
  </si>
  <si>
    <t>SAL-01102</t>
  </si>
  <si>
    <t>SAL-01103</t>
  </si>
  <si>
    <t>SAL-01104</t>
  </si>
  <si>
    <t>SAL-01105</t>
  </si>
  <si>
    <t>SAL-01106</t>
  </si>
  <si>
    <t>SAL-01107</t>
  </si>
  <si>
    <t>SAL-01108</t>
  </si>
  <si>
    <t>SAL-01109</t>
  </si>
  <si>
    <t>SAL-01110</t>
  </si>
  <si>
    <t>SAL-01111</t>
  </si>
  <si>
    <t>SAL-01112</t>
  </si>
  <si>
    <t>SAL-01113</t>
  </si>
  <si>
    <t>SAL-01114</t>
  </si>
  <si>
    <t>SAL-01115</t>
  </si>
  <si>
    <t>SAL-01116</t>
  </si>
  <si>
    <t>SAL-01117</t>
  </si>
  <si>
    <t>SAL-01118</t>
  </si>
  <si>
    <t>SAL-01119</t>
  </si>
  <si>
    <t>SAL-01120</t>
  </si>
  <si>
    <t>SAL-01121</t>
  </si>
  <si>
    <t>SAL-01122</t>
  </si>
  <si>
    <t>SAL-01123</t>
  </si>
  <si>
    <t>SAL-01124</t>
  </si>
  <si>
    <t>SAL-01125</t>
  </si>
  <si>
    <t>SAL-01126</t>
  </si>
  <si>
    <t>SAL-01127</t>
  </si>
  <si>
    <t>SAL-01128</t>
  </si>
  <si>
    <t>SAL-01129</t>
  </si>
  <si>
    <t>SAL-01130</t>
  </si>
  <si>
    <t>SAL-01131</t>
  </si>
  <si>
    <t>SAL-01132</t>
  </si>
  <si>
    <t>SAL-01133</t>
  </si>
  <si>
    <t>SAL-01134</t>
  </si>
  <si>
    <t>SAL-01135</t>
  </si>
  <si>
    <t>SAL-01136</t>
  </si>
  <si>
    <t>SAL-01137</t>
  </si>
  <si>
    <t>SAL-01138</t>
  </si>
  <si>
    <t>SAL-01139</t>
  </si>
  <si>
    <t>SAL-01140</t>
  </si>
  <si>
    <t>SAL-01141</t>
  </si>
  <si>
    <t>SAL-01142</t>
  </si>
  <si>
    <t>SAL-01143</t>
  </si>
  <si>
    <t>SAL-01144</t>
  </si>
  <si>
    <t>SAL-01145</t>
  </si>
  <si>
    <t>SAL-01146</t>
  </si>
  <si>
    <t>SAL-01147</t>
  </si>
  <si>
    <t>SAL-01148</t>
  </si>
  <si>
    <t>SAL-01149</t>
  </si>
  <si>
    <t>SAL-01150</t>
  </si>
  <si>
    <t>SAL-01151</t>
  </si>
  <si>
    <t>SAL-01152</t>
  </si>
  <si>
    <t>SAL-01153</t>
  </si>
  <si>
    <t>SAL-01154</t>
  </si>
  <si>
    <t>SAL-01155</t>
  </si>
  <si>
    <t>SAL-01156</t>
  </si>
  <si>
    <t>SAL-01157</t>
  </si>
  <si>
    <t>SAL-01158</t>
  </si>
  <si>
    <t>SAL-01159</t>
  </si>
  <si>
    <t>SAL-01160</t>
  </si>
  <si>
    <t>SAL-01161</t>
  </si>
  <si>
    <t>SAL-01162</t>
  </si>
  <si>
    <t>SAL-01163</t>
  </si>
  <si>
    <t>SAL-01164</t>
  </si>
  <si>
    <t>SAL-01165</t>
  </si>
  <si>
    <t>SAL-01166</t>
  </si>
  <si>
    <t>SAL-01167</t>
  </si>
  <si>
    <t>SAL-01168</t>
  </si>
  <si>
    <t>SAL-01169</t>
  </si>
  <si>
    <t>SAL-01170</t>
  </si>
  <si>
    <t>SAL-01171</t>
  </si>
  <si>
    <t>SAL-01172</t>
  </si>
  <si>
    <t>SAL-01173</t>
  </si>
  <si>
    <t>SAL-01174</t>
  </si>
  <si>
    <t>SAL-01175</t>
  </si>
  <si>
    <t>SAL-01176</t>
  </si>
  <si>
    <t>SAL-01177</t>
  </si>
  <si>
    <t>SAL-01178</t>
  </si>
  <si>
    <t>SAL-01179</t>
  </si>
  <si>
    <t>SAL-01180</t>
  </si>
  <si>
    <t>SAL-01181</t>
  </si>
  <si>
    <t>SAL-01182</t>
  </si>
  <si>
    <t>SAL-01183</t>
  </si>
  <si>
    <t>SAL-01184</t>
  </si>
  <si>
    <t>SAL-01185</t>
  </si>
  <si>
    <t>SAL-01186</t>
  </si>
  <si>
    <t>SAL-01187</t>
  </si>
  <si>
    <t>SAL-01188</t>
  </si>
  <si>
    <t>SAL-01189</t>
  </si>
  <si>
    <t>SAL-01190</t>
  </si>
  <si>
    <t>SAL-01191</t>
  </si>
  <si>
    <t>SAL-01192</t>
  </si>
  <si>
    <t>SAL-01193</t>
  </si>
  <si>
    <t>SAL-01194</t>
  </si>
  <si>
    <t>SAL-01195</t>
  </si>
  <si>
    <t>SAL-01196</t>
  </si>
  <si>
    <t>SAL-01197</t>
  </si>
  <si>
    <t>SAL-01198</t>
  </si>
  <si>
    <t>SAL-01199</t>
  </si>
  <si>
    <t>SAL-01200</t>
  </si>
  <si>
    <t>SAL-01201</t>
  </si>
  <si>
    <t>SAL-01202</t>
  </si>
  <si>
    <t>SAL-01203</t>
  </si>
  <si>
    <t>SAL-01204</t>
  </si>
  <si>
    <t>SAL-01205</t>
  </si>
  <si>
    <t>SAL-01206</t>
  </si>
  <si>
    <t>SAL-01207</t>
  </si>
  <si>
    <t>SAL-01208</t>
  </si>
  <si>
    <t>SAL-01209</t>
  </si>
  <si>
    <t>SAL-01210</t>
  </si>
  <si>
    <t>SAL-01211</t>
  </si>
  <si>
    <t>SAL-01212</t>
  </si>
  <si>
    <t>SAL-01213</t>
  </si>
  <si>
    <t>SAL-01214</t>
  </si>
  <si>
    <t>SAL-01215</t>
  </si>
  <si>
    <t>SAL-01216</t>
  </si>
  <si>
    <t>SAL-01217</t>
  </si>
  <si>
    <t>SAL-01218</t>
  </si>
  <si>
    <t>SAL-01219</t>
  </si>
  <si>
    <t>SAL-01220</t>
  </si>
  <si>
    <t>SAL-01221</t>
  </si>
  <si>
    <t>SAL-01222</t>
  </si>
  <si>
    <t>SAL-01223</t>
  </si>
  <si>
    <t>SAL-01224</t>
  </si>
  <si>
    <t>SAL-01225</t>
  </si>
  <si>
    <t>SAL-01226</t>
  </si>
  <si>
    <t>SAL-01227</t>
  </si>
  <si>
    <t>SAL-01228</t>
  </si>
  <si>
    <t>SAL-01229</t>
  </si>
  <si>
    <t>SAL-01230</t>
  </si>
  <si>
    <t>SAL-01231</t>
  </si>
  <si>
    <t>SAL-01232</t>
  </si>
  <si>
    <t>SAL-01233</t>
  </si>
  <si>
    <t>SAL-01234</t>
  </si>
  <si>
    <t>SAL-01235</t>
  </si>
  <si>
    <t>SAL-01236</t>
  </si>
  <si>
    <t>SAL-01237</t>
  </si>
  <si>
    <t>SAL-01238</t>
  </si>
  <si>
    <t>SAL-01239</t>
  </si>
  <si>
    <t>SAL-01240</t>
  </si>
  <si>
    <t>SAL-01241</t>
  </si>
  <si>
    <t>SAL-01242</t>
  </si>
  <si>
    <t>SAL-01243</t>
  </si>
  <si>
    <t>SAL-01244</t>
  </si>
  <si>
    <t>SAL-01245</t>
  </si>
  <si>
    <t>SAL-01246</t>
  </si>
  <si>
    <t>SAL-01247</t>
  </si>
  <si>
    <t>SAL-01248</t>
  </si>
  <si>
    <t>SAL-01249</t>
  </si>
  <si>
    <t>SAL-01250</t>
  </si>
  <si>
    <t>SAL-01251</t>
  </si>
  <si>
    <t>SAL-01252</t>
  </si>
  <si>
    <t>SAL-01253</t>
  </si>
  <si>
    <t>SAL-01254</t>
  </si>
  <si>
    <t>SAL-01255</t>
  </si>
  <si>
    <t>SAL-01256</t>
  </si>
  <si>
    <t>SAL-01257</t>
  </si>
  <si>
    <t>SAL-01258</t>
  </si>
  <si>
    <t>SAL-01259</t>
  </si>
  <si>
    <t>SAL-01260</t>
  </si>
  <si>
    <t>SAL-01261</t>
  </si>
  <si>
    <t>SAL-01262</t>
  </si>
  <si>
    <t>SAL-01263</t>
  </si>
  <si>
    <t>SAL-01264</t>
  </si>
  <si>
    <t>SAL-01265</t>
  </si>
  <si>
    <t>SAL-01266</t>
  </si>
  <si>
    <t>SAL-01267</t>
  </si>
  <si>
    <t>SAL-01268</t>
  </si>
  <si>
    <t>SAL-01269</t>
  </si>
  <si>
    <t>SAL-01270</t>
  </si>
  <si>
    <t>SAL-01271</t>
  </si>
  <si>
    <t>SAL-01272</t>
  </si>
  <si>
    <t>SAL-01273</t>
  </si>
  <si>
    <t>SAL-01274</t>
  </si>
  <si>
    <t>SAL-01275</t>
  </si>
  <si>
    <t>SAL-01276</t>
  </si>
  <si>
    <t>SAL-01277</t>
  </si>
  <si>
    <t>SAL-01278</t>
  </si>
  <si>
    <t>SAL-01279</t>
  </si>
  <si>
    <t>SAL-01280</t>
  </si>
  <si>
    <t>SAL-01281</t>
  </si>
  <si>
    <t>SAL-01282</t>
  </si>
  <si>
    <t>SAL-01283</t>
  </si>
  <si>
    <t>SAL-01284</t>
  </si>
  <si>
    <t>SAL-01285</t>
  </si>
  <si>
    <t>SAL-01286</t>
  </si>
  <si>
    <t>SAL-01287</t>
  </si>
  <si>
    <t>SAL-01288</t>
  </si>
  <si>
    <t>SAL-01289</t>
  </si>
  <si>
    <t>SAL-01290</t>
  </si>
  <si>
    <t>SAL-01291</t>
  </si>
  <si>
    <t>SAL-01292</t>
  </si>
  <si>
    <t>SAL-01293</t>
  </si>
  <si>
    <t>SAL-01294</t>
  </si>
  <si>
    <t>SAL-01295</t>
  </si>
  <si>
    <t>SAL-01296</t>
  </si>
  <si>
    <t>SAL-01297</t>
  </si>
  <si>
    <t>SAL-01298</t>
  </si>
  <si>
    <t>SAL-01299</t>
  </si>
  <si>
    <t>SAL-01300</t>
  </si>
  <si>
    <t>SAL-01301</t>
  </si>
  <si>
    <t>SAL-01302</t>
  </si>
  <si>
    <t>SAL-01303</t>
  </si>
  <si>
    <t>SAL-01304</t>
  </si>
  <si>
    <t>SAL-01305</t>
  </si>
  <si>
    <t>SAL-01306</t>
  </si>
  <si>
    <t>SAL-01307</t>
  </si>
  <si>
    <t>SAL-01308</t>
  </si>
  <si>
    <t>SAL-01309</t>
  </si>
  <si>
    <t>SAL-01310</t>
  </si>
  <si>
    <t>SAL-01311</t>
  </si>
  <si>
    <t>SAL-01312</t>
  </si>
  <si>
    <t>SAL-01313</t>
  </si>
  <si>
    <t>SAL-01314</t>
  </si>
  <si>
    <t>SAL-01315</t>
  </si>
  <si>
    <t>SAL-01316</t>
  </si>
  <si>
    <t>SAL-01317</t>
  </si>
  <si>
    <t>SAL-01318</t>
  </si>
  <si>
    <t>SAL-01319</t>
  </si>
  <si>
    <t>SAL-01320</t>
  </si>
  <si>
    <t>SAL-01321</t>
  </si>
  <si>
    <t>SAL-01322</t>
  </si>
  <si>
    <t>SAL-01323</t>
  </si>
  <si>
    <t>SAL-01324</t>
  </si>
  <si>
    <t>SAL-01325</t>
  </si>
  <si>
    <t>SAL-01326</t>
  </si>
  <si>
    <t>SAL-01327</t>
  </si>
  <si>
    <t>SAL-01328</t>
  </si>
  <si>
    <t>SAL-01329</t>
  </si>
  <si>
    <t>SAL-01330</t>
  </si>
  <si>
    <t>SAL-01331</t>
  </si>
  <si>
    <t>SAL-01332</t>
  </si>
  <si>
    <t>SAL-01333</t>
  </si>
  <si>
    <t>SAL-01334</t>
  </si>
  <si>
    <t>SAL-01335</t>
  </si>
  <si>
    <t>SAL-01336</t>
  </si>
  <si>
    <t>SAL-01337</t>
  </si>
  <si>
    <t>SAL-01338</t>
  </si>
  <si>
    <t>SAL-01339</t>
  </si>
  <si>
    <t>SAL-01340</t>
  </si>
  <si>
    <t>SAL-01341</t>
  </si>
  <si>
    <t>SAL-01342</t>
  </si>
  <si>
    <t>SAL-01343</t>
  </si>
  <si>
    <t>SAL-01344</t>
  </si>
  <si>
    <t>SAL-01345</t>
  </si>
  <si>
    <t>SAL-01346</t>
  </si>
  <si>
    <t>SAL-01347</t>
  </si>
  <si>
    <t>SAL-01348</t>
  </si>
  <si>
    <t>SAL-01349</t>
  </si>
  <si>
    <t>SAL-01350</t>
  </si>
  <si>
    <t>SAL-01351</t>
  </si>
  <si>
    <t>SAL-01352</t>
  </si>
  <si>
    <t>SAL-01353</t>
  </si>
  <si>
    <t>SAL-01354</t>
  </si>
  <si>
    <t>SAL-01355</t>
  </si>
  <si>
    <t>SAL-01356</t>
  </si>
  <si>
    <t>SAL-01357</t>
  </si>
  <si>
    <t>SAL-01358</t>
  </si>
  <si>
    <t>SAL-01359</t>
  </si>
  <si>
    <t>SAL-01360</t>
  </si>
  <si>
    <t>SAL-01361</t>
  </si>
  <si>
    <t>SAL-01362</t>
  </si>
  <si>
    <t>SAL-01363</t>
  </si>
  <si>
    <t>SAL-01364</t>
  </si>
  <si>
    <t>SAL-01365</t>
  </si>
  <si>
    <t>SAL-01366</t>
  </si>
  <si>
    <t>SAL-01367</t>
  </si>
  <si>
    <t>SAL-01368</t>
  </si>
  <si>
    <t>SAL-01369</t>
  </si>
  <si>
    <t>SAL-01370</t>
  </si>
  <si>
    <t>SAL-01371</t>
  </si>
  <si>
    <t>SAL-01372</t>
  </si>
  <si>
    <t>SAL-01373</t>
  </si>
  <si>
    <t>SAL-01374</t>
  </si>
  <si>
    <t>SAL-01375</t>
  </si>
  <si>
    <t>SAL-01376</t>
  </si>
  <si>
    <t>SAL-01377</t>
  </si>
  <si>
    <t>SAL-01378</t>
  </si>
  <si>
    <t>SAL-01379</t>
  </si>
  <si>
    <t>SAL-01380</t>
  </si>
  <si>
    <t>SAL-01381</t>
  </si>
  <si>
    <t>SAL-01382</t>
  </si>
  <si>
    <t>SAL-01383</t>
  </si>
  <si>
    <t>SAL-01384</t>
  </si>
  <si>
    <t>SAL-01385</t>
  </si>
  <si>
    <t>SAL-01386</t>
  </si>
  <si>
    <t>SAL-01387</t>
  </si>
  <si>
    <t>SAL-01388</t>
  </si>
  <si>
    <t>SAL-01389</t>
  </si>
  <si>
    <t>SAL-01390</t>
  </si>
  <si>
    <t>SAL-01391</t>
  </si>
  <si>
    <t>SAL-01392</t>
  </si>
  <si>
    <t>SAL-01393</t>
  </si>
  <si>
    <t>SAL-01394</t>
  </si>
  <si>
    <t>SAL-01395</t>
  </si>
  <si>
    <t>SAL-01396</t>
  </si>
  <si>
    <t>SAL-01397</t>
  </si>
  <si>
    <t>SAL-01398</t>
  </si>
  <si>
    <t>SAL-01399</t>
  </si>
  <si>
    <t>SAL-01400</t>
  </si>
  <si>
    <t>SAL-01401</t>
  </si>
  <si>
    <t>SAL-01402</t>
  </si>
  <si>
    <t>SAL-01403</t>
  </si>
  <si>
    <t>SAL-01404</t>
  </si>
  <si>
    <t>SAL-01405</t>
  </si>
  <si>
    <t>SAL-01406</t>
  </si>
  <si>
    <t>SAL-01407</t>
  </si>
  <si>
    <t>SAL-01408</t>
  </si>
  <si>
    <t>SAL-01409</t>
  </si>
  <si>
    <t>SAL-01410</t>
  </si>
  <si>
    <t>SAL-01411</t>
  </si>
  <si>
    <t>SAL-01412</t>
  </si>
  <si>
    <t>SAL-01413</t>
  </si>
  <si>
    <t>SAL-01414</t>
  </si>
  <si>
    <t>SAL-01415</t>
  </si>
  <si>
    <t>SAL-01416</t>
  </si>
  <si>
    <t>SAL-01417</t>
  </si>
  <si>
    <t>SAL-01418</t>
  </si>
  <si>
    <t>SAL-01419</t>
  </si>
  <si>
    <t>SAL-01420</t>
  </si>
  <si>
    <t>SAL-01421</t>
  </si>
  <si>
    <t>SAL-01422</t>
  </si>
  <si>
    <t>SAL-01423</t>
  </si>
  <si>
    <t>SAL-01424</t>
  </si>
  <si>
    <t>SAL-01425</t>
  </si>
  <si>
    <t>SAL-01426</t>
  </si>
  <si>
    <t>SAL-01427</t>
  </si>
  <si>
    <t>SAL-01428</t>
  </si>
  <si>
    <t>SAL-01429</t>
  </si>
  <si>
    <t>SAL-01430</t>
  </si>
  <si>
    <t>SAL-01431</t>
  </si>
  <si>
    <t>SAL-01432</t>
  </si>
  <si>
    <t>SAL-01433</t>
  </si>
  <si>
    <t>SAL-01434</t>
  </si>
  <si>
    <t>SAL-01435</t>
  </si>
  <si>
    <t>SAL-01436</t>
  </si>
  <si>
    <t>SAL-01437</t>
  </si>
  <si>
    <t>SAL-01438</t>
  </si>
  <si>
    <t>SAL-01439</t>
  </si>
  <si>
    <t>SAL-01440</t>
  </si>
  <si>
    <t>SAL-01441</t>
  </si>
  <si>
    <t>SAL-01442</t>
  </si>
  <si>
    <t>SAL-01443</t>
  </si>
  <si>
    <t>SAL-01444</t>
  </si>
  <si>
    <t>SAL-01445</t>
  </si>
  <si>
    <t>SAL-01446</t>
  </si>
  <si>
    <t>SAL-01447</t>
  </si>
  <si>
    <t>SAL-01448</t>
  </si>
  <si>
    <t>SAL-01449</t>
  </si>
  <si>
    <t>SAL-01450</t>
  </si>
  <si>
    <t>SAL-01451</t>
  </si>
  <si>
    <t>SAL-01452</t>
  </si>
  <si>
    <t>SAL-01453</t>
  </si>
  <si>
    <t>SAL-01454</t>
  </si>
  <si>
    <t>SAL-01455</t>
  </si>
  <si>
    <t>SAL-01456</t>
  </si>
  <si>
    <t>SAL-01457</t>
  </si>
  <si>
    <t>SAL-01458</t>
  </si>
  <si>
    <t>SAL-01459</t>
  </si>
  <si>
    <t>SAL-01460</t>
  </si>
  <si>
    <t>SAL-01461</t>
  </si>
  <si>
    <t>SAL-01462</t>
  </si>
  <si>
    <t>SAL-01463</t>
  </si>
  <si>
    <t>SAL-01464</t>
  </si>
  <si>
    <t>SAL-01465</t>
  </si>
  <si>
    <t>SAL-01466</t>
  </si>
  <si>
    <t>SAL-01467</t>
  </si>
  <si>
    <t>SAL-01468</t>
  </si>
  <si>
    <t>SAL-01469</t>
  </si>
  <si>
    <t>SAL-01470</t>
  </si>
  <si>
    <t>SAL-01471</t>
  </si>
  <si>
    <t>SAL-01472</t>
  </si>
  <si>
    <t>SAL-01473</t>
  </si>
  <si>
    <t>SAL-01474</t>
  </si>
  <si>
    <t>SAL-01475</t>
  </si>
  <si>
    <t>SAL-01476</t>
  </si>
  <si>
    <t>SAL-01477</t>
  </si>
  <si>
    <t>SAL-01478</t>
  </si>
  <si>
    <t>SAL-01479</t>
  </si>
  <si>
    <t>SAL-01480</t>
  </si>
  <si>
    <t>SAL-01481</t>
  </si>
  <si>
    <t>SAL-01482</t>
  </si>
  <si>
    <t>SAL-01483</t>
  </si>
  <si>
    <t>SAL-01484</t>
  </si>
  <si>
    <t>SAL-01485</t>
  </si>
  <si>
    <t>SAL-01486</t>
  </si>
  <si>
    <t>SAL-01487</t>
  </si>
  <si>
    <t>SAL-01488</t>
  </si>
  <si>
    <t>SAL-01489</t>
  </si>
  <si>
    <t>SAL-01490</t>
  </si>
  <si>
    <t>SAL-01491</t>
  </si>
  <si>
    <t>SAL-01492</t>
  </si>
  <si>
    <t>SAL-01493</t>
  </si>
  <si>
    <t>SAL-01494</t>
  </si>
  <si>
    <t>SAL-01495</t>
  </si>
  <si>
    <t>SAL-01496</t>
  </si>
  <si>
    <t>SAL-01497</t>
  </si>
  <si>
    <t>SAL-01498</t>
  </si>
  <si>
    <t>SAL-01499</t>
  </si>
  <si>
    <t>SAL-01500</t>
  </si>
  <si>
    <t>SAL-01501</t>
  </si>
  <si>
    <t>SAL-01502</t>
  </si>
  <si>
    <t>SAL-01503</t>
  </si>
  <si>
    <t>SAL-01504</t>
  </si>
  <si>
    <t>SAL-01505</t>
  </si>
  <si>
    <t>SAL-01506</t>
  </si>
  <si>
    <t>SAL-01507</t>
  </si>
  <si>
    <t>SAL-01508</t>
  </si>
  <si>
    <t>SAL-01509</t>
  </si>
  <si>
    <t>SAL-01510</t>
  </si>
  <si>
    <t>SAL-01511</t>
  </si>
  <si>
    <t>SAL-01512</t>
  </si>
  <si>
    <t>SAL-01513</t>
  </si>
  <si>
    <t>SAL-01514</t>
  </si>
  <si>
    <t>SAL-01515</t>
  </si>
  <si>
    <t>SAL-01516</t>
  </si>
  <si>
    <t>SAL-01517</t>
  </si>
  <si>
    <t>SAL-01518</t>
  </si>
  <si>
    <t>SAL-01519</t>
  </si>
  <si>
    <t>SAL-01520</t>
  </si>
  <si>
    <t>SAL-01521</t>
  </si>
  <si>
    <t>SAL-01522</t>
  </si>
  <si>
    <t>SAL-01523</t>
  </si>
  <si>
    <t>SAL-01524</t>
  </si>
  <si>
    <t>SAL-01525</t>
  </si>
  <si>
    <t>SAL-01526</t>
  </si>
  <si>
    <t>SAL-01527</t>
  </si>
  <si>
    <t>SAL-01528</t>
  </si>
  <si>
    <t>SAL-01529</t>
  </si>
  <si>
    <t>SAL-01530</t>
  </si>
  <si>
    <t>SAL-01531</t>
  </si>
  <si>
    <t>SAL-01532</t>
  </si>
  <si>
    <t>SAL-01533</t>
  </si>
  <si>
    <t>SAL-01534</t>
  </si>
  <si>
    <t>SAL-01535</t>
  </si>
  <si>
    <t>SAL-01536</t>
  </si>
  <si>
    <t>SAL-01537</t>
  </si>
  <si>
    <t>SAL-01538</t>
  </si>
  <si>
    <t>SAL-01539</t>
  </si>
  <si>
    <t>SAL-01540</t>
  </si>
  <si>
    <t>SAL-01541</t>
  </si>
  <si>
    <t>SAL-01542</t>
  </si>
  <si>
    <t>SAL-01543</t>
  </si>
  <si>
    <t>SAL-01544</t>
  </si>
  <si>
    <t>SAL-01545</t>
  </si>
  <si>
    <t>SAL-01546</t>
  </si>
  <si>
    <t>SAL-01547</t>
  </si>
  <si>
    <t>SAL-01548</t>
  </si>
  <si>
    <t>SAL-01549</t>
  </si>
  <si>
    <t>SAL-01550</t>
  </si>
  <si>
    <t>SAL-01551</t>
  </si>
  <si>
    <t>SAL-01552</t>
  </si>
  <si>
    <t>SAL-01553</t>
  </si>
  <si>
    <t>SAL-01554</t>
  </si>
  <si>
    <t>SAL-01555</t>
  </si>
  <si>
    <t>SAL-01556</t>
  </si>
  <si>
    <t>SAL-01557</t>
  </si>
  <si>
    <t>SAL-01558</t>
  </si>
  <si>
    <t>SAL-01559</t>
  </si>
  <si>
    <t>SAL-01560</t>
  </si>
  <si>
    <t>SAL-01561</t>
  </si>
  <si>
    <t>SAL-01562</t>
  </si>
  <si>
    <t>SAL-01563</t>
  </si>
  <si>
    <t>SAL-01564</t>
  </si>
  <si>
    <t>SAL-01565</t>
  </si>
  <si>
    <t>SAL-01566</t>
  </si>
  <si>
    <t>SAL-01567</t>
  </si>
  <si>
    <t>SAL-01568</t>
  </si>
  <si>
    <t>SAL-01569</t>
  </si>
  <si>
    <t>SAL-01570</t>
  </si>
  <si>
    <t>SAL-01571</t>
  </si>
  <si>
    <t>SAL-01572</t>
  </si>
  <si>
    <t>SAL-01573</t>
  </si>
  <si>
    <t>SAL-01574</t>
  </si>
  <si>
    <t>SAL-01575</t>
  </si>
  <si>
    <t>SAL-01576</t>
  </si>
  <si>
    <t>SAL-01577</t>
  </si>
  <si>
    <t>SAL-01578</t>
  </si>
  <si>
    <t>SAL-01579</t>
  </si>
  <si>
    <t>SAL-01580</t>
  </si>
  <si>
    <t>SAL-01581</t>
  </si>
  <si>
    <t>SAL-01582</t>
  </si>
  <si>
    <t>SAL-01583</t>
  </si>
  <si>
    <t>SAL-01584</t>
  </si>
  <si>
    <t>SAL-01585</t>
  </si>
  <si>
    <t>SAL-01586</t>
  </si>
  <si>
    <t>SAL-01587</t>
  </si>
  <si>
    <t>SAL-01588</t>
  </si>
  <si>
    <t>SAL-01589</t>
  </si>
  <si>
    <t>SAL-01590</t>
  </si>
  <si>
    <t>SAL-01591</t>
  </si>
  <si>
    <t>SAL-01592</t>
  </si>
  <si>
    <t>SAL-01593</t>
  </si>
  <si>
    <t>SAL-01594</t>
  </si>
  <si>
    <t>SAL-01595</t>
  </si>
  <si>
    <t>SAL-01596</t>
  </si>
  <si>
    <t>SAL-01597</t>
  </si>
  <si>
    <t>SAL-01598</t>
  </si>
  <si>
    <t>SAL-01599</t>
  </si>
  <si>
    <t>SAL-01600</t>
  </si>
  <si>
    <t>SAL-01601</t>
  </si>
  <si>
    <t>SAL-01602</t>
  </si>
  <si>
    <t>SAL-01603</t>
  </si>
  <si>
    <t>SAL-01604</t>
  </si>
  <si>
    <t>SAL-01605</t>
  </si>
  <si>
    <t>SAL-01606</t>
  </si>
  <si>
    <t>SAL-01607</t>
  </si>
  <si>
    <t>SAL-01608</t>
  </si>
  <si>
    <t>SAL-01609</t>
  </si>
  <si>
    <t>SAL-01610</t>
  </si>
  <si>
    <t>SAL-01611</t>
  </si>
  <si>
    <t>SAL-01612</t>
  </si>
  <si>
    <t>SAL-01613</t>
  </si>
  <si>
    <t>SAL-01614</t>
  </si>
  <si>
    <t>SAL-01615</t>
  </si>
  <si>
    <t>SAL-01616</t>
  </si>
  <si>
    <t>SAL-01617</t>
  </si>
  <si>
    <t>SAL-01618</t>
  </si>
  <si>
    <t>SAL-01619</t>
  </si>
  <si>
    <t>SAL-01620</t>
  </si>
  <si>
    <t>SAL-01621</t>
  </si>
  <si>
    <t>SAL-01622</t>
  </si>
  <si>
    <t>SAL-01623</t>
  </si>
  <si>
    <t>SAL-01624</t>
  </si>
  <si>
    <t>SAL-01625</t>
  </si>
  <si>
    <t>SAL-01626</t>
  </si>
  <si>
    <t>SAL-01627</t>
  </si>
  <si>
    <t>SAL-01628</t>
  </si>
  <si>
    <t>SAL-01629</t>
  </si>
  <si>
    <t>SAL-01630</t>
  </si>
  <si>
    <t>SAL-01631</t>
  </si>
  <si>
    <t>SAL-01632</t>
  </si>
  <si>
    <t>SAL-01633</t>
  </si>
  <si>
    <t>SAL-01634</t>
  </si>
  <si>
    <t>SAL-01635</t>
  </si>
  <si>
    <t>SAL-01636</t>
  </si>
  <si>
    <t>SAL-01637</t>
  </si>
  <si>
    <t>SAL-01638</t>
  </si>
  <si>
    <t>SAL-01639</t>
  </si>
  <si>
    <t>SAL-01640</t>
  </si>
  <si>
    <t>SAL-01641</t>
  </si>
  <si>
    <t>SAL-01642</t>
  </si>
  <si>
    <t>SAL-01643</t>
  </si>
  <si>
    <t>SAL-01644</t>
  </si>
  <si>
    <t>SAL-01645</t>
  </si>
  <si>
    <t>SAL-01646</t>
  </si>
  <si>
    <t>SAL-01647</t>
  </si>
  <si>
    <t>SAL-01648</t>
  </si>
  <si>
    <t>SAL-01649</t>
  </si>
  <si>
    <t>SAL-01650</t>
  </si>
  <si>
    <t>SAL-01651</t>
  </si>
  <si>
    <t>SAL-01652</t>
  </si>
  <si>
    <t>SAL-01653</t>
  </si>
  <si>
    <t>SAL-01654</t>
  </si>
  <si>
    <t>SAL-01655</t>
  </si>
  <si>
    <t>SAL-01656</t>
  </si>
  <si>
    <t>SAL-01657</t>
  </si>
  <si>
    <t>SAL-01658</t>
  </si>
  <si>
    <t>SAL-01659</t>
  </si>
  <si>
    <t>SAL-01660</t>
  </si>
  <si>
    <t>SAL-01661</t>
  </si>
  <si>
    <t>SAL-01662</t>
  </si>
  <si>
    <t>SAL-01663</t>
  </si>
  <si>
    <t>SAL-01664</t>
  </si>
  <si>
    <t>SAL-01665</t>
  </si>
  <si>
    <t>SAL-01666</t>
  </si>
  <si>
    <t>SAL-01667</t>
  </si>
  <si>
    <t>SAL-01668</t>
  </si>
  <si>
    <t>SAL-01669</t>
  </si>
  <si>
    <t>SAL-01670</t>
  </si>
  <si>
    <t>SAL-01671</t>
  </si>
  <si>
    <t>SAL-01672</t>
  </si>
  <si>
    <t>SAL-01673</t>
  </si>
  <si>
    <t>SAL-01674</t>
  </si>
  <si>
    <t>SAL-01675</t>
  </si>
  <si>
    <t>SAL-01676</t>
  </si>
  <si>
    <t>SAL-01677</t>
  </si>
  <si>
    <t>SAL-01678</t>
  </si>
  <si>
    <t>SAL-01679</t>
  </si>
  <si>
    <t>SAL-01680</t>
  </si>
  <si>
    <t>SAL-01681</t>
  </si>
  <si>
    <t>SAL-01682</t>
  </si>
  <si>
    <t>SAL-01683</t>
  </si>
  <si>
    <t>SAL-01684</t>
  </si>
  <si>
    <t>SAL-01685</t>
  </si>
  <si>
    <t>SAL-01686</t>
  </si>
  <si>
    <t>SAL-01687</t>
  </si>
  <si>
    <t>SAL-01688</t>
  </si>
  <si>
    <t>SAL-01689</t>
  </si>
  <si>
    <t>SAL-01690</t>
  </si>
  <si>
    <t>SAL-01691</t>
  </si>
  <si>
    <t>SAL-01692</t>
  </si>
  <si>
    <t>SAL-01693</t>
  </si>
  <si>
    <t>SAL-01694</t>
  </si>
  <si>
    <t>SAL-01695</t>
  </si>
  <si>
    <t>SAL-01696</t>
  </si>
  <si>
    <t>SAL-01697</t>
  </si>
  <si>
    <t>SAL-01698</t>
  </si>
  <si>
    <t>SAL-01699</t>
  </si>
  <si>
    <t>SAL-01700</t>
  </si>
  <si>
    <t>SAL-01701</t>
  </si>
  <si>
    <t>SAL-01702</t>
  </si>
  <si>
    <t>SAL-01703</t>
  </si>
  <si>
    <t>SAL-01704</t>
  </si>
  <si>
    <t>SAL-01705</t>
  </si>
  <si>
    <t>SAL-01706</t>
  </si>
  <si>
    <t>SAL-01707</t>
  </si>
  <si>
    <t>SAL-01708</t>
  </si>
  <si>
    <t>SAL-01709</t>
  </si>
  <si>
    <t>SAL-01710</t>
  </si>
  <si>
    <t>SAL-01711</t>
  </si>
  <si>
    <t>SAL-01712</t>
  </si>
  <si>
    <t>SAL-01713</t>
  </si>
  <si>
    <t>SAL-01714</t>
  </si>
  <si>
    <t>SAL-01715</t>
  </si>
  <si>
    <t>SAL-01716</t>
  </si>
  <si>
    <t>SAL-01717</t>
  </si>
  <si>
    <t>SAL-01718</t>
  </si>
  <si>
    <t>SAL-01719</t>
  </si>
  <si>
    <t>SAL-01720</t>
  </si>
  <si>
    <t>SAL-01721</t>
  </si>
  <si>
    <t>SAL-01722</t>
  </si>
  <si>
    <t>SAL-01723</t>
  </si>
  <si>
    <t>SAL-01724</t>
  </si>
  <si>
    <t>SAL-01725</t>
  </si>
  <si>
    <t>SAL-01726</t>
  </si>
  <si>
    <t>SAL-01727</t>
  </si>
  <si>
    <t>SAL-01728</t>
  </si>
  <si>
    <t>SAL-01729</t>
  </si>
  <si>
    <t>SAL-01730</t>
  </si>
  <si>
    <t>SAL-01731</t>
  </si>
  <si>
    <t>SAL-01732</t>
  </si>
  <si>
    <t>SAL-01733</t>
  </si>
  <si>
    <t>SAL-01734</t>
  </si>
  <si>
    <t>SAL-01735</t>
  </si>
  <si>
    <t>SAL-01736</t>
  </si>
  <si>
    <t>SAL-01737</t>
  </si>
  <si>
    <t>SAL-01738</t>
  </si>
  <si>
    <t>SAL-01739</t>
  </si>
  <si>
    <t>SAL-01740</t>
  </si>
  <si>
    <t>SAL-01741</t>
  </si>
  <si>
    <t>SAL-01742</t>
  </si>
  <si>
    <t>SAL-01743</t>
  </si>
  <si>
    <t>SAL-01744</t>
  </si>
  <si>
    <t>SAL-01745</t>
  </si>
  <si>
    <t>SAL-01746</t>
  </si>
  <si>
    <t>SAL-01747</t>
  </si>
  <si>
    <t>SAL-01748</t>
  </si>
  <si>
    <t>SAL-01749</t>
  </si>
  <si>
    <t>SAL-01750</t>
  </si>
  <si>
    <t>SAL-01751</t>
  </si>
  <si>
    <t>SAL-01752</t>
  </si>
  <si>
    <t>SAL-01753</t>
  </si>
  <si>
    <t>SAL-01754</t>
  </si>
  <si>
    <t>SAL-01755</t>
  </si>
  <si>
    <t>SAL-01756</t>
  </si>
  <si>
    <t>SAL-01757</t>
  </si>
  <si>
    <t>SAL-01758</t>
  </si>
  <si>
    <t>SAL-01759</t>
  </si>
  <si>
    <t>SAL-01760</t>
  </si>
  <si>
    <t>SAL-01761</t>
  </si>
  <si>
    <t>SAL-01762</t>
  </si>
  <si>
    <t>SAL-01763</t>
  </si>
  <si>
    <t>SAL-01764</t>
  </si>
  <si>
    <t>SAL-01765</t>
  </si>
  <si>
    <t>SAL-01766</t>
  </si>
  <si>
    <t>SAL-01767</t>
  </si>
  <si>
    <t>SAL-01768</t>
  </si>
  <si>
    <t>SAL-01769</t>
  </si>
  <si>
    <t>SAL-01770</t>
  </si>
  <si>
    <t>SAL-01771</t>
  </si>
  <si>
    <t>SAL-01772</t>
  </si>
  <si>
    <t>SAL-01773</t>
  </si>
  <si>
    <t>SAL-01774</t>
  </si>
  <si>
    <t>SAL-01775</t>
  </si>
  <si>
    <t>SAL-01776</t>
  </si>
  <si>
    <t>SAL-01777</t>
  </si>
  <si>
    <t>SAL-01778</t>
  </si>
  <si>
    <t>SAL-01779</t>
  </si>
  <si>
    <t>SAL-01780</t>
  </si>
  <si>
    <t>SAL-01781</t>
  </si>
  <si>
    <t>SAL-01782</t>
  </si>
  <si>
    <t>SAL-01783</t>
  </si>
  <si>
    <t>SAL-01784</t>
  </si>
  <si>
    <t>SAL-01785</t>
  </si>
  <si>
    <t>SAL-01786</t>
  </si>
  <si>
    <t>SAL-01787</t>
  </si>
  <si>
    <t>SAL-01788</t>
  </si>
  <si>
    <t>SAL-01789</t>
  </si>
  <si>
    <t>SAL-01790</t>
  </si>
  <si>
    <t>SAL-01791</t>
  </si>
  <si>
    <t>SAL-01792</t>
  </si>
  <si>
    <t>SAL-01793</t>
  </si>
  <si>
    <t>SAL-01794</t>
  </si>
  <si>
    <t>SAL-01795</t>
  </si>
  <si>
    <t>SAL-01796</t>
  </si>
  <si>
    <t>SAL-01797</t>
  </si>
  <si>
    <t>SAL-01798</t>
  </si>
  <si>
    <t>SAL-01799</t>
  </si>
  <si>
    <t>SAL-01800</t>
  </si>
  <si>
    <t>Lead Time (Days)</t>
  </si>
  <si>
    <t>Safety Stock</t>
  </si>
  <si>
    <t xml:space="preserve">Daily Demand </t>
  </si>
  <si>
    <t xml:space="preserve">Reorder Point </t>
  </si>
  <si>
    <t xml:space="preserve">Stock Status </t>
  </si>
  <si>
    <t>Stock on Hand Aug-01</t>
  </si>
  <si>
    <t>Stock on Hand Aug-31</t>
  </si>
  <si>
    <t>Row Labels</t>
  </si>
  <si>
    <t>Grand Total</t>
  </si>
  <si>
    <t>Sum of Quantity Sold</t>
  </si>
  <si>
    <t>Sum of Sales Revenue (CAD)</t>
  </si>
  <si>
    <t>Jan</t>
  </si>
  <si>
    <t>Feb</t>
  </si>
  <si>
    <t>Mar</t>
  </si>
  <si>
    <t>Apr</t>
  </si>
  <si>
    <t>May</t>
  </si>
  <si>
    <t>Jun</t>
  </si>
  <si>
    <t>Jul</t>
  </si>
  <si>
    <t>Aug</t>
  </si>
  <si>
    <t xml:space="preserve">Days of Supply </t>
  </si>
  <si>
    <t>Risk Level</t>
  </si>
  <si>
    <t xml:space="preserve">Order Priority </t>
  </si>
  <si>
    <t xml:space="preserve">Safety Stock Gap </t>
  </si>
  <si>
    <t>Quantity Order Recommendation</t>
  </si>
  <si>
    <t>Order Priority</t>
  </si>
  <si>
    <t>INVENTORY RISK &amp; REPLENISHMENT DECISION SUPPORT MODEL</t>
  </si>
  <si>
    <t>An Excel-based inventory model designed to identify inventory risks, prioritize products for replenishment, and provide order quantity recommendations</t>
  </si>
  <si>
    <t>Business Objective</t>
  </si>
  <si>
    <t xml:space="preserve">Develop an Excel-based inventory monitoring system that transforms sales and inventory data into 
actionable replenishment recommendations. The model helps identify stock shortages, assess inventory risk, prioritize SKUs requiring attention, and recommend replenishment quantities. </t>
  </si>
  <si>
    <t>Model Workflow</t>
  </si>
  <si>
    <t>Key Inventory Metrics</t>
  </si>
  <si>
    <t>Metric</t>
  </si>
  <si>
    <t>Purpose</t>
  </si>
  <si>
    <t>Daily Demand</t>
  </si>
  <si>
    <t>Days of Supply</t>
  </si>
  <si>
    <t>Safety Stock Gap</t>
  </si>
  <si>
    <t>Recommended Order Quantity</t>
  </si>
  <si>
    <t>Estimates typical daily product demand</t>
  </si>
  <si>
    <t>Provides inventory protection against uncertainty</t>
  </si>
  <si>
    <t>Indicates when replenishment should be triggered</t>
  </si>
  <si>
    <t>Estimates how long current inventory can support demand</t>
  </si>
  <si>
    <t>Measures the shortage relative to required safety stock</t>
  </si>
  <si>
    <t>Classifies inventory as Safe, Reorder, Critical, or Stockout</t>
  </si>
  <si>
    <t>Evaluates the severity of the inventory situation</t>
  </si>
  <si>
    <t>Converts inventory risk into purchasing priority</t>
  </si>
  <si>
    <t>Suggests replenishment quantity for purchasing review</t>
  </si>
  <si>
    <t>Model Assumptions</t>
  </si>
  <si>
    <t>Dataset is simulated for portfolio demonstration purposes.</t>
  </si>
  <si>
    <t>Average Daily Demand uses the most recent completed month's sales.</t>
  </si>
  <si>
    <t>Lead time is maintained by supplier/product category.</t>
  </si>
  <si>
    <t>Reorder Point = (Average Daily Demand × Lead Time) + Safety Stock.</t>
  </si>
  <si>
    <t>Inventory risk is determined using stock position, Days of Supply, lead time, and safety-stock gap.</t>
  </si>
  <si>
    <t>Recommended quantities are planning recommendations and require managerial review before purchase orders are issued.</t>
  </si>
  <si>
    <t>Automated Workflow</t>
  </si>
  <si>
    <t>Once new sales and inventory data are updated, the model automatically evaluates stock status, inventory risk, order priority, and replenishment recommendations to support inventory decisions.</t>
  </si>
  <si>
    <r>
      <t>Sales Data</t>
    </r>
    <r>
      <rPr>
        <sz val="11"/>
        <rFont val="Carlito"/>
      </rPr>
      <t>→ Inventory Analysis→ Stock Status→ Inventory Risk→ Order Priority→
Replenishment Recommnedation</t>
    </r>
  </si>
  <si>
    <r>
      <t xml:space="preserve">New Data Sales </t>
    </r>
    <r>
      <rPr>
        <b/>
        <sz val="11"/>
        <rFont val="Carlito"/>
      </rPr>
      <t xml:space="preserve">→ </t>
    </r>
    <r>
      <rPr>
        <sz val="11"/>
        <rFont val="Carlito"/>
      </rPr>
      <t xml:space="preserve">Updated Demand Calculated </t>
    </r>
    <r>
      <rPr>
        <b/>
        <sz val="11"/>
        <rFont val="Carlito"/>
      </rPr>
      <t xml:space="preserve">→ </t>
    </r>
    <r>
      <rPr>
        <sz val="11"/>
        <rFont val="Carlito"/>
      </rPr>
      <t>Stock on Hand Updated</t>
    </r>
    <r>
      <rPr>
        <b/>
        <sz val="11"/>
        <rFont val="Carlito"/>
      </rPr>
      <t xml:space="preserve"> → </t>
    </r>
    <r>
      <rPr>
        <sz val="11"/>
        <rFont val="Carlito"/>
      </rPr>
      <t xml:space="preserve">
Stock Status Automatically Updated </t>
    </r>
    <r>
      <rPr>
        <b/>
        <sz val="11"/>
        <rFont val="Carlito"/>
      </rPr>
      <t>→</t>
    </r>
    <r>
      <rPr>
        <sz val="11"/>
        <rFont val="Carlito"/>
      </rPr>
      <t xml:space="preserve">  Inventory Risk Automatically Updated → Order Priority Automatically Updated → Replenishment Recommendations Automatically Updated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</si>
</sst>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009]#,##0"/>
    <numFmt numFmtId="166" formatCode="[$$-2809]#,##0"/>
    <numFmt numFmtId="167" formatCode="0.0%"/>
  </numFmts>
  <fonts count="7">
    <font>
      <sz val="11"/>
      <name val="Carlito"/>
    </font>
    <font>
      <b/>
      <sz val="11"/>
      <name val="Carlito"/>
      <charset val="163"/>
    </font>
    <font>
      <sz val="8"/>
      <name val="Carlito"/>
    </font>
    <font>
      <sz val="11"/>
      <color theme="1"/>
      <name val="Carlito"/>
    </font>
    <font>
      <b/>
      <sz val="11"/>
      <name val="Carlito"/>
    </font>
    <font>
      <b/>
      <sz val="12"/>
      <name val="Carlito"/>
    </font>
    <font>
      <sz val="12"/>
      <name val="Carlito"/>
    </font>
  </fonts>
  <fills count="5">
    <fill>
      <patternFill patternType="none"/>
    </fill>
    <fill>
      <patternFill patternType="gray125"/>
    </fill>
    <fill>
      <patternFill patternType="solid">
        <fgColor rgb="FF92D050"/>
        <bgColor indexed="64"/>
      </patternFill>
    </fill>
    <fill>
      <patternFill patternType="solid">
        <fgColor theme="4" tint="0.79998168889431442"/>
        <bgColor theme="4" tint="0.79998168889431442"/>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26">
    <xf numFmtId="0" fontId="0" fillId="0" borderId="0" xfId="0"/>
    <xf numFmtId="0" fontId="1" fillId="2" borderId="0" xfId="0" applyFont="1" applyFill="1"/>
    <xf numFmtId="164" fontId="0" fillId="0" borderId="0" xfId="0" applyNumberFormat="1"/>
    <xf numFmtId="1"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4" borderId="1" xfId="0" applyFont="1" applyFill="1" applyBorder="1"/>
    <xf numFmtId="0" fontId="4" fillId="4" borderId="2" xfId="0" applyFont="1" applyFill="1" applyBorder="1"/>
    <xf numFmtId="1" fontId="4" fillId="4" borderId="2" xfId="0" applyNumberFormat="1" applyFont="1" applyFill="1" applyBorder="1"/>
    <xf numFmtId="167" fontId="0" fillId="0" borderId="0" xfId="0" applyNumberFormat="1"/>
    <xf numFmtId="0" fontId="3" fillId="3" borderId="0" xfId="0" applyFont="1" applyFill="1"/>
    <xf numFmtId="0" fontId="3" fillId="0" borderId="0" xfId="0" applyFont="1"/>
    <xf numFmtId="0" fontId="5" fillId="0" borderId="0" xfId="0" applyFont="1"/>
    <xf numFmtId="0" fontId="0" fillId="0" borderId="0" xfId="0" applyAlignment="1">
      <alignment vertical="top"/>
    </xf>
    <xf numFmtId="0" fontId="6" fillId="0" borderId="0" xfId="0" applyFont="1"/>
    <xf numFmtId="0" fontId="0" fillId="0" borderId="1" xfId="0" applyBorder="1"/>
    <xf numFmtId="0" fontId="6" fillId="0" borderId="0" xfId="0" applyFont="1" applyAlignment="1">
      <alignment horizontal="left" vertical="center"/>
    </xf>
    <xf numFmtId="1" fontId="4" fillId="4" borderId="1" xfId="0" applyNumberFormat="1" applyFont="1" applyFill="1" applyBorder="1"/>
    <xf numFmtId="167" fontId="4" fillId="4" borderId="2" xfId="0" applyNumberFormat="1" applyFont="1" applyFill="1" applyBorder="1"/>
    <xf numFmtId="0" fontId="0" fillId="0" borderId="0" xfId="0" applyAlignment="1">
      <alignment vertical="top" wrapText="1"/>
    </xf>
    <xf numFmtId="0" fontId="0" fillId="0" borderId="0" xfId="0" applyAlignment="1">
      <alignment vertical="top"/>
    </xf>
    <xf numFmtId="0" fontId="6" fillId="0" borderId="0" xfId="0" applyFont="1" applyAlignment="1">
      <alignment vertical="top" wrapText="1"/>
    </xf>
    <xf numFmtId="0" fontId="6" fillId="0" borderId="0" xfId="0" applyFont="1" applyAlignment="1">
      <alignment vertical="top"/>
    </xf>
  </cellXfs>
  <cellStyles count="1">
    <cellStyle name="Normal" xfId="0" builtinId="0"/>
  </cellStyles>
  <dxfs count="31">
    <dxf>
      <fill>
        <patternFill>
          <bgColor theme="9" tint="0.59996337778862885"/>
        </patternFill>
      </fill>
    </dxf>
    <dxf>
      <font>
        <color rgb="FFC00000"/>
      </font>
    </dxf>
    <dxf>
      <fill>
        <patternFill>
          <bgColor rgb="FFFFC000"/>
        </patternFill>
      </fill>
    </dxf>
    <dxf>
      <font>
        <color rgb="FFC00000"/>
      </font>
      <fill>
        <patternFill>
          <fgColor theme="0"/>
          <bgColor theme="5" tint="0.59996337778862885"/>
        </patternFill>
      </fill>
    </dxf>
    <dxf>
      <font>
        <color rgb="FFC00000"/>
      </font>
      <fill>
        <patternFill>
          <fgColor theme="0"/>
          <bgColor theme="5" tint="0.59996337778862885"/>
        </patternFill>
      </fill>
    </dxf>
    <dxf>
      <font>
        <color rgb="FFC00000"/>
      </font>
    </dxf>
    <dxf>
      <font>
        <color theme="1"/>
      </font>
      <fill>
        <patternFill>
          <bgColor theme="9" tint="0.59996337778862885"/>
        </patternFill>
      </fill>
    </dxf>
    <dxf>
      <fill>
        <patternFill>
          <bgColor rgb="FFFFC000"/>
        </patternFill>
      </fill>
    </dxf>
    <dxf>
      <font>
        <color rgb="FF9C0006"/>
      </font>
      <fill>
        <patternFill>
          <bgColor rgb="FFFFFF00"/>
        </patternFill>
      </fill>
    </dxf>
    <dxf>
      <font>
        <color rgb="FF006100"/>
      </font>
      <fill>
        <patternFill>
          <bgColor rgb="FFC6EFCE"/>
        </patternFill>
      </fill>
    </dxf>
    <dxf>
      <font>
        <color rgb="FF9C0006"/>
      </font>
      <fill>
        <patternFill>
          <bgColor rgb="FFFFC7CE"/>
        </patternFill>
      </fill>
    </dxf>
    <dxf>
      <font>
        <color theme="0"/>
      </font>
      <fill>
        <patternFill>
          <fgColor theme="0"/>
          <bgColor theme="8" tint="-0.499984740745262"/>
        </patternFill>
      </fill>
    </dxf>
    <dxf>
      <font>
        <color rgb="FF9C0006"/>
      </font>
      <fill>
        <patternFill>
          <bgColor rgb="FFFFFF00"/>
        </patternFill>
      </fill>
    </dxf>
    <dxf>
      <font>
        <color rgb="FF006100"/>
      </font>
      <fill>
        <patternFill>
          <bgColor rgb="FFC6EFCE"/>
        </patternFill>
      </fill>
    </dxf>
    <dxf>
      <font>
        <color rgb="FF9C0006"/>
      </font>
      <fill>
        <patternFill>
          <bgColor rgb="FFFFC7CE"/>
        </patternFill>
      </fill>
    </dxf>
    <dxf>
      <font>
        <color theme="0"/>
      </font>
      <fill>
        <patternFill>
          <fgColor theme="0"/>
          <bgColor theme="8" tint="-0.499984740745262"/>
        </patternFill>
      </fill>
    </dxf>
    <dxf>
      <numFmt numFmtId="0" formatCode="General"/>
    </dxf>
    <dxf>
      <numFmt numFmtId="1" formatCode="0"/>
    </dxf>
    <dxf>
      <numFmt numFmtId="1" formatCode="0"/>
    </dxf>
    <dxf>
      <numFmt numFmtId="0" formatCode="General"/>
    </dxf>
    <dxf>
      <numFmt numFmtId="0" formatCode="General"/>
    </dxf>
    <dxf>
      <numFmt numFmtId="166" formatCode="[$$-2809]#,##0"/>
    </dxf>
    <dxf>
      <numFmt numFmtId="166" formatCode="[$$-2809]#,##0"/>
    </dxf>
    <dxf>
      <numFmt numFmtId="0" formatCode="General"/>
    </dxf>
    <dxf>
      <numFmt numFmtId="0" formatCode="General"/>
    </dxf>
    <dxf>
      <numFmt numFmtId="164" formatCode="yyyy\-mm\-dd"/>
    </dxf>
    <dxf>
      <font>
        <b/>
        <i val="0"/>
        <strike val="0"/>
        <condense val="0"/>
        <extend val="0"/>
        <outline val="0"/>
        <shadow val="0"/>
        <u val="none"/>
        <vertAlign val="baseline"/>
        <sz val="11"/>
        <color auto="1"/>
        <name val="Carlito"/>
        <charset val="163"/>
        <scheme val="none"/>
      </font>
      <fill>
        <patternFill patternType="solid">
          <fgColor indexed="64"/>
          <bgColor rgb="FF92D050"/>
        </patternFill>
      </fill>
    </dxf>
    <dxf>
      <numFmt numFmtId="165" formatCode="[$$-1009]#,##0"/>
    </dxf>
    <dxf>
      <numFmt numFmtId="165" formatCode="[$$-1009]#,##0"/>
    </dxf>
    <dxf>
      <numFmt numFmtId="0" formatCode="General"/>
    </dxf>
    <dxf>
      <numFmt numFmtId="0" formatCode="General"/>
    </dxf>
  </dxfs>
  <tableStyles count="0" defaultTableStyle="TableStyleMedium2" defaultPivotStyle="PivotStyleLight16"/>
  <colors>
    <mruColors>
      <color rgb="FFFF99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2.xlsx]Monthly Sales Trend !PivotTable1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t>
            </a:r>
            <a:r>
              <a:rPr lang="en-US"/>
              <a:t>Sales Revenue (CAD)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 '!$B$1</c:f>
              <c:strCache>
                <c:ptCount val="1"/>
                <c:pt idx="0">
                  <c:v>Sum of Quantity Sold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 '!$A$2:$A$10</c:f>
              <c:strCache>
                <c:ptCount val="8"/>
                <c:pt idx="0">
                  <c:v>Jan</c:v>
                </c:pt>
                <c:pt idx="1">
                  <c:v>Feb</c:v>
                </c:pt>
                <c:pt idx="2">
                  <c:v>Mar</c:v>
                </c:pt>
                <c:pt idx="3">
                  <c:v>Apr</c:v>
                </c:pt>
                <c:pt idx="4">
                  <c:v>May</c:v>
                </c:pt>
                <c:pt idx="5">
                  <c:v>Jun</c:v>
                </c:pt>
                <c:pt idx="6">
                  <c:v>Jul</c:v>
                </c:pt>
                <c:pt idx="7">
                  <c:v>Aug</c:v>
                </c:pt>
              </c:strCache>
            </c:strRef>
          </c:cat>
          <c:val>
            <c:numRef>
              <c:f>'Monthly Sales Trend '!$B$2:$B$10</c:f>
              <c:numCache>
                <c:formatCode>General</c:formatCode>
                <c:ptCount val="8"/>
                <c:pt idx="0">
                  <c:v>12937</c:v>
                </c:pt>
                <c:pt idx="1">
                  <c:v>12211</c:v>
                </c:pt>
                <c:pt idx="2">
                  <c:v>14191</c:v>
                </c:pt>
                <c:pt idx="3">
                  <c:v>11754</c:v>
                </c:pt>
                <c:pt idx="4">
                  <c:v>11464</c:v>
                </c:pt>
                <c:pt idx="5">
                  <c:v>12645</c:v>
                </c:pt>
                <c:pt idx="6">
                  <c:v>11605</c:v>
                </c:pt>
                <c:pt idx="7">
                  <c:v>12720</c:v>
                </c:pt>
              </c:numCache>
            </c:numRef>
          </c:val>
          <c:smooth val="0"/>
          <c:extLst>
            <c:ext xmlns:c16="http://schemas.microsoft.com/office/drawing/2014/chart" uri="{C3380CC4-5D6E-409C-BE32-E72D297353CC}">
              <c16:uniqueId val="{00000000-CFD6-4D50-A310-AFF10A8C371A}"/>
            </c:ext>
          </c:extLst>
        </c:ser>
        <c:ser>
          <c:idx val="1"/>
          <c:order val="1"/>
          <c:tx>
            <c:strRef>
              <c:f>'Monthly Sales Trend '!$C$1</c:f>
              <c:strCache>
                <c:ptCount val="1"/>
                <c:pt idx="0">
                  <c:v>Sum of Sales Revenue (CAD)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Trend '!$A$2:$A$10</c:f>
              <c:strCache>
                <c:ptCount val="8"/>
                <c:pt idx="0">
                  <c:v>Jan</c:v>
                </c:pt>
                <c:pt idx="1">
                  <c:v>Feb</c:v>
                </c:pt>
                <c:pt idx="2">
                  <c:v>Mar</c:v>
                </c:pt>
                <c:pt idx="3">
                  <c:v>Apr</c:v>
                </c:pt>
                <c:pt idx="4">
                  <c:v>May</c:v>
                </c:pt>
                <c:pt idx="5">
                  <c:v>Jun</c:v>
                </c:pt>
                <c:pt idx="6">
                  <c:v>Jul</c:v>
                </c:pt>
                <c:pt idx="7">
                  <c:v>Aug</c:v>
                </c:pt>
              </c:strCache>
            </c:strRef>
          </c:cat>
          <c:val>
            <c:numRef>
              <c:f>'Monthly Sales Trend '!$C$2:$C$10</c:f>
              <c:numCache>
                <c:formatCode>[$$-2809]#,##0</c:formatCode>
                <c:ptCount val="8"/>
                <c:pt idx="0">
                  <c:v>67927.269999999975</c:v>
                </c:pt>
                <c:pt idx="1">
                  <c:v>65107.05999999999</c:v>
                </c:pt>
                <c:pt idx="2">
                  <c:v>82412.34000000004</c:v>
                </c:pt>
                <c:pt idx="3">
                  <c:v>64271.79000000003</c:v>
                </c:pt>
                <c:pt idx="4">
                  <c:v>62401.240000000027</c:v>
                </c:pt>
                <c:pt idx="5">
                  <c:v>66895.849999999933</c:v>
                </c:pt>
                <c:pt idx="6">
                  <c:v>61779.049999999981</c:v>
                </c:pt>
                <c:pt idx="7">
                  <c:v>66809.470000000045</c:v>
                </c:pt>
              </c:numCache>
            </c:numRef>
          </c:val>
          <c:smooth val="0"/>
          <c:extLst>
            <c:ext xmlns:c16="http://schemas.microsoft.com/office/drawing/2014/chart" uri="{C3380CC4-5D6E-409C-BE32-E72D297353CC}">
              <c16:uniqueId val="{00000000-7185-4630-8730-E28953C3FA66}"/>
            </c:ext>
          </c:extLst>
        </c:ser>
        <c:dLbls>
          <c:showLegendKey val="0"/>
          <c:showVal val="0"/>
          <c:showCatName val="0"/>
          <c:showSerName val="0"/>
          <c:showPercent val="0"/>
          <c:showBubbleSize val="0"/>
        </c:dLbls>
        <c:marker val="1"/>
        <c:smooth val="0"/>
        <c:axId val="1513029679"/>
        <c:axId val="1298559375"/>
      </c:lineChart>
      <c:catAx>
        <c:axId val="151302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59375"/>
        <c:crosses val="autoZero"/>
        <c:auto val="1"/>
        <c:lblAlgn val="ctr"/>
        <c:lblOffset val="100"/>
        <c:noMultiLvlLbl val="0"/>
      </c:catAx>
      <c:valAx>
        <c:axId val="129855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02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2.xlsx]Top 10 Selling 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 10 Selling</a:t>
            </a:r>
            <a:r>
              <a:rPr lang="en-CA" baseline="0"/>
              <a:t>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Selling Products'!$B$1</c:f>
              <c:strCache>
                <c:ptCount val="1"/>
                <c:pt idx="0">
                  <c:v>Total</c:v>
                </c:pt>
              </c:strCache>
            </c:strRef>
          </c:tx>
          <c:spPr>
            <a:solidFill>
              <a:schemeClr val="accent1"/>
            </a:solidFill>
            <a:ln>
              <a:noFill/>
            </a:ln>
            <a:effectLst/>
          </c:spPr>
          <c:invertIfNegative val="0"/>
          <c:cat>
            <c:strRef>
              <c:f>'Top 10 Selling Products'!$A$2:$A$12</c:f>
              <c:strCache>
                <c:ptCount val="10"/>
                <c:pt idx="0">
                  <c:v>Chocolate Cold Brew</c:v>
                </c:pt>
                <c:pt idx="1">
                  <c:v>Hot Coffee - Small</c:v>
                </c:pt>
                <c:pt idx="2">
                  <c:v>Milk - Chocolate</c:v>
                </c:pt>
                <c:pt idx="3">
                  <c:v>Caramel Cold Brew</c:v>
                </c:pt>
                <c:pt idx="4">
                  <c:v>Spicy Southwest Double Burger</c:v>
                </c:pt>
                <c:pt idx="5">
                  <c:v>Hot Coffee - Medium</c:v>
                </c:pt>
                <c:pt idx="6">
                  <c:v>Apple Juice</c:v>
                </c:pt>
                <c:pt idx="7">
                  <c:v>Strawberry Lemonade - Medium</c:v>
                </c:pt>
                <c:pt idx="8">
                  <c:v>Lemonade - Large</c:v>
                </c:pt>
                <c:pt idx="9">
                  <c:v>Diet Cola - Small</c:v>
                </c:pt>
              </c:strCache>
            </c:strRef>
          </c:cat>
          <c:val>
            <c:numRef>
              <c:f>'Top 10 Selling Products'!$B$2:$B$12</c:f>
              <c:numCache>
                <c:formatCode>General</c:formatCode>
                <c:ptCount val="10"/>
                <c:pt idx="0">
                  <c:v>1138</c:v>
                </c:pt>
                <c:pt idx="1">
                  <c:v>1113</c:v>
                </c:pt>
                <c:pt idx="2">
                  <c:v>999</c:v>
                </c:pt>
                <c:pt idx="3">
                  <c:v>994</c:v>
                </c:pt>
                <c:pt idx="4">
                  <c:v>979</c:v>
                </c:pt>
                <c:pt idx="5">
                  <c:v>955</c:v>
                </c:pt>
                <c:pt idx="6">
                  <c:v>943</c:v>
                </c:pt>
                <c:pt idx="7">
                  <c:v>941</c:v>
                </c:pt>
                <c:pt idx="8">
                  <c:v>881</c:v>
                </c:pt>
                <c:pt idx="9">
                  <c:v>877</c:v>
                </c:pt>
              </c:numCache>
            </c:numRef>
          </c:val>
          <c:extLst>
            <c:ext xmlns:c16="http://schemas.microsoft.com/office/drawing/2014/chart" uri="{C3380CC4-5D6E-409C-BE32-E72D297353CC}">
              <c16:uniqueId val="{00000000-D3DD-4D14-B329-5CD7BFCCE428}"/>
            </c:ext>
          </c:extLst>
        </c:ser>
        <c:dLbls>
          <c:showLegendKey val="0"/>
          <c:showVal val="0"/>
          <c:showCatName val="0"/>
          <c:showSerName val="0"/>
          <c:showPercent val="0"/>
          <c:showBubbleSize val="0"/>
        </c:dLbls>
        <c:gapWidth val="182"/>
        <c:axId val="63949408"/>
        <c:axId val="1890627535"/>
      </c:barChart>
      <c:catAx>
        <c:axId val="6394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27535"/>
        <c:crosses val="autoZero"/>
        <c:auto val="1"/>
        <c:lblAlgn val="ctr"/>
        <c:lblOffset val="100"/>
        <c:noMultiLvlLbl val="0"/>
      </c:catAx>
      <c:valAx>
        <c:axId val="189062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2.xlsx]Store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Store &amp; Sales Channel Revenue (CAD)</a:t>
            </a:r>
            <a:endParaRPr lang="en-US"/>
          </a:p>
        </c:rich>
      </c:tx>
      <c:layout>
        <c:manualLayout>
          <c:xMode val="edge"/>
          <c:yMode val="edge"/>
          <c:x val="0.20452777777777778"/>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Analysis'!$B$3</c:f>
              <c:strCache>
                <c:ptCount val="1"/>
                <c:pt idx="0">
                  <c:v>Total</c:v>
                </c:pt>
              </c:strCache>
            </c:strRef>
          </c:tx>
          <c:spPr>
            <a:solidFill>
              <a:schemeClr val="accent1"/>
            </a:solidFill>
            <a:ln>
              <a:noFill/>
            </a:ln>
            <a:effectLst/>
          </c:spPr>
          <c:invertIfNegative val="0"/>
          <c:cat>
            <c:multiLvlStrRef>
              <c:f>'Store Analysis'!$A$4:$A$19</c:f>
              <c:multiLvlStrCache>
                <c:ptCount val="12"/>
                <c:lvl>
                  <c:pt idx="0">
                    <c:v>Drive-Thru</c:v>
                  </c:pt>
                  <c:pt idx="1">
                    <c:v>Takeout</c:v>
                  </c:pt>
                  <c:pt idx="2">
                    <c:v>Dine-In</c:v>
                  </c:pt>
                  <c:pt idx="3">
                    <c:v>Delivery</c:v>
                  </c:pt>
                  <c:pt idx="4">
                    <c:v>Drive-Thru</c:v>
                  </c:pt>
                  <c:pt idx="5">
                    <c:v>Takeout</c:v>
                  </c:pt>
                  <c:pt idx="6">
                    <c:v>Dine-In</c:v>
                  </c:pt>
                  <c:pt idx="7">
                    <c:v>Delivery</c:v>
                  </c:pt>
                  <c:pt idx="8">
                    <c:v>Drive-Thru</c:v>
                  </c:pt>
                  <c:pt idx="9">
                    <c:v>Takeout</c:v>
                  </c:pt>
                  <c:pt idx="10">
                    <c:v>Dine-In</c:v>
                  </c:pt>
                  <c:pt idx="11">
                    <c:v>Delivery</c:v>
                  </c:pt>
                </c:lvl>
                <c:lvl>
                  <c:pt idx="0">
                    <c:v>Kamloops - Downtown</c:v>
                  </c:pt>
                  <c:pt idx="4">
                    <c:v>Kamloops - Aberdeen</c:v>
                  </c:pt>
                  <c:pt idx="8">
                    <c:v>Kamloops - Valleyview</c:v>
                  </c:pt>
                </c:lvl>
              </c:multiLvlStrCache>
            </c:multiLvlStrRef>
          </c:cat>
          <c:val>
            <c:numRef>
              <c:f>'Store Analysis'!$B$4:$B$19</c:f>
              <c:numCache>
                <c:formatCode>[$$-2809]#,##0</c:formatCode>
                <c:ptCount val="12"/>
                <c:pt idx="0">
                  <c:v>108778.62999999993</c:v>
                </c:pt>
                <c:pt idx="1">
                  <c:v>49033.160000000011</c:v>
                </c:pt>
                <c:pt idx="2">
                  <c:v>41706.44999999999</c:v>
                </c:pt>
                <c:pt idx="3">
                  <c:v>27420.399999999998</c:v>
                </c:pt>
                <c:pt idx="4">
                  <c:v>82478.000000000029</c:v>
                </c:pt>
                <c:pt idx="5">
                  <c:v>41131.360000000015</c:v>
                </c:pt>
                <c:pt idx="6">
                  <c:v>32990.249999999993</c:v>
                </c:pt>
                <c:pt idx="7">
                  <c:v>21124.139999999992</c:v>
                </c:pt>
                <c:pt idx="8">
                  <c:v>61218.850000000006</c:v>
                </c:pt>
                <c:pt idx="9">
                  <c:v>32173.319999999992</c:v>
                </c:pt>
                <c:pt idx="10">
                  <c:v>26382.19000000001</c:v>
                </c:pt>
                <c:pt idx="11">
                  <c:v>13167.320000000005</c:v>
                </c:pt>
              </c:numCache>
            </c:numRef>
          </c:val>
          <c:extLst>
            <c:ext xmlns:c16="http://schemas.microsoft.com/office/drawing/2014/chart" uri="{C3380CC4-5D6E-409C-BE32-E72D297353CC}">
              <c16:uniqueId val="{00000000-80EC-48ED-8557-27F76405450F}"/>
            </c:ext>
          </c:extLst>
        </c:ser>
        <c:dLbls>
          <c:showLegendKey val="0"/>
          <c:showVal val="0"/>
          <c:showCatName val="0"/>
          <c:showSerName val="0"/>
          <c:showPercent val="0"/>
          <c:showBubbleSize val="0"/>
        </c:dLbls>
        <c:gapWidth val="219"/>
        <c:overlap val="-27"/>
        <c:axId val="1773768111"/>
        <c:axId val="1906574735"/>
      </c:barChart>
      <c:catAx>
        <c:axId val="177376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74735"/>
        <c:crosses val="autoZero"/>
        <c:auto val="1"/>
        <c:lblAlgn val="ctr"/>
        <c:lblOffset val="100"/>
        <c:noMultiLvlLbl val="0"/>
      </c:catAx>
      <c:valAx>
        <c:axId val="1906574735"/>
        <c:scaling>
          <c:orientation val="minMax"/>
        </c:scaling>
        <c:delete val="0"/>
        <c:axPos val="l"/>
        <c:majorGridlines>
          <c:spPr>
            <a:ln w="9525" cap="flat" cmpd="sng" algn="ctr">
              <a:solidFill>
                <a:schemeClr val="tx1">
                  <a:lumMod val="15000"/>
                  <a:lumOff val="85000"/>
                </a:schemeClr>
              </a:solidFill>
              <a:round/>
            </a:ln>
            <a:effectLst/>
          </c:spPr>
        </c:majorGridlines>
        <c:numFmt formatCode="[$$-2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76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662</xdr:colOff>
      <xdr:row>0</xdr:row>
      <xdr:rowOff>164328</xdr:rowOff>
    </xdr:from>
    <xdr:to>
      <xdr:col>12</xdr:col>
      <xdr:colOff>269350</xdr:colOff>
      <xdr:row>8</xdr:row>
      <xdr:rowOff>104693</xdr:rowOff>
    </xdr:to>
    <mc:AlternateContent xmlns:mc="http://schemas.openxmlformats.org/markup-compatibility/2006" xmlns:tsle="http://schemas.microsoft.com/office/drawing/2012/timeslicer">
      <mc:Choice Requires="tsle">
        <xdr:graphicFrame macro="">
          <xdr:nvGraphicFramePr>
            <xdr:cNvPr id="3" name="Sale Date">
              <a:extLst>
                <a:ext uri="{FF2B5EF4-FFF2-40B4-BE49-F238E27FC236}">
                  <a16:creationId xmlns:a16="http://schemas.microsoft.com/office/drawing/2014/main" id="{90C1B219-09C1-4C66-FB9D-63A3BA6F4351}"/>
                </a:ext>
              </a:extLst>
            </xdr:cNvPr>
            <xdr:cNvGraphicFramePr/>
          </xdr:nvGraphicFramePr>
          <xdr:xfrm>
            <a:off x="0" y="0"/>
            <a:ext cx="0" cy="0"/>
          </xdr:xfrm>
          <a:graphic>
            <a:graphicData uri="http://schemas.microsoft.com/office/drawing/2012/timeslicer">
              <tsle:timeslicer name="Sale Date"/>
            </a:graphicData>
          </a:graphic>
        </xdr:graphicFrame>
      </mc:Choice>
      <mc:Fallback xmlns="">
        <xdr:sp macro="" textlink="">
          <xdr:nvSpPr>
            <xdr:cNvPr id="0" name=""/>
            <xdr:cNvSpPr>
              <a:spLocks noTextEdit="1"/>
            </xdr:cNvSpPr>
          </xdr:nvSpPr>
          <xdr:spPr>
            <a:xfrm>
              <a:off x="5135879" y="164328"/>
              <a:ext cx="3341536" cy="1331843"/>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0</xdr:col>
      <xdr:colOff>0</xdr:colOff>
      <xdr:row>10</xdr:row>
      <xdr:rowOff>173105</xdr:rowOff>
    </xdr:from>
    <xdr:to>
      <xdr:col>8</xdr:col>
      <xdr:colOff>49696</xdr:colOff>
      <xdr:row>29</xdr:row>
      <xdr:rowOff>41411</xdr:rowOff>
    </xdr:to>
    <xdr:graphicFrame macro="">
      <xdr:nvGraphicFramePr>
        <xdr:cNvPr id="9" name="Chart 8">
          <a:extLst>
            <a:ext uri="{FF2B5EF4-FFF2-40B4-BE49-F238E27FC236}">
              <a16:creationId xmlns:a16="http://schemas.microsoft.com/office/drawing/2014/main" id="{E62BA17B-9400-9D9D-FE75-70D1653F0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7620</xdr:colOff>
      <xdr:row>12</xdr:row>
      <xdr:rowOff>121920</xdr:rowOff>
    </xdr:from>
    <xdr:to>
      <xdr:col>10</xdr:col>
      <xdr:colOff>662940</xdr:colOff>
      <xdr:row>20</xdr:row>
      <xdr:rowOff>60960</xdr:rowOff>
    </xdr:to>
    <mc:AlternateContent xmlns:mc="http://schemas.openxmlformats.org/markup-compatibility/2006" xmlns:tsle="http://schemas.microsoft.com/office/drawing/2012/timeslicer">
      <mc:Choice Requires="tsle">
        <xdr:graphicFrame macro="">
          <xdr:nvGraphicFramePr>
            <xdr:cNvPr id="4" name="Sale Date 1">
              <a:extLst>
                <a:ext uri="{FF2B5EF4-FFF2-40B4-BE49-F238E27FC236}">
                  <a16:creationId xmlns:a16="http://schemas.microsoft.com/office/drawing/2014/main" id="{A4E9E05A-3165-CF1A-433F-56C3CB4F80F2}"/>
                </a:ext>
              </a:extLst>
            </xdr:cNvPr>
            <xdr:cNvGraphicFramePr/>
          </xdr:nvGraphicFramePr>
          <xdr:xfrm>
            <a:off x="0" y="0"/>
            <a:ext cx="0" cy="0"/>
          </xdr:xfrm>
          <a:graphic>
            <a:graphicData uri="http://schemas.microsoft.com/office/drawing/2012/timeslicer">
              <tsle:timeslicer name="Sale Date 1"/>
            </a:graphicData>
          </a:graphic>
        </xdr:graphicFrame>
      </mc:Choice>
      <mc:Fallback xmlns="">
        <xdr:sp macro="" textlink="">
          <xdr:nvSpPr>
            <xdr:cNvPr id="0" name=""/>
            <xdr:cNvSpPr>
              <a:spLocks noTextEdit="1"/>
            </xdr:cNvSpPr>
          </xdr:nvSpPr>
          <xdr:spPr>
            <a:xfrm>
              <a:off x="6225540" y="2225040"/>
              <a:ext cx="3337560" cy="134112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0</xdr:col>
      <xdr:colOff>22860</xdr:colOff>
      <xdr:row>12</xdr:row>
      <xdr:rowOff>144780</xdr:rowOff>
    </xdr:from>
    <xdr:to>
      <xdr:col>5</xdr:col>
      <xdr:colOff>99060</xdr:colOff>
      <xdr:row>28</xdr:row>
      <xdr:rowOff>83820</xdr:rowOff>
    </xdr:to>
    <xdr:graphicFrame macro="">
      <xdr:nvGraphicFramePr>
        <xdr:cNvPr id="2" name="Chart 1">
          <a:extLst>
            <a:ext uri="{FF2B5EF4-FFF2-40B4-BE49-F238E27FC236}">
              <a16:creationId xmlns:a16="http://schemas.microsoft.com/office/drawing/2014/main" id="{FF3C8113-E704-578D-312D-1828B7244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461010</xdr:colOff>
      <xdr:row>2</xdr:row>
      <xdr:rowOff>0</xdr:rowOff>
    </xdr:from>
    <xdr:to>
      <xdr:col>10</xdr:col>
      <xdr:colOff>133350</xdr:colOff>
      <xdr:row>17</xdr:row>
      <xdr:rowOff>114300</xdr:rowOff>
    </xdr:to>
    <xdr:graphicFrame macro="">
      <xdr:nvGraphicFramePr>
        <xdr:cNvPr id="3" name="Chart 2">
          <a:extLst>
            <a:ext uri="{FF2B5EF4-FFF2-40B4-BE49-F238E27FC236}">
              <a16:creationId xmlns:a16="http://schemas.microsoft.com/office/drawing/2014/main" id="{FABD7EB7-B374-D4C2-3E3C-19DE06F5D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5.56485289352" createdVersion="8" refreshedVersion="8" minRefreshableVersion="3" recordCount="1800" xr:uid="{76C8E9BF-F533-41D0-911D-1193AFC7DFC9}">
  <cacheSource type="worksheet">
    <worksheetSource name="Sales"/>
  </cacheSource>
  <cacheFields count="11">
    <cacheField name="Sale ID" numFmtId="0">
      <sharedItems/>
    </cacheField>
    <cacheField name="Sale Date" numFmtId="164">
      <sharedItems containsSemiMixedTypes="0" containsNonDate="0" containsDate="1" containsString="0" minDate="2026-01-01T00:00:00" maxDate="2026-09-01T00:00:00" count="243">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sharedItems>
      <fieldGroup par="10"/>
    </cacheField>
    <cacheField name="SKU" numFmtId="0">
      <sharedItems count="199">
        <s v="WEN-COM-006"/>
        <s v="WEN-KID-007"/>
        <s v="WEN-CHK-002"/>
        <s v="WEN-SID-020"/>
        <s v="WEN-BEV-025"/>
        <s v="WEN-BEV-027"/>
        <s v="WEN-BRK-016"/>
        <s v="WEN-SAU-004"/>
        <s v="WEN-DES-018"/>
        <s v="WEN-BUR-003"/>
        <s v="WEN-BEV-004"/>
        <s v="WEN-DES-020"/>
        <s v="WEN-COM-007"/>
        <s v="WEN-BEV-017"/>
        <s v="WEN-COM-008"/>
        <s v="WEN-BUR-001"/>
        <s v="WEN-BUR-011"/>
        <s v="WEN-BEV-005"/>
        <s v="WEN-BRK-009"/>
        <s v="WEN-SID-017"/>
        <s v="WEN-SID-006"/>
        <s v="WEN-DES-001"/>
        <s v="WEN-BEV-011"/>
        <s v="WEN-BUR-009"/>
        <s v="WEN-COM-005"/>
        <s v="WEN-CHK-003"/>
        <s v="WEN-BEV-008"/>
        <s v="WEN-BEV-032"/>
        <s v="WEN-CHK-011"/>
        <s v="WEN-BRK-017"/>
        <s v="WEN-DES-007"/>
        <s v="WEN-BEV-021"/>
        <s v="WEN-SAU-006"/>
        <s v="WEN-BUR-010"/>
        <s v="WEN-DES-015"/>
        <s v="WEN-DES-014"/>
        <s v="WEN-CHK-021"/>
        <s v="WEN-SID-009"/>
        <s v="WEN-SAL-014"/>
        <s v="WEN-CHK-025"/>
        <s v="WEN-BEV-028"/>
        <s v="WEN-CHK-022"/>
        <s v="WEN-SID-003"/>
        <s v="WEN-CHK-018"/>
        <s v="WEN-BRK-019"/>
        <s v="WEN-COM-002"/>
        <s v="WEN-BEV-019"/>
        <s v="WEN-BUR-030"/>
        <s v="WEN-BEV-033"/>
        <s v="WEN-BEV-029"/>
        <s v="WEN-SAL-013"/>
        <s v="WEN-COM-010"/>
        <s v="WEN-CHK-020"/>
        <s v="WEN-BEV-015"/>
        <s v="WEN-CHK-005"/>
        <s v="WEN-DES-005"/>
        <s v="WEN-BEV-016"/>
        <s v="WEN-CHK-024"/>
        <s v="WEN-BUR-023"/>
        <s v="WEN-CHK-009"/>
        <s v="WEN-BUR-026"/>
        <s v="WEN-BUR-022"/>
        <s v="WEN-COM-003"/>
        <s v="WEN-BUR-018"/>
        <s v="WEN-SID-013"/>
        <s v="WEN-DES-002"/>
        <s v="WEN-SID-008"/>
        <s v="WEN-BUR-029"/>
        <s v="WEN-SID-011"/>
        <s v="WEN-SAL-007"/>
        <s v="WEN-SAL-003"/>
        <s v="WEN-BEV-010"/>
        <s v="WEN-BUR-020"/>
        <s v="WEN-BEV-035"/>
        <s v="WEN-BRK-002"/>
        <s v="WEN-BEV-009"/>
        <s v="WEN-BEV-020"/>
        <s v="WEN-BEV-018"/>
        <s v="WEN-SAU-002"/>
        <s v="WEN-CHK-017"/>
        <s v="WEN-DES-006"/>
        <s v="WEN-KID-001"/>
        <s v="WEN-BEV-003"/>
        <s v="WEN-SID-010"/>
        <s v="WEN-CHK-019"/>
        <s v="WEN-KID-006"/>
        <s v="WEN-SAL-009"/>
        <s v="WEN-BUR-007"/>
        <s v="WEN-BEV-014"/>
        <s v="WEN-SID-001"/>
        <s v="WEN-BUR-008"/>
        <s v="WEN-SID-016"/>
        <s v="WEN-BRK-021"/>
        <s v="WEN-BUR-021"/>
        <s v="WEN-CHK-007"/>
        <s v="WEN-BEV-031"/>
        <s v="WEN-BRK-013"/>
        <s v="WEN-KID-009"/>
        <s v="WEN-BEV-007"/>
        <s v="WEN-SAL-002"/>
        <s v="WEN-SID-018"/>
        <s v="WEN-BEV-001"/>
        <s v="WEN-BEV-026"/>
        <s v="WEN-DES-012"/>
        <s v="WEN-BRK-022"/>
        <s v="WEN-SAU-008"/>
        <s v="WEN-SID-014"/>
        <s v="WEN-CHK-016"/>
        <s v="WEN-SID-007"/>
        <s v="WEN-BUR-014"/>
        <s v="WEN-CHK-008"/>
        <s v="WEN-DES-013"/>
        <s v="WEN-BUR-015"/>
        <s v="WEN-SAL-011"/>
        <s v="WEN-BUR-005"/>
        <s v="WEN-CHK-001"/>
        <s v="WEN-CHK-023"/>
        <s v="WEN-BUR-016"/>
        <s v="WEN-BRK-007"/>
        <s v="WEN-BUR-028"/>
        <s v="WEN-BUR-012"/>
        <s v="WEN-BEV-013"/>
        <s v="WEN-DES-016"/>
        <s v="WEN-BUR-004"/>
        <s v="WEN-BRK-008"/>
        <s v="WEN-BUR-017"/>
        <s v="WEN-BEV-012"/>
        <s v="WEN-BRK-005"/>
        <s v="WEN-SAU-010"/>
        <s v="WEN-DES-010"/>
        <s v="WEN-DES-008"/>
        <s v="WEN-SID-002"/>
        <s v="WEN-KID-010"/>
        <s v="WEN-BEV-022"/>
        <s v="WEN-BEV-023"/>
        <s v="WEN-DES-009"/>
        <s v="WEN-BRK-018"/>
        <s v="WEN-BUR-025"/>
        <s v="WEN-BRK-015"/>
        <s v="WEN-COM-001"/>
        <s v="WEN-BRK-024"/>
        <s v="WEN-BUR-013"/>
        <s v="WEN-BRK-020"/>
        <s v="WEN-BUR-019"/>
        <s v="WEN-SAU-001"/>
        <s v="WEN-SAL-012"/>
        <s v="WEN-BRK-011"/>
        <s v="WEN-BUR-006"/>
        <s v="WEN-KID-003"/>
        <s v="WEN-SAU-003"/>
        <s v="WEN-DES-017"/>
        <s v="WEN-CHK-014"/>
        <s v="WEN-CHK-004"/>
        <s v="WEN-BRK-004"/>
        <s v="WEN-KID-005"/>
        <s v="WEN-BRK-001"/>
        <s v="WEN-SID-005"/>
        <s v="WEN-BEV-030"/>
        <s v="WEN-SAL-015"/>
        <s v="WEN-COM-009"/>
        <s v="WEN-SAL-006"/>
        <s v="WEN-BRK-010"/>
        <s v="WEN-SID-004"/>
        <s v="WEN-BUR-002"/>
        <s v="WEN-DES-019"/>
        <s v="WEN-BRK-025"/>
        <s v="WEN-BEV-024"/>
        <s v="WEN-BRK-023"/>
        <s v="WEN-BRK-014"/>
        <s v="WEN-SID-015"/>
        <s v="WEN-DES-003"/>
        <s v="WEN-BUR-024"/>
        <s v="WEN-COM-004"/>
        <s v="WEN-DES-004"/>
        <s v="WEN-BUR-027"/>
        <s v="WEN-BRK-012"/>
        <s v="WEN-BEV-002"/>
        <s v="WEN-BEV-034"/>
        <s v="WEN-CHK-006"/>
        <s v="WEN-CHK-010"/>
        <s v="WEN-CHK-012"/>
        <s v="WEN-SID-019"/>
        <s v="WEN-KID-002"/>
        <s v="WEN-SAL-008"/>
        <s v="WEN-BEV-006"/>
        <s v="WEN-SAL-004"/>
        <s v="WEN-CHK-015"/>
        <s v="WEN-BRK-003"/>
        <s v="WEN-CHK-013"/>
        <s v="WEN-SAU-009"/>
        <s v="WEN-SAU-007"/>
        <s v="WEN-SID-012"/>
        <s v="WEN-KID-008"/>
        <s v="WEN-SAL-010"/>
        <s v="WEN-DES-011"/>
        <s v="WEN-BRK-006"/>
        <s v="WEN-SAL-001"/>
        <s v="WEN-SAU-005"/>
        <s v="WEN-SAL-005"/>
      </sharedItems>
    </cacheField>
    <cacheField name="Product Name" numFmtId="0">
      <sharedItems count="199">
        <s v="Crispy Chicken Combo"/>
        <s v="Kids Breakfast Sandwich Meal"/>
        <s v="Spicy Chicken Sandwich"/>
        <s v="Loaded Fries"/>
        <s v="Hot Coffee - Small"/>
        <s v="Hot Coffee - Large"/>
        <s v="Breakfast Potatoes - Large"/>
        <s v="BBQ Sauce Cup"/>
        <s v="Chocolate Shake - Small"/>
        <s v="Classic Triple Burger"/>
        <s v="Diet Cola - Small"/>
        <s v="Caramel Shake - Large"/>
        <s v="10 pc Nuggets Combo"/>
        <s v="Lemonade - Medium"/>
        <s v="Breakfast Croissant Combo"/>
        <s v="Classic Single Burger"/>
        <s v="Mushroom Swiss Double Burger"/>
        <s v="Diet Cola - Medium"/>
        <s v="Maple Chicken Biscuit"/>
        <s v="Apple Bites"/>
        <s v="Seasoned Fries - Large"/>
        <s v="Vanilla Frozen Dessert - Small"/>
        <s v="Root Beer - Medium"/>
        <s v="Bacon Triple Burger"/>
        <s v="Grilled Chicken Combo"/>
        <s v="Grilled Chicken Sandwich"/>
        <s v="Lemon-Lime Soda - Medium"/>
        <s v="Caramel Cold Brew"/>
        <s v="Grilled Chicken BLT"/>
        <s v="French Toast Sticks - 4 pc"/>
        <s v="Chocolate Chip Cookie"/>
        <s v="Strawberry Lemonade - Large"/>
        <s v="Honey Mustard Sauce Cup"/>
        <s v="Mushroom Swiss Single Burger"/>
        <s v="Strawberry Sundae"/>
        <s v="Chocolate Sundae"/>
        <s v="Spicy Nuggets - 4 pc"/>
        <s v="Onion Rings - Large"/>
        <s v="Apple Pecan Salad"/>
        <s v="Chicken Tender Basket"/>
        <s v="Iced Coffee - Small"/>
        <s v="Spicy Nuggets - 6 pc"/>
        <s v="Natural-Cut Fries - Large"/>
        <s v="Chicken Nuggets - 6 pc"/>
        <s v="Oatmeal Cup"/>
        <s v="Classic Double Combo"/>
        <s v="Strawberry Lemonade - Small"/>
        <s v="Junior Deluxe Burger"/>
        <s v="Chocolate Cold Brew"/>
        <s v="Iced Coffee - Medium"/>
        <s v="Southwest Salad"/>
        <s v="Southwest Chicken Salad Combo"/>
        <s v="Chicken Nuggets - 20 pc"/>
        <s v="Iced Tea - Large"/>
        <s v="Jalapeño Chicken Sandwich"/>
        <s v="Chocolate Frozen Dessert - Medium"/>
        <s v="Lemonade - Small"/>
        <s v="Spicy Nuggets - 20 pc"/>
        <s v="Crispy Onion Double Burger"/>
        <s v="Crispy Chicken BLT"/>
        <s v="Maple Bacon Single Burger"/>
        <s v="Crispy Onion Single Burger"/>
        <s v="Bacon Double Combo"/>
        <s v="Pepper Jack Single Burger"/>
        <s v="Chili - Small"/>
        <s v="Vanilla Frozen Dessert - Medium"/>
        <s v="Onion Rings - Medium"/>
        <s v="Junior Bacon Cheeseburger"/>
        <s v="Baked Potato - Cheese"/>
        <s v="Apple Pecan Chicken Salad"/>
        <s v="Grilled Chicken Caesar Salad"/>
        <s v="Root Beer - Small"/>
        <s v="Avocado Ranch Single Burger"/>
        <s v="Milk - Chocolate"/>
        <s v="Bacon Egg Biscuit"/>
        <s v="Lemon-Lime Soda - Large"/>
        <s v="Strawberry Lemonade - Medium"/>
        <s v="Lemonade - Large"/>
        <s v="Mayonnaise Packet"/>
        <s v="Chicken Nuggets - 4 pc"/>
        <s v="Chocolate Frozen Dessert - Large"/>
        <s v="Kids Cheeseburger Meal"/>
        <s v="Cola - Large"/>
        <s v="Baked Potato - Plain"/>
        <s v="Chicken Nuggets - 10 pc"/>
        <s v="Kids Grilled Chicken Meal"/>
        <s v="Bacon Ranch Chicken Salad"/>
        <s v="Bacon Single Burger"/>
        <s v="Iced Tea - Medium"/>
        <s v="Natural-Cut Fries - Small"/>
        <s v="Bacon Double Burger"/>
        <s v="Mac &amp; Cheese - Large"/>
        <s v="Breakfast Platter - Sausage"/>
        <s v="Avocado Ranch Double Burger"/>
        <s v="Honey Mustard Chicken Sandwich"/>
        <s v="Vanilla Cold Brew"/>
        <s v="Veggie Breakfast Wrap"/>
        <s v="Kids Mac &amp; Cheese Meal"/>
        <s v="Lemon-Lime Soda - Small"/>
        <s v="Spicy Chicken Salad"/>
        <s v="Side Caesar Salad"/>
        <s v="Cola - Small"/>
        <s v="Hot Coffee - Medium"/>
        <s v="Chocolate Brownie Sundae"/>
        <s v="Breakfast Platter - Bacon"/>
        <s v="Extra Cheese Slice"/>
        <s v="Chili - Large"/>
        <s v="Chicken Wrap BBQ"/>
        <s v="Onion Rings - Small"/>
        <s v="BBQ Onion Single Burger"/>
        <s v="Crispy Chicken Sandwich"/>
        <s v="Caramel Sundae"/>
        <s v="BBQ Onion Double Burger"/>
        <s v="Garden Salad"/>
        <s v="Cheese Double Burger"/>
        <s v="Classic Chicken Sandwich"/>
        <s v="Spicy Nuggets - 10 pc"/>
        <s v="Smoky Bacon Single Burger"/>
        <s v="Sausage Breakfast Sandwich"/>
        <s v="Junior Cheeseburger"/>
        <s v="Jalapeño Cheddar Single Burger"/>
        <s v="Iced Tea - Small"/>
        <s v="Vanilla Shake - Small"/>
        <s v="Cheese Single Burger"/>
        <s v="Bacon Breakfast Sandwich"/>
        <s v="Smoky Bacon Double Burger"/>
        <s v="Root Beer - Large"/>
        <s v="Bacon Egg Croissant"/>
        <s v="Avocado Add-on"/>
        <s v="Sugar Cookie"/>
        <s v="Double Chocolate Cookie"/>
        <s v="Natural-Cut Fries - Medium"/>
        <s v="Kids Mini Wrap Meal"/>
        <s v="Orange Juice"/>
        <s v="Apple Juice"/>
        <s v="Oatmeal Raisin Cookie"/>
        <s v="French Toast Sticks - 6 pc"/>
        <s v="Spicy Southwest Double Burger"/>
        <s v="Breakfast Potatoes - Medium"/>
        <s v="Classic Single Combo"/>
        <s v="English Muffin Egg &amp; Cheese"/>
        <s v="Jalapeño Cheddar Double Burger"/>
        <s v="Yogurt &amp; Granola Cup"/>
        <s v="Pepper Jack Double Burger"/>
        <s v="Ketchup Packet"/>
        <s v="Caesar Salad"/>
        <s v="Sausage Breakfast Wrap"/>
        <s v="Cheese Triple Burger"/>
        <s v="Kids Chicken Sandwich Meal"/>
        <s v="Mustard Packet"/>
        <s v="Vanilla Shake - Large"/>
        <s v="Chicken Wrap Ranch"/>
        <s v="Bacon Ranch Chicken Sandwich"/>
        <s v="Sausage Egg Croissant"/>
        <s v="Kids Nuggets Meal - 6 pc"/>
        <s v="Sausage Egg Biscuit"/>
        <s v="Seasoned Fries - Medium"/>
        <s v="Iced Coffee - Large"/>
        <s v="Avocado Ranch Salad"/>
        <s v="Chicken Biscuit Combo"/>
        <s v="Avocado Ranch Chicken Salad"/>
        <s v="Honey Butter Chicken Biscuit"/>
        <s v="Seasoned Fries - Small"/>
        <s v="Classic Double Burger"/>
        <s v="Chocolate Shake - Large"/>
        <s v="English Muffin Sausage &amp; Egg"/>
        <s v="Bottled Water"/>
        <s v="Breakfast Platter - Chicken"/>
        <s v="Breakfast Potatoes - Small"/>
        <s v="Mac &amp; Cheese - Small"/>
        <s v="Vanilla Frozen Dessert - Large"/>
        <s v="Spicy Southwest Single Burger"/>
        <s v="Spicy Chicken Combo"/>
        <s v="Chocolate Frozen Dessert - Small"/>
        <s v="Maple Bacon Double Burger"/>
        <s v="Bacon Breakfast Wrap"/>
        <s v="Cola - Medium"/>
        <s v="Milk - White"/>
        <s v="BBQ Chicken Sandwich"/>
        <s v="Spicy Chicken BLT"/>
        <s v="Chicken Wrap Classic"/>
        <s v="Side Garden Salad"/>
        <s v="Kids Hamburger Meal"/>
        <s v="BBQ Chicken Salad"/>
        <s v="Diet Cola - Large"/>
        <s v="Crispy Chicken Caesar Salad"/>
        <s v="Chicken Wrap Caesar"/>
        <s v="Egg &amp; Cheese Biscuit"/>
        <s v="Chicken Wrap Spicy"/>
        <s v="Extra Bacon Portion"/>
        <s v="Spicy Sauce Cup"/>
        <s v="Baked Potato - Bacon &amp; Cheese"/>
        <s v="Kids French Toast Meal"/>
        <s v="Mediterranean Chicken Salad"/>
        <s v="Brownie"/>
        <s v="Egg &amp; Cheese Croissant"/>
        <s v="Garden Chicken Salad"/>
        <s v="Ranch Sauce Cup"/>
        <s v="Southwest Chicken Salad"/>
      </sharedItems>
    </cacheField>
    <cacheField name="Category" numFmtId="0">
      <sharedItems/>
    </cacheField>
    <cacheField name="Store Location" numFmtId="0">
      <sharedItems count="3">
        <s v="Kamloops - Downtown"/>
        <s v="Kamloops - Valleyview"/>
        <s v="Kamloops - Aberdeen"/>
      </sharedItems>
    </cacheField>
    <cacheField name="Sales Channel" numFmtId="0">
      <sharedItems count="4">
        <s v="Delivery"/>
        <s v="Drive-Thru"/>
        <s v="Takeout"/>
        <s v="Dine-In"/>
      </sharedItems>
    </cacheField>
    <cacheField name="Quantity Sold" numFmtId="0">
      <sharedItems containsSemiMixedTypes="0" containsString="0" containsNumber="1" containsInteger="1" minValue="6" maxValue="200" count="63">
        <n v="61"/>
        <n v="42"/>
        <n v="62"/>
        <n v="78"/>
        <n v="34"/>
        <n v="54"/>
        <n v="36"/>
        <n v="70"/>
        <n v="63"/>
        <n v="57"/>
        <n v="75"/>
        <n v="39"/>
        <n v="79"/>
        <n v="40"/>
        <n v="35"/>
        <n v="44"/>
        <n v="53"/>
        <n v="64"/>
        <n v="48"/>
        <n v="46"/>
        <n v="41"/>
        <n v="55"/>
        <n v="58"/>
        <n v="33"/>
        <n v="60"/>
        <n v="43"/>
        <n v="38"/>
        <n v="51"/>
        <n v="73"/>
        <n v="67"/>
        <n v="37"/>
        <n v="68"/>
        <n v="50"/>
        <n v="45"/>
        <n v="76"/>
        <n v="47"/>
        <n v="52"/>
        <n v="74"/>
        <n v="69"/>
        <n v="56"/>
        <n v="59"/>
        <n v="30"/>
        <n v="49"/>
        <n v="72"/>
        <n v="77"/>
        <n v="65"/>
        <n v="66"/>
        <n v="32"/>
        <n v="71"/>
        <n v="80"/>
        <n v="31"/>
        <n v="24"/>
        <n v="20"/>
        <n v="15"/>
        <n v="10"/>
        <n v="25"/>
        <n v="12"/>
        <n v="6"/>
        <n v="100"/>
        <n v="120"/>
        <n v="150"/>
        <n v="90"/>
        <n v="200"/>
      </sharedItems>
    </cacheField>
    <cacheField name="Unit Selling Price (CAD)" numFmtId="166">
      <sharedItems containsSemiMixedTypes="0" containsString="0" containsNumber="1" minValue="0.25" maxValue="12.99"/>
    </cacheField>
    <cacheField name="Sales Revenue (CAD)" numFmtId="166">
      <sharedItems containsSemiMixedTypes="0" containsString="0" containsNumber="1" minValue="6.25" maxValue="1348.5" count="741">
        <n v="609.39"/>
        <n v="251.58"/>
        <n v="433.38"/>
        <n v="371.38"/>
        <n v="155.22"/>
        <n v="233.22000000000003"/>
        <n v="135.66"/>
        <n v="27"/>
        <n v="179.64000000000001"/>
        <n v="699.30000000000007"/>
        <n v="125.37"/>
        <n v="341.43"/>
        <n v="749.25"/>
        <n v="116.61000000000001"/>
        <n v="631.21"/>
        <n v="79.599999999999994"/>
        <n v="209.65"/>
        <n v="395.56"/>
        <n v="158.47"/>
        <n v="383.36"/>
        <n v="209.3"/>
        <n v="143.52000000000001"/>
        <n v="229.54000000000002"/>
        <n v="122.59"/>
        <n v="164.45000000000002"/>
        <n v="637.41999999999996"/>
        <n v="362.67"/>
        <n v="524.25"/>
        <n v="101.66000000000001"/>
        <n v="239.4"/>
        <n v="203.66"/>
        <n v="311.61"/>
        <n v="311.22000000000003"/>
        <n v="71.52"/>
        <n v="279.3"/>
        <n v="17"/>
        <n v="377.46000000000004"/>
        <n v="85.57"/>
        <n v="169.66"/>
        <n v="189.62"/>
        <n v="152.49"/>
        <n v="396.97"/>
        <n v="218.27"/>
        <n v="341.62"/>
        <n v="227.43"/>
        <n v="669.33"/>
        <n v="184.63"/>
        <n v="327.77000000000004"/>
        <n v="274.45"/>
        <n v="179.4"/>
        <n v="182.39000000000001"/>
        <n v="626.43000000000006"/>
        <n v="203.32000000000002"/>
        <n v="619.38"/>
        <n v="113.62"/>
        <n v="149.5"/>
        <n v="314.55"/>
        <n v="219.45000000000002"/>
        <n v="151.24"/>
        <n v="224.25000000000003"/>
        <n v="426.39"/>
        <n v="610.53"/>
        <n v="767.36"/>
        <n v="98.67"/>
        <n v="569.24"/>
        <n v="181.48000000000002"/>
        <n v="395.64"/>
        <n v="887.26"/>
        <n v="390.54"/>
        <n v="206.31"/>
        <n v="335.44"/>
        <n v="471.41"/>
        <n v="251.37"/>
        <n v="297.15000000000003"/>
        <n v="194.70000000000002"/>
        <n v="455.62"/>
        <n v="104.65"/>
        <n v="318.01"/>
        <n v="299.25"/>
        <n v="209.4"/>
        <n v="336.75"/>
        <n v="303.24"/>
        <n v="531.44000000000005"/>
        <n v="243.39000000000001"/>
        <n v="143.28"/>
        <n v="335.52"/>
        <n v="188.37"/>
        <n v="154.38000000000002"/>
        <n v="339.32"/>
        <n v="571.48"/>
        <n v="146.51000000000002"/>
        <n v="296.67"/>
        <n v="151.62"/>
        <n v="155.61000000000001"/>
        <n v="17.25"/>
        <n v="287.36"/>
        <n v="191.36"/>
        <n v="437.27000000000004"/>
        <n v="119.60000000000001"/>
        <n v="207.48000000000002"/>
        <n v="175.56"/>
        <n v="315.21000000000004"/>
        <n v="531.24"/>
        <n v="139.60000000000002"/>
        <n v="221.26000000000002"/>
        <n v="499.73"/>
        <n v="588.38"/>
        <n v="454.35"/>
        <n v="185.38000000000002"/>
        <n v="575.36"/>
        <n v="314.37"/>
        <n v="155.48000000000002"/>
        <n v="440.51"/>
        <n v="434.42"/>
        <n v="9.25"/>
        <n v="377.37"/>
        <n v="275.54000000000002"/>
        <n v="153.22999999999999"/>
        <n v="287.52"/>
        <n v="458.49"/>
        <n v="305.32"/>
        <n v="263.34000000000003"/>
        <n v="79.680000000000007"/>
        <n v="473.21000000000004"/>
        <n v="591.26"/>
        <n v="395.34000000000003"/>
        <n v="419.40000000000003"/>
        <n v="599.4"/>
        <n v="255.36"/>
        <n v="309.38"/>
        <n v="65.67"/>
        <n v="33.75"/>
        <n v="247.38000000000002"/>
        <n v="236.21"/>
        <n v="347.42"/>
        <n v="436.54"/>
        <n v="119.7"/>
        <n v="384.23"/>
        <n v="174.5"/>
        <n v="447.81"/>
        <n v="356.49"/>
        <n v="195.51000000000002"/>
        <n v="349.5"/>
        <n v="227.24"/>
        <n v="389.40000000000003"/>
        <n v="110.63000000000001"/>
        <n v="496.29"/>
        <n v="259.48"/>
        <n v="628.26"/>
        <n v="125.64000000000001"/>
        <n v="424.5"/>
        <n v="431.46000000000004"/>
        <n v="279.60000000000002"/>
        <n v="482.31"/>
        <n v="89.7"/>
        <n v="237.66"/>
        <n v="337.48"/>
        <n v="209.58"/>
        <n v="176.41000000000003"/>
        <n v="279.07"/>
        <n v="141.29"/>
        <n v="449.25"/>
        <n v="264.47000000000003"/>
        <n v="710.21"/>
        <n v="157.21"/>
        <n v="200.33"/>
        <n v="239.60000000000002"/>
        <n v="659.4"/>
        <n v="199.20000000000002"/>
        <n v="307.56"/>
        <n v="656.27"/>
        <n v="179.70000000000002"/>
        <n v="441.48"/>
        <n v="221.63"/>
        <n v="480.26"/>
        <n v="413.54"/>
        <n v="374.25"/>
        <n v="96.85"/>
        <n v="719.2"/>
        <n v="519.48"/>
        <n v="87.91"/>
        <n v="447.36"/>
        <n v="117.41"/>
        <n v="382.91"/>
        <n v="86.42"/>
        <n v="329.34000000000003"/>
        <n v="184.97"/>
        <n v="209.70000000000002"/>
        <n v="235.41000000000003"/>
        <n v="92.690000000000012"/>
        <n v="224.5"/>
        <n v="319.36"/>
        <n v="95.36"/>
        <n v="123.69000000000001"/>
        <n v="419.58"/>
        <n v="714.35"/>
        <n v="205.91000000000003"/>
        <n v="305.66000000000003"/>
        <n v="244.51000000000002"/>
        <n v="531.79"/>
        <n v="489.3"/>
        <n v="364.27000000000004"/>
        <n v="69.650000000000006"/>
        <n v="194.35000000000002"/>
        <n v="202.05"/>
        <n v="557.38"/>
        <n v="399.20000000000005"/>
        <n v="577.32000000000005"/>
        <n v="287.28000000000003"/>
        <n v="251.64000000000001"/>
        <n v="282.87"/>
        <n v="779.22"/>
        <n v="279.20000000000005"/>
        <n v="239.20000000000002"/>
        <n v="426.93"/>
        <n v="327.59000000000003"/>
        <n v="398.43"/>
        <n v="201.19"/>
        <n v="611.32000000000005"/>
        <n v="194.22000000000003"/>
        <n v="63.68"/>
        <n v="409.59000000000003"/>
        <n v="365.39"/>
        <n v="144.42000000000002"/>
        <n v="263.67"/>
        <n v="529.47"/>
        <n v="174.65"/>
        <n v="419.3"/>
        <n v="15.5"/>
        <n v="199.5"/>
        <n v="730.73"/>
        <n v="137.54000000000002"/>
        <n v="284.62"/>
        <n v="665.26"/>
        <n v="116.22"/>
        <n v="108.77"/>
        <n v="441.32"/>
        <n v="311.52"/>
        <n v="354.29"/>
        <n v="359.6"/>
        <n v="566.37"/>
        <n v="127.68"/>
        <n v="407.32"/>
        <n v="147.63"/>
        <n v="289.42"/>
        <n v="460.79"/>
        <n v="258.63"/>
        <n v="81.59"/>
        <n v="428.67"/>
        <n v="307.09000000000003"/>
        <n v="530.41"/>
        <n v="254.49"/>
        <n v="491.59000000000003"/>
        <n v="219.56"/>
        <n v="119.4"/>
        <n v="75.989999999999995"/>
        <n v="386.57"/>
        <n v="109.45"/>
        <n v="489.51"/>
        <n v="839.30000000000007"/>
        <n v="483.99"/>
        <n v="170.43"/>
        <n v="353.41"/>
        <n v="134.55000000000001"/>
        <n v="195.44"/>
        <n v="233.61"/>
        <n v="173.42000000000002"/>
        <n v="159.19999999999999"/>
        <n v="95.68"/>
        <n v="230.67000000000002"/>
        <n v="30.5"/>
        <n v="443.26"/>
        <n v="191.52"/>
        <n v="82.17"/>
        <n v="824.25"/>
        <n v="559.20000000000005"/>
        <n v="171.81"/>
        <n v="509.32"/>
        <n v="283.29000000000002"/>
        <n v="287.64"/>
        <n v="214.57000000000002"/>
        <n v="111.68"/>
        <n v="126.99000000000001"/>
        <n v="99.5"/>
        <n v="369.26"/>
        <n v="583.27"/>
        <n v="305.49"/>
        <n v="818.37"/>
        <n v="709.29"/>
        <n v="597.87"/>
        <n v="475.32"/>
        <n v="367.54"/>
        <n v="483.93"/>
        <n v="339.6"/>
        <n v="305.64"/>
        <n v="194.61"/>
        <n v="71.64"/>
        <n v="593.34"/>
        <n v="136.95000000000002"/>
        <n v="344.31"/>
        <n v="743.38"/>
        <n v="323.46000000000004"/>
        <n v="538.23"/>
        <n v="272.58"/>
        <n v="415.48"/>
        <n v="510.27000000000004"/>
        <n v="501.83000000000004"/>
        <n v="321.54000000000002"/>
        <n v="125.58000000000001"/>
        <n v="421.85"/>
        <n v="153.56"/>
        <n v="269.40000000000003"/>
        <n v="220.01000000000002"/>
        <n v="107.64000000000001"/>
        <n v="509.40000000000003"/>
        <n v="455.24"/>
        <n v="576.73"/>
        <n v="159.60000000000002"/>
        <n v="115.42"/>
        <n v="589.41"/>
        <n v="278.69"/>
        <n v="559.44000000000005"/>
        <n v="468.33000000000004"/>
        <n v="230.23000000000002"/>
        <n v="755.37"/>
        <n v="449.5"/>
        <n v="373.66"/>
        <n v="857.22"/>
        <n v="539.46"/>
        <n v="118.66000000000001"/>
        <n v="12.75"/>
        <n v="707.41"/>
        <n v="332.63"/>
        <n v="267.33000000000004"/>
        <n v="356.95"/>
        <n v="959.2"/>
        <n v="89.55"/>
        <n v="299.40000000000003"/>
        <n v="543.32000000000005"/>
        <n v="503.28000000000003"/>
        <n v="461.58"/>
        <n v="539.4"/>
        <n v="343.97"/>
        <n v="114.54"/>
        <n v="295.26"/>
        <n v="269.46000000000004"/>
        <n v="486.85"/>
        <n v="551.54"/>
        <n v="692.37"/>
        <n v="244.65"/>
        <n v="97.51"/>
        <n v="599.25"/>
        <n v="164.34"/>
        <n v="286.59000000000003"/>
        <n v="224.70000000000002"/>
        <n v="683.28"/>
        <n v="599.20000000000005"/>
        <n v="463.42"/>
        <n v="73.010000000000005"/>
        <n v="265.24"/>
        <n v="674.25"/>
        <n v="281.53000000000003"/>
        <n v="179.55"/>
        <n v="131.56"/>
        <n v="73.63"/>
        <n v="285.56"/>
        <n v="186.75000000000003"/>
        <n v="275.71000000000004"/>
        <n v="237.32000000000002"/>
        <n v="575.28"/>
        <n v="107.07000000000001"/>
        <n v="117.71"/>
        <n v="506.61"/>
        <n v="389.61"/>
        <n v="128.57000000000002"/>
        <n v="511.36"/>
        <n v="379.24"/>
        <n v="405.42"/>
        <n v="494.45"/>
        <n v="467.28000000000003"/>
        <n v="284.43"/>
        <n v="384.45"/>
        <n v="334.33000000000004"/>
        <n v="269.7"/>
        <n v="187.53"/>
        <n v="307.23"/>
        <n v="725.34"/>
        <n v="109.56"/>
        <n v="171.01000000000002"/>
        <n v="391.51"/>
        <n v="149.25"/>
        <n v="293.58"/>
        <n v="257.57"/>
        <n v="509.49"/>
        <n v="197.56"/>
        <n v="159.68"/>
        <n v="503.58"/>
        <n v="416.01"/>
        <n v="99.600000000000009"/>
        <n v="211.47"/>
        <n v="370.47"/>
        <n v="701.22"/>
        <n v="736.33"/>
        <n v="185.69"/>
        <n v="242.46"/>
        <n v="615.23"/>
        <n v="731.39"/>
        <n v="203.49"/>
        <n v="947.21"/>
        <n v="254.70000000000002"/>
        <n v="423.47"/>
        <n v="179.28000000000003"/>
        <n v="161.46"/>
        <n v="24.5"/>
        <n v="626.34"/>
        <n v="319.20000000000005"/>
        <n v="313.17"/>
        <n v="350.61"/>
        <n v="373.56"/>
        <n v="545.22"/>
        <n v="159.36000000000001"/>
        <n v="199.60000000000002"/>
        <n v="317.47000000000003"/>
        <n v="629.30000000000007"/>
        <n v="113.42999999999999"/>
        <n v="245.59"/>
        <n v="719.28"/>
        <n v="292.05"/>
        <n v="389.35"/>
        <n v="291.27000000000004"/>
        <n v="272.61"/>
        <n v="113.24"/>
        <n v="167.44"/>
        <n v="503.44"/>
        <n v="935.22"/>
        <n v="169.32000000000002"/>
        <n v="304.39"/>
        <n v="183.54000000000002"/>
        <n v="197.34"/>
        <n v="164.67000000000002"/>
        <n v="215.28000000000003"/>
        <n v="148.17000000000002"/>
        <n v="26.25"/>
        <n v="263.19"/>
        <n v="350.46000000000004"/>
        <n v="129.13"/>
        <n v="309.81"/>
        <n v="139.65"/>
        <n v="60"/>
        <n v="91.54"/>
        <n v="923.23"/>
        <n v="141.93"/>
        <n v="729.27"/>
        <n v="792.39"/>
        <n v="512.46"/>
        <n v="515.57000000000005"/>
        <n v="74.5"/>
        <n v="766.41"/>
        <n v="216.69"/>
        <n v="17.5"/>
        <n v="543.36"/>
        <n v="636.51"/>
        <n v="456.89"/>
        <n v="803.33"/>
        <n v="568.83000000000004"/>
        <n v="214.17000000000002"/>
        <n v="305.03000000000003"/>
        <n v="93.87"/>
        <n v="466.95"/>
        <n v="425.29"/>
        <n v="150.07000000000002"/>
        <n v="127.36"/>
        <n v="263.56"/>
        <n v="156.87"/>
        <n v="349.3"/>
        <n v="329.45"/>
        <n v="46.19"/>
        <n v="512.71"/>
        <n v="552.21"/>
        <n v="280.17"/>
        <n v="226.85000000000002"/>
        <n v="68.75"/>
        <n v="311.48"/>
        <n v="157.05000000000001"/>
        <n v="413.31"/>
        <n v="383.52"/>
        <n v="638.29"/>
        <n v="406.63"/>
        <n v="191.68"/>
        <n v="454.3"/>
        <n v="265.62"/>
        <n v="170.62"/>
        <n v="207.68"/>
        <n v="379.62"/>
        <n v="548.39"/>
        <n v="328.53000000000003"/>
        <n v="167.58"/>
        <n v="133.33000000000001"/>
        <n v="111.44"/>
        <n v="363.48"/>
        <n v="75"/>
        <n v="382.05"/>
        <n v="769.23"/>
        <n v="381.99"/>
        <n v="261.75"/>
        <n v="664.30000000000007"/>
        <n v="271.68"/>
        <n v="239.70000000000002"/>
        <n v="59.7"/>
        <n v="212.29000000000002"/>
        <n v="171.57000000000002"/>
        <n v="471.87"/>
        <n v="394.21000000000004"/>
        <n v="147.26"/>
        <n v="512.43000000000006"/>
        <n v="134.70000000000002"/>
        <n v="279.44"/>
        <n v="441.91"/>
        <n v="247.79000000000002"/>
        <n v="479.20000000000005"/>
        <n v="619.77"/>
        <n v="294.41000000000003"/>
        <n v="28.5"/>
        <n v="251.44"/>
        <n v="493.24"/>
        <n v="215.46"/>
        <n v="247.17000000000002"/>
        <n v="535.33000000000004"/>
        <n v="702.26"/>
        <n v="332.26"/>
        <n v="223.68"/>
        <n v="527.56000000000006"/>
        <n v="659.45"/>
        <n v="461.34000000000003"/>
        <n v="683.24"/>
        <n v="299.7"/>
        <n v="33.5"/>
        <n v="249.5"/>
        <n v="181.77"/>
        <n v="143.76"/>
        <n v="154.69"/>
        <n v="391.44"/>
        <n v="623.48"/>
        <n v="79.800000000000011"/>
        <n v="411.95"/>
        <n v="29.85"/>
        <n v="649.35"/>
        <n v="431.52"/>
        <n v="204.59"/>
        <n v="129.9"/>
        <n v="350.22"/>
        <n v="465.01"/>
        <n v="6.25"/>
        <n v="124.75"/>
        <n v="227.62"/>
        <n v="79.900000000000006"/>
        <n v="703.36"/>
        <n v="75.62"/>
        <n v="89.640000000000015"/>
        <n v="197.67000000000002"/>
        <n v="71.88"/>
        <n v="20.94"/>
        <n v="517.26"/>
        <n v="112.05000000000001"/>
        <n v="49.800000000000004"/>
        <n v="377.58"/>
        <n v="22.35"/>
        <n v="231.42000000000002"/>
        <n v="224.55"/>
        <n v="639.36"/>
        <n v="77.61"/>
        <n v="271.32"/>
        <n v="215.64000000000001"/>
        <n v="369.93"/>
        <n v="554.26"/>
        <n v="239.52"/>
        <n v="184.09"/>
        <n v="59.900000000000006"/>
        <n v="258.26"/>
        <n v="449.97"/>
        <n v="184.26000000000002"/>
        <n v="714.45"/>
        <n v="359.64"/>
        <n v="83.58"/>
        <n v="234.53"/>
        <n v="368.59000000000003"/>
        <n v="279.65000000000003"/>
        <n v="670.71"/>
        <n v="90.89"/>
        <n v="653.73"/>
        <n v="9.75"/>
        <n v="99.83"/>
        <n v="587.51"/>
        <n v="428.61"/>
        <n v="479.40000000000003"/>
        <n v="455.43"/>
        <n v="110.26"/>
        <n v="439.56"/>
        <n v="119.2"/>
        <n v="137.31"/>
        <n v="494.55"/>
        <n v="849"/>
        <n v="356.58"/>
        <n v="749"/>
        <n v="598.80000000000007"/>
        <n v="1048.5"/>
        <n v="359.1"/>
        <n v="998"/>
        <n v="1348.5"/>
        <n v="989.1"/>
        <n v="474.5"/>
        <n v="314.58"/>
        <n v="389.22"/>
        <n v="314.65000000000003"/>
        <n v="124.50000000000001"/>
        <n v="314.13"/>
        <n v="87.15"/>
        <n v="875.27"/>
        <n v="108.19000000000001"/>
        <n v="191.73000000000002"/>
        <n v="401.33000000000004"/>
        <n v="161.85000000000002"/>
        <n v="287.68"/>
        <n v="104.58000000000001"/>
        <n v="129.35"/>
        <n v="654.81000000000006"/>
        <n v="602.33000000000004"/>
        <n v="319.60000000000002"/>
        <n v="359.28000000000003"/>
        <n v="223.44"/>
        <n v="324.35000000000002"/>
        <n v="322.62"/>
        <n v="13.75"/>
        <n v="492.42"/>
        <n v="188.58"/>
        <n v="13"/>
        <n v="402.69"/>
        <n v="140.53"/>
        <n v="134.46"/>
        <n v="98.34"/>
        <n v="227.15"/>
        <n v="527.34"/>
        <n v="447.44"/>
        <n v="157.15"/>
        <n v="12"/>
        <n v="149.70000000000002"/>
        <n v="177.99"/>
        <n v="791.28"/>
        <n v="119.52000000000001"/>
        <n v="104.7"/>
        <n v="145.27000000000001"/>
        <n v="449.40000000000003"/>
        <n v="300.57"/>
        <n v="487.39"/>
        <n v="670.39"/>
        <n v="93.53"/>
        <n v="739.26"/>
        <n v="440.37"/>
        <n v="329.67"/>
        <n v="318.79000000000002"/>
        <n v="143.64000000000001"/>
        <n v="179.60000000000002"/>
        <n v="620.31000000000006"/>
        <n v="789.21"/>
        <n v="84.929999999999993"/>
        <n v="87.56"/>
        <n v="479.6"/>
        <n v="479.52"/>
        <n v="219.87"/>
        <n v="131.67000000000002"/>
        <n v="19.75"/>
        <n v="719.4"/>
        <n v="121.39"/>
        <n v="101.49"/>
        <n v="359.55"/>
        <n v="458.46000000000004"/>
        <n v="370.11"/>
        <n v="259.60000000000002"/>
        <n v="503.37"/>
        <n v="379.6"/>
        <n v="539.28"/>
        <n v="151.89000000000001"/>
        <n v="139.19"/>
        <n v="359.40000000000003"/>
        <n v="164.03"/>
        <n v="25.5"/>
        <n v="527.52"/>
        <n v="758.31000000000006"/>
        <n v="398.58"/>
        <n v="298.54000000000002"/>
        <n v="15"/>
        <n v="519.20000000000005"/>
        <n v="115.17"/>
        <n v="107.46"/>
        <n v="551.85"/>
        <n v="34"/>
        <n v="412.41"/>
        <n v="348.09000000000003"/>
        <n v="293.51"/>
        <n v="647.28"/>
        <n v="408.87"/>
        <n v="262.15000000000003"/>
        <n v="476.47"/>
        <n v="747.32"/>
        <n v="260.42"/>
        <n v="597.54"/>
        <n v="269.55"/>
        <n v="61.69"/>
        <n v="12.5"/>
        <n v="32"/>
        <n v="551.31000000000006"/>
        <n v="33"/>
        <n v="868.21"/>
        <n v="371.69"/>
        <n v="679.32"/>
        <n v="799.2"/>
        <n v="662.22"/>
        <n v="198.93"/>
        <n v="359.20000000000005"/>
        <n v="342.51"/>
        <n v="374.5"/>
        <n v="14.5"/>
        <n v="12.25"/>
        <n v="584.35"/>
        <n v="102.09"/>
        <n v="47.68"/>
        <n v="299.60000000000002"/>
        <n v="244.3"/>
        <n v="29.5"/>
        <n v="558.57000000000005"/>
        <n v="232.19"/>
        <n v="49.17"/>
        <n v="449.55"/>
        <n v="689.31000000000006"/>
        <n v="288.66000000000003"/>
        <n v="459.54"/>
        <n v="291.85000000000002"/>
        <n v="223.36"/>
        <n v="111.75"/>
        <n v="17.75"/>
        <n v="404.55"/>
      </sharedItems>
    </cacheField>
    <cacheField name="Months (Sale Date)" numFmtId="0" databaseField="0">
      <fieldGroup base="1">
        <rangePr groupBy="months" startDate="2026-01-01T00:00:00" endDate="2026-09-01T00:00:00"/>
        <groupItems count="14">
          <s v="&lt;2026-01-01"/>
          <s v="Jan"/>
          <s v="Feb"/>
          <s v="Mar"/>
          <s v="Apr"/>
          <s v="May"/>
          <s v="Jun"/>
          <s v="Jul"/>
          <s v="Aug"/>
          <s v="Sep"/>
          <s v="Oct"/>
          <s v="Nov"/>
          <s v="Dec"/>
          <s v="&gt;2026-09-01"/>
        </groupItems>
      </fieldGroup>
    </cacheField>
  </cacheFields>
  <extLst>
    <ext xmlns:x14="http://schemas.microsoft.com/office/spreadsheetml/2009/9/main" uri="{725AE2AE-9491-48be-B2B4-4EB974FC3084}">
      <x14:pivotCacheDefinition pivotCacheId="397633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s v="SAL-00001"/>
    <x v="0"/>
    <x v="0"/>
    <x v="0"/>
    <s v="Combo Meals"/>
    <x v="0"/>
    <x v="0"/>
    <x v="0"/>
    <n v="9.99"/>
    <x v="0"/>
  </r>
  <r>
    <s v="SAL-00002"/>
    <x v="0"/>
    <x v="1"/>
    <x v="1"/>
    <s v="Kids Meals"/>
    <x v="1"/>
    <x v="0"/>
    <x v="1"/>
    <n v="5.99"/>
    <x v="1"/>
  </r>
  <r>
    <s v="SAL-00003"/>
    <x v="0"/>
    <x v="2"/>
    <x v="2"/>
    <s v="Chicken"/>
    <x v="2"/>
    <x v="1"/>
    <x v="2"/>
    <n v="6.99"/>
    <x v="2"/>
  </r>
  <r>
    <s v="SAL-00004"/>
    <x v="0"/>
    <x v="3"/>
    <x v="3"/>
    <s v="Sides"/>
    <x v="0"/>
    <x v="2"/>
    <x v="2"/>
    <n v="5.99"/>
    <x v="3"/>
  </r>
  <r>
    <s v="SAL-00005"/>
    <x v="0"/>
    <x v="4"/>
    <x v="4"/>
    <s v="Beverages"/>
    <x v="0"/>
    <x v="3"/>
    <x v="3"/>
    <n v="1.99"/>
    <x v="4"/>
  </r>
  <r>
    <s v="SAL-00006"/>
    <x v="0"/>
    <x v="5"/>
    <x v="5"/>
    <s v="Beverages"/>
    <x v="1"/>
    <x v="1"/>
    <x v="3"/>
    <n v="2.99"/>
    <x v="5"/>
  </r>
  <r>
    <s v="SAL-00007"/>
    <x v="0"/>
    <x v="6"/>
    <x v="6"/>
    <s v="Breakfast"/>
    <x v="0"/>
    <x v="3"/>
    <x v="4"/>
    <n v="3.99"/>
    <x v="6"/>
  </r>
  <r>
    <s v="SAL-00008"/>
    <x v="1"/>
    <x v="7"/>
    <x v="7"/>
    <s v="Sauces &amp; Add-ons"/>
    <x v="2"/>
    <x v="1"/>
    <x v="5"/>
    <n v="0.5"/>
    <x v="7"/>
  </r>
  <r>
    <s v="SAL-00009"/>
    <x v="1"/>
    <x v="8"/>
    <x v="8"/>
    <s v="Desserts"/>
    <x v="0"/>
    <x v="1"/>
    <x v="6"/>
    <n v="4.99"/>
    <x v="8"/>
  </r>
  <r>
    <s v="SAL-00010"/>
    <x v="1"/>
    <x v="9"/>
    <x v="9"/>
    <s v="Burgers"/>
    <x v="0"/>
    <x v="2"/>
    <x v="7"/>
    <n v="9.99"/>
    <x v="9"/>
  </r>
  <r>
    <s v="SAL-00011"/>
    <x v="1"/>
    <x v="10"/>
    <x v="10"/>
    <s v="Beverages"/>
    <x v="2"/>
    <x v="1"/>
    <x v="8"/>
    <n v="1.99"/>
    <x v="10"/>
  </r>
  <r>
    <s v="SAL-00012"/>
    <x v="1"/>
    <x v="11"/>
    <x v="11"/>
    <s v="Desserts"/>
    <x v="2"/>
    <x v="0"/>
    <x v="9"/>
    <n v="5.99"/>
    <x v="11"/>
  </r>
  <r>
    <s v="SAL-00013"/>
    <x v="2"/>
    <x v="12"/>
    <x v="12"/>
    <s v="Combo Meals"/>
    <x v="1"/>
    <x v="2"/>
    <x v="10"/>
    <n v="9.99"/>
    <x v="12"/>
  </r>
  <r>
    <s v="SAL-00014"/>
    <x v="2"/>
    <x v="13"/>
    <x v="13"/>
    <s v="Beverages"/>
    <x v="0"/>
    <x v="1"/>
    <x v="11"/>
    <n v="2.99"/>
    <x v="13"/>
  </r>
  <r>
    <s v="SAL-00015"/>
    <x v="2"/>
    <x v="14"/>
    <x v="14"/>
    <s v="Combo Meals"/>
    <x v="0"/>
    <x v="2"/>
    <x v="12"/>
    <n v="7.99"/>
    <x v="14"/>
  </r>
  <r>
    <s v="SAL-00016"/>
    <x v="2"/>
    <x v="4"/>
    <x v="4"/>
    <s v="Beverages"/>
    <x v="1"/>
    <x v="1"/>
    <x v="13"/>
    <n v="1.99"/>
    <x v="15"/>
  </r>
  <r>
    <s v="SAL-00017"/>
    <x v="2"/>
    <x v="15"/>
    <x v="15"/>
    <s v="Burgers"/>
    <x v="1"/>
    <x v="1"/>
    <x v="14"/>
    <n v="5.99"/>
    <x v="16"/>
  </r>
  <r>
    <s v="SAL-00018"/>
    <x v="2"/>
    <x v="16"/>
    <x v="16"/>
    <s v="Burgers"/>
    <x v="1"/>
    <x v="1"/>
    <x v="15"/>
    <n v="8.99"/>
    <x v="17"/>
  </r>
  <r>
    <s v="SAL-00019"/>
    <x v="3"/>
    <x v="17"/>
    <x v="17"/>
    <s v="Beverages"/>
    <x v="0"/>
    <x v="1"/>
    <x v="16"/>
    <n v="2.99"/>
    <x v="18"/>
  </r>
  <r>
    <s v="SAL-00020"/>
    <x v="3"/>
    <x v="18"/>
    <x v="18"/>
    <s v="Breakfast"/>
    <x v="1"/>
    <x v="1"/>
    <x v="17"/>
    <n v="5.99"/>
    <x v="19"/>
  </r>
  <r>
    <s v="SAL-00021"/>
    <x v="3"/>
    <x v="17"/>
    <x v="17"/>
    <s v="Beverages"/>
    <x v="2"/>
    <x v="3"/>
    <x v="7"/>
    <n v="2.99"/>
    <x v="20"/>
  </r>
  <r>
    <s v="SAL-00022"/>
    <x v="3"/>
    <x v="19"/>
    <x v="19"/>
    <s v="Sides"/>
    <x v="1"/>
    <x v="1"/>
    <x v="18"/>
    <n v="2.99"/>
    <x v="21"/>
  </r>
  <r>
    <s v="SAL-00023"/>
    <x v="3"/>
    <x v="20"/>
    <x v="20"/>
    <s v="Sides"/>
    <x v="0"/>
    <x v="2"/>
    <x v="19"/>
    <n v="4.99"/>
    <x v="22"/>
  </r>
  <r>
    <s v="SAL-00024"/>
    <x v="3"/>
    <x v="21"/>
    <x v="21"/>
    <s v="Desserts"/>
    <x v="0"/>
    <x v="3"/>
    <x v="20"/>
    <n v="2.99"/>
    <x v="23"/>
  </r>
  <r>
    <s v="SAL-00025"/>
    <x v="3"/>
    <x v="22"/>
    <x v="22"/>
    <s v="Beverages"/>
    <x v="1"/>
    <x v="2"/>
    <x v="21"/>
    <n v="2.99"/>
    <x v="24"/>
  </r>
  <r>
    <s v="SAL-00026"/>
    <x v="3"/>
    <x v="23"/>
    <x v="23"/>
    <s v="Burgers"/>
    <x v="1"/>
    <x v="1"/>
    <x v="22"/>
    <n v="10.99"/>
    <x v="25"/>
  </r>
  <r>
    <s v="SAL-00027"/>
    <x v="4"/>
    <x v="24"/>
    <x v="24"/>
    <s v="Combo Meals"/>
    <x v="1"/>
    <x v="1"/>
    <x v="23"/>
    <n v="10.99"/>
    <x v="26"/>
  </r>
  <r>
    <s v="SAL-00028"/>
    <x v="4"/>
    <x v="25"/>
    <x v="25"/>
    <s v="Chicken"/>
    <x v="2"/>
    <x v="1"/>
    <x v="10"/>
    <n v="6.99"/>
    <x v="27"/>
  </r>
  <r>
    <s v="SAL-00029"/>
    <x v="4"/>
    <x v="26"/>
    <x v="26"/>
    <s v="Beverages"/>
    <x v="0"/>
    <x v="1"/>
    <x v="4"/>
    <n v="2.99"/>
    <x v="28"/>
  </r>
  <r>
    <s v="SAL-00030"/>
    <x v="4"/>
    <x v="27"/>
    <x v="27"/>
    <s v="Beverages"/>
    <x v="2"/>
    <x v="3"/>
    <x v="24"/>
    <n v="3.99"/>
    <x v="29"/>
  </r>
  <r>
    <s v="SAL-00031"/>
    <x v="4"/>
    <x v="11"/>
    <x v="11"/>
    <s v="Desserts"/>
    <x v="0"/>
    <x v="1"/>
    <x v="4"/>
    <n v="5.99"/>
    <x v="30"/>
  </r>
  <r>
    <s v="SAL-00032"/>
    <x v="5"/>
    <x v="28"/>
    <x v="28"/>
    <s v="Chicken"/>
    <x v="0"/>
    <x v="1"/>
    <x v="11"/>
    <n v="7.99"/>
    <x v="31"/>
  </r>
  <r>
    <s v="SAL-00033"/>
    <x v="5"/>
    <x v="29"/>
    <x v="29"/>
    <s v="Breakfast"/>
    <x v="2"/>
    <x v="3"/>
    <x v="3"/>
    <n v="3.99"/>
    <x v="32"/>
  </r>
  <r>
    <s v="SAL-00034"/>
    <x v="6"/>
    <x v="30"/>
    <x v="30"/>
    <s v="Desserts"/>
    <x v="1"/>
    <x v="0"/>
    <x v="18"/>
    <n v="1.49"/>
    <x v="33"/>
  </r>
  <r>
    <s v="SAL-00035"/>
    <x v="6"/>
    <x v="31"/>
    <x v="31"/>
    <s v="Beverages"/>
    <x v="0"/>
    <x v="1"/>
    <x v="7"/>
    <n v="3.99"/>
    <x v="34"/>
  </r>
  <r>
    <s v="SAL-00036"/>
    <x v="6"/>
    <x v="32"/>
    <x v="32"/>
    <s v="Sauces &amp; Add-ons"/>
    <x v="2"/>
    <x v="3"/>
    <x v="4"/>
    <n v="0.5"/>
    <x v="35"/>
  </r>
  <r>
    <s v="SAL-00037"/>
    <x v="6"/>
    <x v="33"/>
    <x v="33"/>
    <s v="Burgers"/>
    <x v="0"/>
    <x v="1"/>
    <x v="5"/>
    <n v="6.99"/>
    <x v="36"/>
  </r>
  <r>
    <s v="SAL-00038"/>
    <x v="6"/>
    <x v="10"/>
    <x v="10"/>
    <s v="Beverages"/>
    <x v="2"/>
    <x v="1"/>
    <x v="25"/>
    <n v="1.99"/>
    <x v="37"/>
  </r>
  <r>
    <s v="SAL-00039"/>
    <x v="6"/>
    <x v="34"/>
    <x v="34"/>
    <s v="Desserts"/>
    <x v="2"/>
    <x v="1"/>
    <x v="4"/>
    <n v="4.99"/>
    <x v="38"/>
  </r>
  <r>
    <s v="SAL-00040"/>
    <x v="6"/>
    <x v="35"/>
    <x v="35"/>
    <s v="Desserts"/>
    <x v="0"/>
    <x v="0"/>
    <x v="26"/>
    <n v="4.99"/>
    <x v="39"/>
  </r>
  <r>
    <s v="SAL-00041"/>
    <x v="6"/>
    <x v="36"/>
    <x v="36"/>
    <s v="Chicken"/>
    <x v="2"/>
    <x v="1"/>
    <x v="27"/>
    <n v="2.99"/>
    <x v="40"/>
  </r>
  <r>
    <s v="SAL-00042"/>
    <x v="6"/>
    <x v="37"/>
    <x v="37"/>
    <s v="Sides"/>
    <x v="0"/>
    <x v="1"/>
    <x v="19"/>
    <n v="4.99"/>
    <x v="22"/>
  </r>
  <r>
    <s v="SAL-00043"/>
    <x v="6"/>
    <x v="38"/>
    <x v="38"/>
    <s v="Salads"/>
    <x v="0"/>
    <x v="1"/>
    <x v="16"/>
    <n v="7.49"/>
    <x v="41"/>
  </r>
  <r>
    <s v="SAL-00044"/>
    <x v="6"/>
    <x v="36"/>
    <x v="36"/>
    <s v="Chicken"/>
    <x v="1"/>
    <x v="3"/>
    <x v="28"/>
    <n v="2.99"/>
    <x v="42"/>
  </r>
  <r>
    <s v="SAL-00045"/>
    <x v="6"/>
    <x v="39"/>
    <x v="39"/>
    <s v="Chicken"/>
    <x v="1"/>
    <x v="1"/>
    <x v="26"/>
    <n v="8.99"/>
    <x v="43"/>
  </r>
  <r>
    <s v="SAL-00046"/>
    <x v="7"/>
    <x v="6"/>
    <x v="6"/>
    <s v="Breakfast"/>
    <x v="0"/>
    <x v="0"/>
    <x v="9"/>
    <n v="3.99"/>
    <x v="44"/>
  </r>
  <r>
    <s v="SAL-00047"/>
    <x v="7"/>
    <x v="0"/>
    <x v="0"/>
    <s v="Combo Meals"/>
    <x v="0"/>
    <x v="3"/>
    <x v="29"/>
    <n v="9.99"/>
    <x v="45"/>
  </r>
  <r>
    <s v="SAL-00048"/>
    <x v="7"/>
    <x v="40"/>
    <x v="40"/>
    <s v="Beverages"/>
    <x v="2"/>
    <x v="0"/>
    <x v="4"/>
    <n v="2.99"/>
    <x v="28"/>
  </r>
  <r>
    <s v="SAL-00049"/>
    <x v="7"/>
    <x v="41"/>
    <x v="41"/>
    <s v="Chicken"/>
    <x v="2"/>
    <x v="1"/>
    <x v="30"/>
    <n v="4.99"/>
    <x v="46"/>
  </r>
  <r>
    <s v="SAL-00050"/>
    <x v="7"/>
    <x v="42"/>
    <x v="42"/>
    <s v="Sides"/>
    <x v="2"/>
    <x v="1"/>
    <x v="28"/>
    <n v="4.49"/>
    <x v="47"/>
  </r>
  <r>
    <s v="SAL-00051"/>
    <x v="7"/>
    <x v="43"/>
    <x v="43"/>
    <s v="Chicken"/>
    <x v="1"/>
    <x v="1"/>
    <x v="21"/>
    <n v="4.99"/>
    <x v="48"/>
  </r>
  <r>
    <s v="SAL-00052"/>
    <x v="7"/>
    <x v="44"/>
    <x v="44"/>
    <s v="Breakfast"/>
    <x v="0"/>
    <x v="2"/>
    <x v="24"/>
    <n v="2.99"/>
    <x v="49"/>
  </r>
  <r>
    <s v="SAL-00053"/>
    <x v="7"/>
    <x v="22"/>
    <x v="22"/>
    <s v="Beverages"/>
    <x v="1"/>
    <x v="0"/>
    <x v="0"/>
    <n v="2.99"/>
    <x v="50"/>
  </r>
  <r>
    <s v="SAL-00054"/>
    <x v="8"/>
    <x v="45"/>
    <x v="45"/>
    <s v="Combo Meals"/>
    <x v="1"/>
    <x v="2"/>
    <x v="9"/>
    <n v="10.99"/>
    <x v="51"/>
  </r>
  <r>
    <s v="SAL-00055"/>
    <x v="8"/>
    <x v="46"/>
    <x v="46"/>
    <s v="Beverages"/>
    <x v="0"/>
    <x v="2"/>
    <x v="31"/>
    <n v="2.99"/>
    <x v="52"/>
  </r>
  <r>
    <s v="SAL-00056"/>
    <x v="8"/>
    <x v="12"/>
    <x v="12"/>
    <s v="Combo Meals"/>
    <x v="2"/>
    <x v="3"/>
    <x v="2"/>
    <n v="9.99"/>
    <x v="53"/>
  </r>
  <r>
    <s v="SAL-00057"/>
    <x v="8"/>
    <x v="40"/>
    <x v="40"/>
    <s v="Beverages"/>
    <x v="2"/>
    <x v="2"/>
    <x v="26"/>
    <n v="2.99"/>
    <x v="54"/>
  </r>
  <r>
    <s v="SAL-00058"/>
    <x v="8"/>
    <x v="47"/>
    <x v="47"/>
    <s v="Burgers"/>
    <x v="2"/>
    <x v="3"/>
    <x v="32"/>
    <n v="2.99"/>
    <x v="55"/>
  </r>
  <r>
    <s v="SAL-00059"/>
    <x v="8"/>
    <x v="25"/>
    <x v="25"/>
    <s v="Chicken"/>
    <x v="2"/>
    <x v="1"/>
    <x v="33"/>
    <n v="6.99"/>
    <x v="56"/>
  </r>
  <r>
    <s v="SAL-00060"/>
    <x v="9"/>
    <x v="48"/>
    <x v="48"/>
    <s v="Beverages"/>
    <x v="2"/>
    <x v="1"/>
    <x v="21"/>
    <n v="3.99"/>
    <x v="57"/>
  </r>
  <r>
    <s v="SAL-00061"/>
    <x v="9"/>
    <x v="4"/>
    <x v="4"/>
    <s v="Beverages"/>
    <x v="2"/>
    <x v="1"/>
    <x v="34"/>
    <n v="1.99"/>
    <x v="58"/>
  </r>
  <r>
    <s v="SAL-00062"/>
    <x v="9"/>
    <x v="49"/>
    <x v="49"/>
    <s v="Beverages"/>
    <x v="1"/>
    <x v="3"/>
    <x v="10"/>
    <n v="2.99"/>
    <x v="59"/>
  </r>
  <r>
    <s v="SAL-00063"/>
    <x v="9"/>
    <x v="50"/>
    <x v="50"/>
    <s v="Salads"/>
    <x v="2"/>
    <x v="3"/>
    <x v="0"/>
    <n v="6.99"/>
    <x v="60"/>
  </r>
  <r>
    <s v="SAL-00064"/>
    <x v="9"/>
    <x v="51"/>
    <x v="51"/>
    <s v="Combo Meals"/>
    <x v="0"/>
    <x v="0"/>
    <x v="35"/>
    <n v="12.99"/>
    <x v="61"/>
  </r>
  <r>
    <s v="SAL-00065"/>
    <x v="9"/>
    <x v="52"/>
    <x v="52"/>
    <s v="Chicken"/>
    <x v="2"/>
    <x v="3"/>
    <x v="17"/>
    <n v="11.99"/>
    <x v="62"/>
  </r>
  <r>
    <s v="SAL-00066"/>
    <x v="9"/>
    <x v="53"/>
    <x v="53"/>
    <s v="Beverages"/>
    <x v="2"/>
    <x v="0"/>
    <x v="23"/>
    <n v="2.99"/>
    <x v="63"/>
  </r>
  <r>
    <s v="SAL-00067"/>
    <x v="9"/>
    <x v="54"/>
    <x v="54"/>
    <s v="Chicken"/>
    <x v="1"/>
    <x v="2"/>
    <x v="34"/>
    <n v="7.49"/>
    <x v="64"/>
  </r>
  <r>
    <s v="SAL-00068"/>
    <x v="9"/>
    <x v="55"/>
    <x v="55"/>
    <s v="Desserts"/>
    <x v="0"/>
    <x v="1"/>
    <x v="36"/>
    <n v="3.49"/>
    <x v="65"/>
  </r>
  <r>
    <s v="SAL-00069"/>
    <x v="9"/>
    <x v="2"/>
    <x v="2"/>
    <s v="Chicken"/>
    <x v="2"/>
    <x v="2"/>
    <x v="10"/>
    <n v="6.99"/>
    <x v="27"/>
  </r>
  <r>
    <s v="SAL-00070"/>
    <x v="10"/>
    <x v="24"/>
    <x v="24"/>
    <s v="Combo Meals"/>
    <x v="2"/>
    <x v="1"/>
    <x v="6"/>
    <n v="10.99"/>
    <x v="66"/>
  </r>
  <r>
    <s v="SAL-00071"/>
    <x v="10"/>
    <x v="56"/>
    <x v="56"/>
    <s v="Beverages"/>
    <x v="1"/>
    <x v="2"/>
    <x v="18"/>
    <n v="2.99"/>
    <x v="21"/>
  </r>
  <r>
    <s v="SAL-00072"/>
    <x v="10"/>
    <x v="57"/>
    <x v="57"/>
    <s v="Chicken"/>
    <x v="0"/>
    <x v="1"/>
    <x v="37"/>
    <n v="11.99"/>
    <x v="67"/>
  </r>
  <r>
    <s v="SAL-00073"/>
    <x v="10"/>
    <x v="58"/>
    <x v="58"/>
    <s v="Burgers"/>
    <x v="0"/>
    <x v="0"/>
    <x v="19"/>
    <n v="8.49"/>
    <x v="68"/>
  </r>
  <r>
    <s v="SAL-00074"/>
    <x v="10"/>
    <x v="17"/>
    <x v="17"/>
    <s v="Beverages"/>
    <x v="2"/>
    <x v="0"/>
    <x v="38"/>
    <n v="2.99"/>
    <x v="69"/>
  </r>
  <r>
    <s v="SAL-00075"/>
    <x v="10"/>
    <x v="15"/>
    <x v="15"/>
    <s v="Burgers"/>
    <x v="0"/>
    <x v="2"/>
    <x v="39"/>
    <n v="5.99"/>
    <x v="70"/>
  </r>
  <r>
    <s v="SAL-00076"/>
    <x v="11"/>
    <x v="59"/>
    <x v="59"/>
    <s v="Chicken"/>
    <x v="2"/>
    <x v="3"/>
    <x v="40"/>
    <n v="7.99"/>
    <x v="71"/>
  </r>
  <r>
    <s v="SAL-00077"/>
    <x v="11"/>
    <x v="48"/>
    <x v="48"/>
    <s v="Beverages"/>
    <x v="1"/>
    <x v="2"/>
    <x v="8"/>
    <n v="3.99"/>
    <x v="72"/>
  </r>
  <r>
    <s v="SAL-00078"/>
    <x v="11"/>
    <x v="60"/>
    <x v="60"/>
    <s v="Burgers"/>
    <x v="0"/>
    <x v="2"/>
    <x v="0"/>
    <n v="6.99"/>
    <x v="60"/>
  </r>
  <r>
    <s v="SAL-00079"/>
    <x v="11"/>
    <x v="30"/>
    <x v="30"/>
    <s v="Desserts"/>
    <x v="0"/>
    <x v="3"/>
    <x v="18"/>
    <n v="1.49"/>
    <x v="33"/>
  </r>
  <r>
    <s v="SAL-00080"/>
    <x v="11"/>
    <x v="58"/>
    <x v="58"/>
    <s v="Burgers"/>
    <x v="2"/>
    <x v="1"/>
    <x v="14"/>
    <n v="8.49"/>
    <x v="73"/>
  </r>
  <r>
    <s v="SAL-00081"/>
    <x v="11"/>
    <x v="61"/>
    <x v="61"/>
    <s v="Burgers"/>
    <x v="0"/>
    <x v="1"/>
    <x v="41"/>
    <n v="6.49"/>
    <x v="74"/>
  </r>
  <r>
    <s v="SAL-00082"/>
    <x v="12"/>
    <x v="62"/>
    <x v="62"/>
    <s v="Combo Meals"/>
    <x v="2"/>
    <x v="1"/>
    <x v="26"/>
    <n v="11.99"/>
    <x v="75"/>
  </r>
  <r>
    <s v="SAL-00083"/>
    <x v="12"/>
    <x v="22"/>
    <x v="22"/>
    <s v="Beverages"/>
    <x v="1"/>
    <x v="1"/>
    <x v="14"/>
    <n v="2.99"/>
    <x v="76"/>
  </r>
  <r>
    <s v="SAL-00084"/>
    <x v="12"/>
    <x v="63"/>
    <x v="63"/>
    <s v="Burgers"/>
    <x v="1"/>
    <x v="3"/>
    <x v="42"/>
    <n v="6.49"/>
    <x v="77"/>
  </r>
  <r>
    <s v="SAL-00085"/>
    <x v="12"/>
    <x v="64"/>
    <x v="64"/>
    <s v="Sides"/>
    <x v="0"/>
    <x v="1"/>
    <x v="10"/>
    <n v="3.99"/>
    <x v="78"/>
  </r>
  <r>
    <s v="SAL-00086"/>
    <x v="12"/>
    <x v="65"/>
    <x v="65"/>
    <s v="Desserts"/>
    <x v="2"/>
    <x v="1"/>
    <x v="24"/>
    <n v="3.49"/>
    <x v="79"/>
  </r>
  <r>
    <s v="SAL-00087"/>
    <x v="13"/>
    <x v="66"/>
    <x v="66"/>
    <s v="Sides"/>
    <x v="2"/>
    <x v="2"/>
    <x v="10"/>
    <n v="4.49"/>
    <x v="80"/>
  </r>
  <r>
    <s v="SAL-00088"/>
    <x v="13"/>
    <x v="67"/>
    <x v="67"/>
    <s v="Burgers"/>
    <x v="2"/>
    <x v="2"/>
    <x v="34"/>
    <n v="3.99"/>
    <x v="81"/>
  </r>
  <r>
    <s v="SAL-00089"/>
    <x v="13"/>
    <x v="68"/>
    <x v="68"/>
    <s v="Sides"/>
    <x v="1"/>
    <x v="1"/>
    <x v="28"/>
    <n v="4.49"/>
    <x v="47"/>
  </r>
  <r>
    <s v="SAL-00090"/>
    <x v="13"/>
    <x v="69"/>
    <x v="69"/>
    <s v="Salads"/>
    <x v="0"/>
    <x v="3"/>
    <x v="39"/>
    <n v="9.49"/>
    <x v="82"/>
  </r>
  <r>
    <s v="SAL-00091"/>
    <x v="13"/>
    <x v="48"/>
    <x v="48"/>
    <s v="Beverages"/>
    <x v="0"/>
    <x v="3"/>
    <x v="0"/>
    <n v="3.99"/>
    <x v="83"/>
  </r>
  <r>
    <s v="SAL-00092"/>
    <x v="13"/>
    <x v="70"/>
    <x v="70"/>
    <s v="Salads"/>
    <x v="2"/>
    <x v="3"/>
    <x v="26"/>
    <n v="8.99"/>
    <x v="43"/>
  </r>
  <r>
    <s v="SAL-00093"/>
    <x v="13"/>
    <x v="27"/>
    <x v="27"/>
    <s v="Beverages"/>
    <x v="2"/>
    <x v="0"/>
    <x v="0"/>
    <n v="3.99"/>
    <x v="83"/>
  </r>
  <r>
    <s v="SAL-00094"/>
    <x v="14"/>
    <x v="71"/>
    <x v="71"/>
    <s v="Beverages"/>
    <x v="1"/>
    <x v="3"/>
    <x v="43"/>
    <n v="1.99"/>
    <x v="84"/>
  </r>
  <r>
    <s v="SAL-00095"/>
    <x v="14"/>
    <x v="22"/>
    <x v="22"/>
    <s v="Beverages"/>
    <x v="2"/>
    <x v="1"/>
    <x v="20"/>
    <n v="2.99"/>
    <x v="23"/>
  </r>
  <r>
    <s v="SAL-00096"/>
    <x v="14"/>
    <x v="72"/>
    <x v="72"/>
    <s v="Burgers"/>
    <x v="0"/>
    <x v="1"/>
    <x v="18"/>
    <n v="6.99"/>
    <x v="85"/>
  </r>
  <r>
    <s v="SAL-00097"/>
    <x v="14"/>
    <x v="36"/>
    <x v="36"/>
    <s v="Chicken"/>
    <x v="1"/>
    <x v="1"/>
    <x v="8"/>
    <n v="2.99"/>
    <x v="86"/>
  </r>
  <r>
    <s v="SAL-00098"/>
    <x v="15"/>
    <x v="73"/>
    <x v="73"/>
    <s v="Beverages"/>
    <x v="0"/>
    <x v="3"/>
    <x v="2"/>
    <n v="2.4900000000000002"/>
    <x v="87"/>
  </r>
  <r>
    <s v="SAL-00099"/>
    <x v="15"/>
    <x v="74"/>
    <x v="74"/>
    <s v="Breakfast"/>
    <x v="0"/>
    <x v="0"/>
    <x v="31"/>
    <n v="4.99"/>
    <x v="88"/>
  </r>
  <r>
    <s v="SAL-00100"/>
    <x v="15"/>
    <x v="45"/>
    <x v="45"/>
    <s v="Combo Meals"/>
    <x v="2"/>
    <x v="0"/>
    <x v="36"/>
    <n v="10.99"/>
    <x v="89"/>
  </r>
  <r>
    <s v="SAL-00101"/>
    <x v="15"/>
    <x v="75"/>
    <x v="75"/>
    <s v="Beverages"/>
    <x v="0"/>
    <x v="3"/>
    <x v="42"/>
    <n v="2.99"/>
    <x v="90"/>
  </r>
  <r>
    <s v="SAL-00102"/>
    <x v="15"/>
    <x v="39"/>
    <x v="39"/>
    <s v="Chicken"/>
    <x v="0"/>
    <x v="0"/>
    <x v="23"/>
    <n v="8.99"/>
    <x v="91"/>
  </r>
  <r>
    <s v="SAL-00103"/>
    <x v="15"/>
    <x v="76"/>
    <x v="76"/>
    <s v="Beverages"/>
    <x v="0"/>
    <x v="2"/>
    <x v="26"/>
    <n v="3.99"/>
    <x v="92"/>
  </r>
  <r>
    <s v="SAL-00104"/>
    <x v="15"/>
    <x v="77"/>
    <x v="77"/>
    <s v="Beverages"/>
    <x v="1"/>
    <x v="3"/>
    <x v="11"/>
    <n v="3.99"/>
    <x v="93"/>
  </r>
  <r>
    <s v="SAL-00105"/>
    <x v="15"/>
    <x v="78"/>
    <x v="78"/>
    <s v="Sauces &amp; Add-ons"/>
    <x v="0"/>
    <x v="3"/>
    <x v="38"/>
    <n v="0.25"/>
    <x v="94"/>
  </r>
  <r>
    <s v="SAL-00106"/>
    <x v="16"/>
    <x v="79"/>
    <x v="79"/>
    <s v="Chicken"/>
    <x v="1"/>
    <x v="1"/>
    <x v="3"/>
    <n v="2.99"/>
    <x v="5"/>
  </r>
  <r>
    <s v="SAL-00107"/>
    <x v="16"/>
    <x v="6"/>
    <x v="6"/>
    <s v="Breakfast"/>
    <x v="0"/>
    <x v="1"/>
    <x v="21"/>
    <n v="3.99"/>
    <x v="57"/>
  </r>
  <r>
    <s v="SAL-00108"/>
    <x v="16"/>
    <x v="80"/>
    <x v="80"/>
    <s v="Desserts"/>
    <x v="1"/>
    <x v="3"/>
    <x v="17"/>
    <n v="4.49"/>
    <x v="95"/>
  </r>
  <r>
    <s v="SAL-00109"/>
    <x v="16"/>
    <x v="40"/>
    <x v="40"/>
    <s v="Beverages"/>
    <x v="1"/>
    <x v="1"/>
    <x v="17"/>
    <n v="2.99"/>
    <x v="96"/>
  </r>
  <r>
    <s v="SAL-00110"/>
    <x v="16"/>
    <x v="81"/>
    <x v="81"/>
    <s v="Kids Meals"/>
    <x v="0"/>
    <x v="3"/>
    <x v="28"/>
    <n v="5.99"/>
    <x v="97"/>
  </r>
  <r>
    <s v="SAL-00111"/>
    <x v="16"/>
    <x v="82"/>
    <x v="82"/>
    <s v="Beverages"/>
    <x v="0"/>
    <x v="1"/>
    <x v="13"/>
    <n v="2.99"/>
    <x v="98"/>
  </r>
  <r>
    <s v="SAL-00112"/>
    <x v="16"/>
    <x v="27"/>
    <x v="27"/>
    <s v="Beverages"/>
    <x v="1"/>
    <x v="2"/>
    <x v="36"/>
    <n v="3.99"/>
    <x v="99"/>
  </r>
  <r>
    <s v="SAL-00113"/>
    <x v="16"/>
    <x v="83"/>
    <x v="83"/>
    <s v="Sides"/>
    <x v="0"/>
    <x v="3"/>
    <x v="15"/>
    <n v="3.99"/>
    <x v="100"/>
  </r>
  <r>
    <s v="SAL-00114"/>
    <x v="16"/>
    <x v="27"/>
    <x v="27"/>
    <s v="Beverages"/>
    <x v="1"/>
    <x v="1"/>
    <x v="12"/>
    <n v="3.99"/>
    <x v="101"/>
  </r>
  <r>
    <s v="SAL-00115"/>
    <x v="16"/>
    <x v="84"/>
    <x v="84"/>
    <s v="Chicken"/>
    <x v="0"/>
    <x v="2"/>
    <x v="34"/>
    <n v="6.99"/>
    <x v="102"/>
  </r>
  <r>
    <s v="SAL-00116"/>
    <x v="16"/>
    <x v="55"/>
    <x v="55"/>
    <s v="Desserts"/>
    <x v="1"/>
    <x v="1"/>
    <x v="13"/>
    <n v="3.49"/>
    <x v="103"/>
  </r>
  <r>
    <s v="SAL-00117"/>
    <x v="16"/>
    <x v="49"/>
    <x v="49"/>
    <s v="Beverages"/>
    <x v="0"/>
    <x v="1"/>
    <x v="37"/>
    <n v="2.99"/>
    <x v="104"/>
  </r>
  <r>
    <s v="SAL-00118"/>
    <x v="16"/>
    <x v="85"/>
    <x v="85"/>
    <s v="Kids Meals"/>
    <x v="0"/>
    <x v="2"/>
    <x v="44"/>
    <n v="6.49"/>
    <x v="105"/>
  </r>
  <r>
    <s v="SAL-00119"/>
    <x v="17"/>
    <x v="86"/>
    <x v="86"/>
    <s v="Salads"/>
    <x v="0"/>
    <x v="2"/>
    <x v="2"/>
    <n v="9.49"/>
    <x v="106"/>
  </r>
  <r>
    <s v="SAL-00120"/>
    <x v="17"/>
    <x v="87"/>
    <x v="87"/>
    <s v="Burgers"/>
    <x v="2"/>
    <x v="1"/>
    <x v="45"/>
    <n v="6.99"/>
    <x v="107"/>
  </r>
  <r>
    <s v="SAL-00121"/>
    <x v="17"/>
    <x v="69"/>
    <x v="69"/>
    <s v="Salads"/>
    <x v="1"/>
    <x v="2"/>
    <x v="39"/>
    <n v="9.49"/>
    <x v="82"/>
  </r>
  <r>
    <s v="SAL-00122"/>
    <x v="17"/>
    <x v="88"/>
    <x v="88"/>
    <s v="Beverages"/>
    <x v="2"/>
    <x v="2"/>
    <x v="2"/>
    <n v="2.99"/>
    <x v="108"/>
  </r>
  <r>
    <s v="SAL-00123"/>
    <x v="17"/>
    <x v="89"/>
    <x v="89"/>
    <s v="Sides"/>
    <x v="1"/>
    <x v="2"/>
    <x v="13"/>
    <n v="2.99"/>
    <x v="98"/>
  </r>
  <r>
    <s v="SAL-00124"/>
    <x v="17"/>
    <x v="90"/>
    <x v="90"/>
    <s v="Burgers"/>
    <x v="0"/>
    <x v="1"/>
    <x v="17"/>
    <n v="8.99"/>
    <x v="109"/>
  </r>
  <r>
    <s v="SAL-00125"/>
    <x v="17"/>
    <x v="91"/>
    <x v="91"/>
    <s v="Sides"/>
    <x v="0"/>
    <x v="1"/>
    <x v="8"/>
    <n v="4.99"/>
    <x v="110"/>
  </r>
  <r>
    <s v="SAL-00126"/>
    <x v="17"/>
    <x v="92"/>
    <x v="92"/>
    <s v="Breakfast"/>
    <x v="1"/>
    <x v="2"/>
    <x v="0"/>
    <n v="6.99"/>
    <x v="60"/>
  </r>
  <r>
    <s v="SAL-00127"/>
    <x v="18"/>
    <x v="84"/>
    <x v="84"/>
    <s v="Chicken"/>
    <x v="0"/>
    <x v="1"/>
    <x v="2"/>
    <n v="6.99"/>
    <x v="2"/>
  </r>
  <r>
    <s v="SAL-00128"/>
    <x v="18"/>
    <x v="46"/>
    <x v="46"/>
    <s v="Beverages"/>
    <x v="2"/>
    <x v="3"/>
    <x v="36"/>
    <n v="2.99"/>
    <x v="111"/>
  </r>
  <r>
    <s v="SAL-00129"/>
    <x v="18"/>
    <x v="93"/>
    <x v="93"/>
    <s v="Burgers"/>
    <x v="2"/>
    <x v="2"/>
    <x v="42"/>
    <n v="8.99"/>
    <x v="112"/>
  </r>
  <r>
    <s v="SAL-00130"/>
    <x v="18"/>
    <x v="94"/>
    <x v="94"/>
    <s v="Chicken"/>
    <x v="2"/>
    <x v="1"/>
    <x v="22"/>
    <n v="7.49"/>
    <x v="113"/>
  </r>
  <r>
    <s v="SAL-00131"/>
    <x v="18"/>
    <x v="95"/>
    <x v="95"/>
    <s v="Beverages"/>
    <x v="1"/>
    <x v="1"/>
    <x v="8"/>
    <n v="3.99"/>
    <x v="72"/>
  </r>
  <r>
    <s v="SAL-00132"/>
    <x v="19"/>
    <x v="78"/>
    <x v="78"/>
    <s v="Sauces &amp; Add-ons"/>
    <x v="1"/>
    <x v="1"/>
    <x v="30"/>
    <n v="0.25"/>
    <x v="114"/>
  </r>
  <r>
    <s v="SAL-00133"/>
    <x v="19"/>
    <x v="18"/>
    <x v="18"/>
    <s v="Breakfast"/>
    <x v="2"/>
    <x v="1"/>
    <x v="8"/>
    <n v="5.99"/>
    <x v="115"/>
  </r>
  <r>
    <s v="SAL-00134"/>
    <x v="19"/>
    <x v="19"/>
    <x v="19"/>
    <s v="Sides"/>
    <x v="0"/>
    <x v="1"/>
    <x v="32"/>
    <n v="2.99"/>
    <x v="55"/>
  </r>
  <r>
    <s v="SAL-00135"/>
    <x v="19"/>
    <x v="96"/>
    <x v="96"/>
    <s v="Breakfast"/>
    <x v="2"/>
    <x v="3"/>
    <x v="21"/>
    <n v="4.99"/>
    <x v="48"/>
  </r>
  <r>
    <s v="SAL-00136"/>
    <x v="19"/>
    <x v="97"/>
    <x v="97"/>
    <s v="Kids Meals"/>
    <x v="0"/>
    <x v="2"/>
    <x v="19"/>
    <n v="5.99"/>
    <x v="116"/>
  </r>
  <r>
    <s v="SAL-00137"/>
    <x v="19"/>
    <x v="98"/>
    <x v="98"/>
    <s v="Beverages"/>
    <x v="2"/>
    <x v="1"/>
    <x v="44"/>
    <n v="1.99"/>
    <x v="117"/>
  </r>
  <r>
    <s v="SAL-00138"/>
    <x v="20"/>
    <x v="15"/>
    <x v="15"/>
    <s v="Burgers"/>
    <x v="1"/>
    <x v="3"/>
    <x v="18"/>
    <n v="5.99"/>
    <x v="118"/>
  </r>
  <r>
    <s v="SAL-00139"/>
    <x v="20"/>
    <x v="99"/>
    <x v="99"/>
    <s v="Salads"/>
    <x v="0"/>
    <x v="1"/>
    <x v="27"/>
    <n v="8.99"/>
    <x v="119"/>
  </r>
  <r>
    <s v="SAL-00140"/>
    <x v="20"/>
    <x v="68"/>
    <x v="68"/>
    <s v="Sides"/>
    <x v="0"/>
    <x v="1"/>
    <x v="10"/>
    <n v="4.49"/>
    <x v="80"/>
  </r>
  <r>
    <s v="SAL-00141"/>
    <x v="20"/>
    <x v="68"/>
    <x v="68"/>
    <s v="Sides"/>
    <x v="0"/>
    <x v="3"/>
    <x v="31"/>
    <n v="4.49"/>
    <x v="120"/>
  </r>
  <r>
    <s v="SAL-00142"/>
    <x v="21"/>
    <x v="100"/>
    <x v="100"/>
    <s v="Sides"/>
    <x v="0"/>
    <x v="3"/>
    <x v="46"/>
    <n v="3.99"/>
    <x v="121"/>
  </r>
  <r>
    <s v="SAL-00143"/>
    <x v="21"/>
    <x v="101"/>
    <x v="101"/>
    <s v="Beverages"/>
    <x v="1"/>
    <x v="3"/>
    <x v="34"/>
    <n v="1.99"/>
    <x v="58"/>
  </r>
  <r>
    <s v="SAL-00144"/>
    <x v="21"/>
    <x v="102"/>
    <x v="102"/>
    <s v="Beverages"/>
    <x v="0"/>
    <x v="2"/>
    <x v="47"/>
    <n v="2.4900000000000002"/>
    <x v="122"/>
  </r>
  <r>
    <s v="SAL-00145"/>
    <x v="21"/>
    <x v="81"/>
    <x v="81"/>
    <s v="Kids Meals"/>
    <x v="1"/>
    <x v="2"/>
    <x v="12"/>
    <n v="5.99"/>
    <x v="123"/>
  </r>
  <r>
    <s v="SAL-00146"/>
    <x v="21"/>
    <x v="14"/>
    <x v="14"/>
    <s v="Combo Meals"/>
    <x v="1"/>
    <x v="3"/>
    <x v="37"/>
    <n v="7.99"/>
    <x v="124"/>
  </r>
  <r>
    <s v="SAL-00147"/>
    <x v="21"/>
    <x v="103"/>
    <x v="103"/>
    <s v="Desserts"/>
    <x v="2"/>
    <x v="2"/>
    <x v="46"/>
    <n v="5.99"/>
    <x v="125"/>
  </r>
  <r>
    <s v="SAL-00148"/>
    <x v="21"/>
    <x v="104"/>
    <x v="104"/>
    <s v="Breakfast"/>
    <x v="2"/>
    <x v="1"/>
    <x v="24"/>
    <n v="6.99"/>
    <x v="126"/>
  </r>
  <r>
    <s v="SAL-00149"/>
    <x v="21"/>
    <x v="0"/>
    <x v="0"/>
    <s v="Combo Meals"/>
    <x v="2"/>
    <x v="0"/>
    <x v="24"/>
    <n v="9.99"/>
    <x v="127"/>
  </r>
  <r>
    <s v="SAL-00150"/>
    <x v="21"/>
    <x v="95"/>
    <x v="95"/>
    <s v="Beverages"/>
    <x v="0"/>
    <x v="1"/>
    <x v="17"/>
    <n v="3.99"/>
    <x v="128"/>
  </r>
  <r>
    <s v="SAL-00151"/>
    <x v="22"/>
    <x v="8"/>
    <x v="8"/>
    <s v="Desserts"/>
    <x v="2"/>
    <x v="2"/>
    <x v="2"/>
    <n v="4.99"/>
    <x v="129"/>
  </r>
  <r>
    <s v="SAL-00152"/>
    <x v="22"/>
    <x v="98"/>
    <x v="98"/>
    <s v="Beverages"/>
    <x v="0"/>
    <x v="3"/>
    <x v="23"/>
    <n v="1.99"/>
    <x v="130"/>
  </r>
  <r>
    <s v="SAL-00153"/>
    <x v="22"/>
    <x v="105"/>
    <x v="105"/>
    <s v="Sauces &amp; Add-ons"/>
    <x v="0"/>
    <x v="3"/>
    <x v="33"/>
    <n v="0.75"/>
    <x v="131"/>
  </r>
  <r>
    <s v="SAL-00154"/>
    <x v="22"/>
    <x v="64"/>
    <x v="64"/>
    <s v="Sides"/>
    <x v="1"/>
    <x v="3"/>
    <x v="2"/>
    <n v="3.99"/>
    <x v="132"/>
  </r>
  <r>
    <s v="SAL-00155"/>
    <x v="22"/>
    <x v="13"/>
    <x v="13"/>
    <s v="Beverages"/>
    <x v="2"/>
    <x v="1"/>
    <x v="28"/>
    <n v="2.99"/>
    <x v="42"/>
  </r>
  <r>
    <s v="SAL-00156"/>
    <x v="22"/>
    <x v="36"/>
    <x v="36"/>
    <s v="Chicken"/>
    <x v="2"/>
    <x v="1"/>
    <x v="12"/>
    <n v="2.99"/>
    <x v="133"/>
  </r>
  <r>
    <s v="SAL-00157"/>
    <x v="22"/>
    <x v="106"/>
    <x v="106"/>
    <s v="Sides"/>
    <x v="0"/>
    <x v="1"/>
    <x v="8"/>
    <n v="4.99"/>
    <x v="110"/>
  </r>
  <r>
    <s v="SAL-00158"/>
    <x v="22"/>
    <x v="107"/>
    <x v="107"/>
    <s v="Chicken"/>
    <x v="1"/>
    <x v="1"/>
    <x v="22"/>
    <n v="5.99"/>
    <x v="134"/>
  </r>
  <r>
    <s v="SAL-00159"/>
    <x v="22"/>
    <x v="69"/>
    <x v="69"/>
    <s v="Salads"/>
    <x v="2"/>
    <x v="2"/>
    <x v="19"/>
    <n v="9.49"/>
    <x v="135"/>
  </r>
  <r>
    <s v="SAL-00160"/>
    <x v="22"/>
    <x v="29"/>
    <x v="29"/>
    <s v="Breakfast"/>
    <x v="0"/>
    <x v="1"/>
    <x v="41"/>
    <n v="3.99"/>
    <x v="136"/>
  </r>
  <r>
    <s v="SAL-00161"/>
    <x v="23"/>
    <x v="74"/>
    <x v="74"/>
    <s v="Breakfast"/>
    <x v="2"/>
    <x v="2"/>
    <x v="44"/>
    <n v="4.99"/>
    <x v="137"/>
  </r>
  <r>
    <s v="SAL-00162"/>
    <x v="23"/>
    <x v="108"/>
    <x v="108"/>
    <s v="Sides"/>
    <x v="0"/>
    <x v="2"/>
    <x v="32"/>
    <n v="3.49"/>
    <x v="138"/>
  </r>
  <r>
    <s v="SAL-00163"/>
    <x v="23"/>
    <x v="61"/>
    <x v="61"/>
    <s v="Burgers"/>
    <x v="1"/>
    <x v="3"/>
    <x v="38"/>
    <n v="6.49"/>
    <x v="139"/>
  </r>
  <r>
    <s v="SAL-00164"/>
    <x v="23"/>
    <x v="33"/>
    <x v="33"/>
    <s v="Burgers"/>
    <x v="2"/>
    <x v="2"/>
    <x v="27"/>
    <n v="6.99"/>
    <x v="140"/>
  </r>
  <r>
    <s v="SAL-00165"/>
    <x v="23"/>
    <x v="67"/>
    <x v="67"/>
    <s v="Burgers"/>
    <x v="2"/>
    <x v="1"/>
    <x v="42"/>
    <n v="3.99"/>
    <x v="141"/>
  </r>
  <r>
    <s v="SAL-00166"/>
    <x v="23"/>
    <x v="50"/>
    <x v="50"/>
    <s v="Salads"/>
    <x v="1"/>
    <x v="2"/>
    <x v="32"/>
    <n v="6.99"/>
    <x v="142"/>
  </r>
  <r>
    <s v="SAL-00167"/>
    <x v="23"/>
    <x v="13"/>
    <x v="13"/>
    <s v="Beverages"/>
    <x v="0"/>
    <x v="3"/>
    <x v="34"/>
    <n v="2.99"/>
    <x v="143"/>
  </r>
  <r>
    <s v="SAL-00168"/>
    <x v="23"/>
    <x v="109"/>
    <x v="109"/>
    <s v="Burgers"/>
    <x v="2"/>
    <x v="0"/>
    <x v="24"/>
    <n v="6.49"/>
    <x v="144"/>
  </r>
  <r>
    <s v="SAL-00169"/>
    <x v="24"/>
    <x v="75"/>
    <x v="75"/>
    <s v="Beverages"/>
    <x v="2"/>
    <x v="3"/>
    <x v="30"/>
    <n v="2.99"/>
    <x v="145"/>
  </r>
  <r>
    <s v="SAL-00170"/>
    <x v="24"/>
    <x v="110"/>
    <x v="110"/>
    <s v="Chicken"/>
    <x v="2"/>
    <x v="1"/>
    <x v="48"/>
    <n v="6.99"/>
    <x v="146"/>
  </r>
  <r>
    <s v="SAL-00171"/>
    <x v="24"/>
    <x v="111"/>
    <x v="111"/>
    <s v="Desserts"/>
    <x v="0"/>
    <x v="1"/>
    <x v="36"/>
    <n v="4.99"/>
    <x v="147"/>
  </r>
  <r>
    <s v="SAL-00172"/>
    <x v="24"/>
    <x v="112"/>
    <x v="112"/>
    <s v="Burgers"/>
    <x v="2"/>
    <x v="0"/>
    <x v="37"/>
    <n v="8.49"/>
    <x v="148"/>
  </r>
  <r>
    <s v="SAL-00173"/>
    <x v="24"/>
    <x v="108"/>
    <x v="108"/>
    <s v="Sides"/>
    <x v="2"/>
    <x v="2"/>
    <x v="6"/>
    <n v="3.49"/>
    <x v="149"/>
  </r>
  <r>
    <s v="SAL-00174"/>
    <x v="24"/>
    <x v="58"/>
    <x v="58"/>
    <s v="Burgers"/>
    <x v="1"/>
    <x v="1"/>
    <x v="32"/>
    <n v="8.49"/>
    <x v="150"/>
  </r>
  <r>
    <s v="SAL-00175"/>
    <x v="24"/>
    <x v="113"/>
    <x v="113"/>
    <s v="Salads"/>
    <x v="1"/>
    <x v="1"/>
    <x v="32"/>
    <n v="6.99"/>
    <x v="142"/>
  </r>
  <r>
    <s v="SAL-00176"/>
    <x v="24"/>
    <x v="114"/>
    <x v="114"/>
    <s v="Burgers"/>
    <x v="2"/>
    <x v="1"/>
    <x v="5"/>
    <n v="7.99"/>
    <x v="151"/>
  </r>
  <r>
    <s v="SAL-00177"/>
    <x v="24"/>
    <x v="115"/>
    <x v="115"/>
    <s v="Chicken"/>
    <x v="0"/>
    <x v="0"/>
    <x v="13"/>
    <n v="6.99"/>
    <x v="152"/>
  </r>
  <r>
    <s v="SAL-00178"/>
    <x v="25"/>
    <x v="116"/>
    <x v="116"/>
    <s v="Chicken"/>
    <x v="2"/>
    <x v="1"/>
    <x v="38"/>
    <n v="6.99"/>
    <x v="153"/>
  </r>
  <r>
    <s v="SAL-00179"/>
    <x v="25"/>
    <x v="56"/>
    <x v="56"/>
    <s v="Beverages"/>
    <x v="1"/>
    <x v="1"/>
    <x v="41"/>
    <n v="2.99"/>
    <x v="154"/>
  </r>
  <r>
    <s v="SAL-00180"/>
    <x v="25"/>
    <x v="117"/>
    <x v="117"/>
    <s v="Burgers"/>
    <x v="0"/>
    <x v="1"/>
    <x v="4"/>
    <n v="6.99"/>
    <x v="155"/>
  </r>
  <r>
    <s v="SAL-00181"/>
    <x v="25"/>
    <x v="22"/>
    <x v="22"/>
    <s v="Beverages"/>
    <x v="0"/>
    <x v="1"/>
    <x v="42"/>
    <n v="2.99"/>
    <x v="90"/>
  </r>
  <r>
    <s v="SAL-00182"/>
    <x v="25"/>
    <x v="63"/>
    <x v="63"/>
    <s v="Burgers"/>
    <x v="1"/>
    <x v="3"/>
    <x v="36"/>
    <n v="6.49"/>
    <x v="156"/>
  </r>
  <r>
    <s v="SAL-00183"/>
    <x v="25"/>
    <x v="43"/>
    <x v="43"/>
    <s v="Chicken"/>
    <x v="0"/>
    <x v="2"/>
    <x v="1"/>
    <n v="4.99"/>
    <x v="157"/>
  </r>
  <r>
    <s v="SAL-00184"/>
    <x v="25"/>
    <x v="74"/>
    <x v="74"/>
    <s v="Breakfast"/>
    <x v="2"/>
    <x v="2"/>
    <x v="19"/>
    <n v="4.99"/>
    <x v="22"/>
  </r>
  <r>
    <s v="SAL-00185"/>
    <x v="26"/>
    <x v="118"/>
    <x v="118"/>
    <s v="Breakfast"/>
    <x v="2"/>
    <x v="1"/>
    <x v="21"/>
    <n v="4.99"/>
    <x v="48"/>
  </r>
  <r>
    <s v="SAL-00186"/>
    <x v="26"/>
    <x v="119"/>
    <x v="119"/>
    <s v="Burgers"/>
    <x v="0"/>
    <x v="3"/>
    <x v="40"/>
    <n v="2.99"/>
    <x v="158"/>
  </r>
  <r>
    <s v="SAL-00187"/>
    <x v="26"/>
    <x v="120"/>
    <x v="120"/>
    <s v="Burgers"/>
    <x v="2"/>
    <x v="2"/>
    <x v="25"/>
    <n v="6.49"/>
    <x v="159"/>
  </r>
  <r>
    <s v="SAL-00188"/>
    <x v="26"/>
    <x v="121"/>
    <x v="121"/>
    <s v="Beverages"/>
    <x v="0"/>
    <x v="3"/>
    <x v="23"/>
    <n v="1.99"/>
    <x v="130"/>
  </r>
  <r>
    <s v="SAL-00189"/>
    <x v="26"/>
    <x v="4"/>
    <x v="4"/>
    <s v="Beverages"/>
    <x v="0"/>
    <x v="1"/>
    <x v="48"/>
    <n v="1.99"/>
    <x v="160"/>
  </r>
  <r>
    <s v="SAL-00190"/>
    <x v="26"/>
    <x v="60"/>
    <x v="60"/>
    <s v="Burgers"/>
    <x v="0"/>
    <x v="0"/>
    <x v="27"/>
    <n v="6.99"/>
    <x v="140"/>
  </r>
  <r>
    <s v="SAL-00191"/>
    <x v="26"/>
    <x v="11"/>
    <x v="11"/>
    <s v="Desserts"/>
    <x v="1"/>
    <x v="2"/>
    <x v="10"/>
    <n v="5.99"/>
    <x v="161"/>
  </r>
  <r>
    <s v="SAL-00192"/>
    <x v="26"/>
    <x v="100"/>
    <x v="100"/>
    <s v="Sides"/>
    <x v="0"/>
    <x v="0"/>
    <x v="2"/>
    <n v="3.99"/>
    <x v="132"/>
  </r>
  <r>
    <s v="SAL-00193"/>
    <x v="26"/>
    <x v="10"/>
    <x v="10"/>
    <s v="Beverages"/>
    <x v="2"/>
    <x v="0"/>
    <x v="34"/>
    <n v="1.99"/>
    <x v="58"/>
  </r>
  <r>
    <s v="SAL-00194"/>
    <x v="27"/>
    <x v="122"/>
    <x v="122"/>
    <s v="Desserts"/>
    <x v="0"/>
    <x v="2"/>
    <x v="16"/>
    <n v="4.99"/>
    <x v="162"/>
  </r>
  <r>
    <s v="SAL-00195"/>
    <x v="27"/>
    <x v="90"/>
    <x v="90"/>
    <s v="Burgers"/>
    <x v="1"/>
    <x v="2"/>
    <x v="12"/>
    <n v="8.99"/>
    <x v="163"/>
  </r>
  <r>
    <s v="SAL-00196"/>
    <x v="27"/>
    <x v="98"/>
    <x v="98"/>
    <s v="Beverages"/>
    <x v="1"/>
    <x v="2"/>
    <x v="12"/>
    <n v="1.99"/>
    <x v="164"/>
  </r>
  <r>
    <s v="SAL-00197"/>
    <x v="27"/>
    <x v="26"/>
    <x v="26"/>
    <s v="Beverages"/>
    <x v="1"/>
    <x v="1"/>
    <x v="29"/>
    <n v="2.99"/>
    <x v="165"/>
  </r>
  <r>
    <s v="SAL-00198"/>
    <x v="27"/>
    <x v="123"/>
    <x v="123"/>
    <s v="Burgers"/>
    <x v="0"/>
    <x v="2"/>
    <x v="13"/>
    <n v="5.99"/>
    <x v="166"/>
  </r>
  <r>
    <s v="SAL-00199"/>
    <x v="27"/>
    <x v="124"/>
    <x v="124"/>
    <s v="Breakfast"/>
    <x v="0"/>
    <x v="0"/>
    <x v="16"/>
    <n v="4.99"/>
    <x v="162"/>
  </r>
  <r>
    <s v="SAL-00200"/>
    <x v="27"/>
    <x v="45"/>
    <x v="45"/>
    <s v="Combo Meals"/>
    <x v="2"/>
    <x v="3"/>
    <x v="24"/>
    <n v="10.99"/>
    <x v="167"/>
  </r>
  <r>
    <s v="SAL-00201"/>
    <x v="27"/>
    <x v="102"/>
    <x v="102"/>
    <s v="Beverages"/>
    <x v="2"/>
    <x v="1"/>
    <x v="49"/>
    <n v="2.4900000000000002"/>
    <x v="168"/>
  </r>
  <r>
    <s v="SAL-00202"/>
    <x v="27"/>
    <x v="87"/>
    <x v="87"/>
    <s v="Burgers"/>
    <x v="1"/>
    <x v="3"/>
    <x v="15"/>
    <n v="6.99"/>
    <x v="169"/>
  </r>
  <r>
    <s v="SAL-00203"/>
    <x v="28"/>
    <x v="125"/>
    <x v="125"/>
    <s v="Burgers"/>
    <x v="2"/>
    <x v="3"/>
    <x v="28"/>
    <n v="8.99"/>
    <x v="170"/>
  </r>
  <r>
    <s v="SAL-00204"/>
    <x v="28"/>
    <x v="22"/>
    <x v="22"/>
    <s v="Beverages"/>
    <x v="2"/>
    <x v="1"/>
    <x v="27"/>
    <n v="2.99"/>
    <x v="40"/>
  </r>
  <r>
    <s v="SAL-00205"/>
    <x v="28"/>
    <x v="3"/>
    <x v="3"/>
    <s v="Sides"/>
    <x v="2"/>
    <x v="2"/>
    <x v="41"/>
    <n v="5.99"/>
    <x v="171"/>
  </r>
  <r>
    <s v="SAL-00206"/>
    <x v="28"/>
    <x v="58"/>
    <x v="58"/>
    <s v="Burgers"/>
    <x v="0"/>
    <x v="3"/>
    <x v="36"/>
    <n v="8.49"/>
    <x v="172"/>
  </r>
  <r>
    <s v="SAL-00207"/>
    <x v="28"/>
    <x v="119"/>
    <x v="119"/>
    <s v="Burgers"/>
    <x v="1"/>
    <x v="2"/>
    <x v="17"/>
    <n v="2.99"/>
    <x v="96"/>
  </r>
  <r>
    <s v="SAL-00208"/>
    <x v="28"/>
    <x v="110"/>
    <x v="110"/>
    <s v="Chicken"/>
    <x v="1"/>
    <x v="2"/>
    <x v="2"/>
    <n v="6.99"/>
    <x v="2"/>
  </r>
  <r>
    <s v="SAL-00209"/>
    <x v="28"/>
    <x v="3"/>
    <x v="3"/>
    <s v="Sides"/>
    <x v="0"/>
    <x v="3"/>
    <x v="30"/>
    <n v="5.99"/>
    <x v="173"/>
  </r>
  <r>
    <s v="SAL-00210"/>
    <x v="28"/>
    <x v="4"/>
    <x v="4"/>
    <s v="Beverages"/>
    <x v="1"/>
    <x v="3"/>
    <x v="23"/>
    <n v="1.99"/>
    <x v="130"/>
  </r>
  <r>
    <s v="SAL-00211"/>
    <x v="29"/>
    <x v="17"/>
    <x v="17"/>
    <s v="Beverages"/>
    <x v="2"/>
    <x v="1"/>
    <x v="27"/>
    <n v="2.99"/>
    <x v="40"/>
  </r>
  <r>
    <s v="SAL-00212"/>
    <x v="29"/>
    <x v="120"/>
    <x v="120"/>
    <s v="Burgers"/>
    <x v="2"/>
    <x v="3"/>
    <x v="37"/>
    <n v="6.49"/>
    <x v="174"/>
  </r>
  <r>
    <s v="SAL-00213"/>
    <x v="29"/>
    <x v="99"/>
    <x v="99"/>
    <s v="Salads"/>
    <x v="0"/>
    <x v="3"/>
    <x v="19"/>
    <n v="8.99"/>
    <x v="175"/>
  </r>
  <r>
    <s v="SAL-00214"/>
    <x v="29"/>
    <x v="126"/>
    <x v="126"/>
    <s v="Beverages"/>
    <x v="2"/>
    <x v="1"/>
    <x v="17"/>
    <n v="2.99"/>
    <x v="96"/>
  </r>
  <r>
    <s v="SAL-00215"/>
    <x v="29"/>
    <x v="127"/>
    <x v="127"/>
    <s v="Breakfast"/>
    <x v="2"/>
    <x v="3"/>
    <x v="10"/>
    <n v="4.99"/>
    <x v="176"/>
  </r>
  <r>
    <s v="SAL-00216"/>
    <x v="29"/>
    <x v="128"/>
    <x v="128"/>
    <s v="Sauces &amp; Add-ons"/>
    <x v="0"/>
    <x v="1"/>
    <x v="45"/>
    <n v="1.49"/>
    <x v="177"/>
  </r>
  <r>
    <s v="SAL-00217"/>
    <x v="29"/>
    <x v="125"/>
    <x v="125"/>
    <s v="Burgers"/>
    <x v="0"/>
    <x v="0"/>
    <x v="49"/>
    <n v="8.99"/>
    <x v="178"/>
  </r>
  <r>
    <s v="SAL-00218"/>
    <x v="29"/>
    <x v="12"/>
    <x v="12"/>
    <s v="Combo Meals"/>
    <x v="0"/>
    <x v="0"/>
    <x v="36"/>
    <n v="9.99"/>
    <x v="179"/>
  </r>
  <r>
    <s v="SAL-00219"/>
    <x v="29"/>
    <x v="129"/>
    <x v="129"/>
    <s v="Desserts"/>
    <x v="2"/>
    <x v="1"/>
    <x v="40"/>
    <n v="1.49"/>
    <x v="180"/>
  </r>
  <r>
    <s v="SAL-00220"/>
    <x v="29"/>
    <x v="92"/>
    <x v="92"/>
    <s v="Breakfast"/>
    <x v="2"/>
    <x v="1"/>
    <x v="17"/>
    <n v="6.99"/>
    <x v="181"/>
  </r>
  <r>
    <s v="SAL-00221"/>
    <x v="30"/>
    <x v="101"/>
    <x v="101"/>
    <s v="Beverages"/>
    <x v="2"/>
    <x v="1"/>
    <x v="40"/>
    <n v="1.99"/>
    <x v="182"/>
  </r>
  <r>
    <s v="SAL-00222"/>
    <x v="30"/>
    <x v="126"/>
    <x v="126"/>
    <s v="Beverages"/>
    <x v="2"/>
    <x v="2"/>
    <x v="14"/>
    <n v="2.99"/>
    <x v="76"/>
  </r>
  <r>
    <s v="SAL-00223"/>
    <x v="30"/>
    <x v="120"/>
    <x v="120"/>
    <s v="Burgers"/>
    <x v="2"/>
    <x v="2"/>
    <x v="40"/>
    <n v="6.49"/>
    <x v="183"/>
  </r>
  <r>
    <s v="SAL-00224"/>
    <x v="30"/>
    <x v="73"/>
    <x v="73"/>
    <s v="Beverages"/>
    <x v="0"/>
    <x v="1"/>
    <x v="49"/>
    <n v="2.4900000000000002"/>
    <x v="168"/>
  </r>
  <r>
    <s v="SAL-00225"/>
    <x v="30"/>
    <x v="130"/>
    <x v="130"/>
    <s v="Desserts"/>
    <x v="0"/>
    <x v="2"/>
    <x v="22"/>
    <n v="1.49"/>
    <x v="184"/>
  </r>
  <r>
    <s v="SAL-00226"/>
    <x v="30"/>
    <x v="96"/>
    <x v="96"/>
    <s v="Breakfast"/>
    <x v="0"/>
    <x v="3"/>
    <x v="46"/>
    <n v="4.99"/>
    <x v="185"/>
  </r>
  <r>
    <s v="SAL-00227"/>
    <x v="30"/>
    <x v="131"/>
    <x v="131"/>
    <s v="Sides"/>
    <x v="1"/>
    <x v="1"/>
    <x v="16"/>
    <n v="3.49"/>
    <x v="186"/>
  </r>
  <r>
    <s v="SAL-00228"/>
    <x v="30"/>
    <x v="117"/>
    <x v="117"/>
    <s v="Burgers"/>
    <x v="2"/>
    <x v="2"/>
    <x v="41"/>
    <n v="6.99"/>
    <x v="187"/>
  </r>
  <r>
    <s v="SAL-00229"/>
    <x v="30"/>
    <x v="132"/>
    <x v="132"/>
    <s v="Kids Meals"/>
    <x v="0"/>
    <x v="2"/>
    <x v="13"/>
    <n v="5.99"/>
    <x v="166"/>
  </r>
  <r>
    <s v="SAL-00230"/>
    <x v="30"/>
    <x v="31"/>
    <x v="31"/>
    <s v="Beverages"/>
    <x v="0"/>
    <x v="0"/>
    <x v="40"/>
    <n v="3.99"/>
    <x v="188"/>
  </r>
  <r>
    <s v="SAL-00231"/>
    <x v="30"/>
    <x v="133"/>
    <x v="133"/>
    <s v="Beverages"/>
    <x v="2"/>
    <x v="1"/>
    <x v="4"/>
    <n v="2.99"/>
    <x v="28"/>
  </r>
  <r>
    <s v="SAL-00232"/>
    <x v="31"/>
    <x v="134"/>
    <x v="134"/>
    <s v="Beverages"/>
    <x v="0"/>
    <x v="2"/>
    <x v="42"/>
    <n v="2.99"/>
    <x v="90"/>
  </r>
  <r>
    <s v="SAL-00233"/>
    <x v="31"/>
    <x v="119"/>
    <x v="119"/>
    <s v="Burgers"/>
    <x v="2"/>
    <x v="1"/>
    <x v="50"/>
    <n v="2.99"/>
    <x v="189"/>
  </r>
  <r>
    <s v="SAL-00234"/>
    <x v="31"/>
    <x v="42"/>
    <x v="42"/>
    <s v="Sides"/>
    <x v="1"/>
    <x v="3"/>
    <x v="32"/>
    <n v="4.49"/>
    <x v="190"/>
  </r>
  <r>
    <s v="SAL-00235"/>
    <x v="31"/>
    <x v="45"/>
    <x v="45"/>
    <s v="Combo Meals"/>
    <x v="0"/>
    <x v="1"/>
    <x v="36"/>
    <n v="10.99"/>
    <x v="89"/>
  </r>
  <r>
    <s v="SAL-00236"/>
    <x v="31"/>
    <x v="35"/>
    <x v="35"/>
    <s v="Desserts"/>
    <x v="1"/>
    <x v="2"/>
    <x v="17"/>
    <n v="4.99"/>
    <x v="191"/>
  </r>
  <r>
    <s v="SAL-00237"/>
    <x v="32"/>
    <x v="135"/>
    <x v="135"/>
    <s v="Desserts"/>
    <x v="2"/>
    <x v="1"/>
    <x v="17"/>
    <n v="1.49"/>
    <x v="192"/>
  </r>
  <r>
    <s v="SAL-00238"/>
    <x v="32"/>
    <x v="29"/>
    <x v="29"/>
    <s v="Breakfast"/>
    <x v="0"/>
    <x v="0"/>
    <x v="50"/>
    <n v="3.99"/>
    <x v="193"/>
  </r>
  <r>
    <s v="SAL-00239"/>
    <x v="32"/>
    <x v="9"/>
    <x v="9"/>
    <s v="Burgers"/>
    <x v="1"/>
    <x v="0"/>
    <x v="1"/>
    <n v="9.99"/>
    <x v="194"/>
  </r>
  <r>
    <s v="SAL-00240"/>
    <x v="32"/>
    <x v="20"/>
    <x v="20"/>
    <s v="Sides"/>
    <x v="2"/>
    <x v="2"/>
    <x v="8"/>
    <n v="4.99"/>
    <x v="110"/>
  </r>
  <r>
    <s v="SAL-00241"/>
    <x v="32"/>
    <x v="24"/>
    <x v="24"/>
    <s v="Combo Meals"/>
    <x v="0"/>
    <x v="1"/>
    <x v="45"/>
    <n v="10.99"/>
    <x v="195"/>
  </r>
  <r>
    <s v="SAL-00242"/>
    <x v="32"/>
    <x v="103"/>
    <x v="103"/>
    <s v="Desserts"/>
    <x v="0"/>
    <x v="2"/>
    <x v="30"/>
    <n v="5.99"/>
    <x v="173"/>
  </r>
  <r>
    <s v="SAL-00243"/>
    <x v="32"/>
    <x v="55"/>
    <x v="55"/>
    <s v="Desserts"/>
    <x v="1"/>
    <x v="2"/>
    <x v="40"/>
    <n v="3.49"/>
    <x v="196"/>
  </r>
  <r>
    <s v="SAL-00244"/>
    <x v="32"/>
    <x v="39"/>
    <x v="39"/>
    <s v="Chicken"/>
    <x v="0"/>
    <x v="2"/>
    <x v="4"/>
    <n v="8.99"/>
    <x v="197"/>
  </r>
  <r>
    <s v="SAL-00245"/>
    <x v="32"/>
    <x v="111"/>
    <x v="111"/>
    <s v="Desserts"/>
    <x v="0"/>
    <x v="0"/>
    <x v="17"/>
    <n v="4.99"/>
    <x v="191"/>
  </r>
  <r>
    <s v="SAL-00246"/>
    <x v="33"/>
    <x v="136"/>
    <x v="136"/>
    <s v="Breakfast"/>
    <x v="2"/>
    <x v="2"/>
    <x v="42"/>
    <n v="4.99"/>
    <x v="198"/>
  </r>
  <r>
    <s v="SAL-00247"/>
    <x v="33"/>
    <x v="54"/>
    <x v="54"/>
    <s v="Chicken"/>
    <x v="1"/>
    <x v="1"/>
    <x v="48"/>
    <n v="7.49"/>
    <x v="199"/>
  </r>
  <r>
    <s v="SAL-00248"/>
    <x v="33"/>
    <x v="87"/>
    <x v="87"/>
    <s v="Burgers"/>
    <x v="0"/>
    <x v="2"/>
    <x v="7"/>
    <n v="6.99"/>
    <x v="200"/>
  </r>
  <r>
    <s v="SAL-00249"/>
    <x v="34"/>
    <x v="56"/>
    <x v="56"/>
    <s v="Beverages"/>
    <x v="0"/>
    <x v="1"/>
    <x v="42"/>
    <n v="2.99"/>
    <x v="90"/>
  </r>
  <r>
    <s v="SAL-00250"/>
    <x v="34"/>
    <x v="53"/>
    <x v="53"/>
    <s v="Beverages"/>
    <x v="2"/>
    <x v="1"/>
    <x v="29"/>
    <n v="2.99"/>
    <x v="165"/>
  </r>
  <r>
    <s v="SAL-00251"/>
    <x v="34"/>
    <x v="50"/>
    <x v="50"/>
    <s v="Salads"/>
    <x v="0"/>
    <x v="1"/>
    <x v="2"/>
    <n v="6.99"/>
    <x v="2"/>
  </r>
  <r>
    <s v="SAL-00252"/>
    <x v="34"/>
    <x v="43"/>
    <x v="43"/>
    <s v="Chicken"/>
    <x v="2"/>
    <x v="1"/>
    <x v="28"/>
    <n v="4.99"/>
    <x v="201"/>
  </r>
  <r>
    <s v="SAL-00253"/>
    <x v="34"/>
    <x v="137"/>
    <x v="137"/>
    <s v="Burgers"/>
    <x v="2"/>
    <x v="2"/>
    <x v="12"/>
    <n v="8.99"/>
    <x v="163"/>
  </r>
  <r>
    <s v="SAL-00254"/>
    <x v="34"/>
    <x v="31"/>
    <x v="31"/>
    <s v="Beverages"/>
    <x v="0"/>
    <x v="1"/>
    <x v="46"/>
    <n v="3.99"/>
    <x v="121"/>
  </r>
  <r>
    <s v="SAL-00255"/>
    <x v="35"/>
    <x v="71"/>
    <x v="71"/>
    <s v="Beverages"/>
    <x v="0"/>
    <x v="1"/>
    <x v="14"/>
    <n v="1.99"/>
    <x v="202"/>
  </r>
  <r>
    <s v="SAL-00256"/>
    <x v="35"/>
    <x v="21"/>
    <x v="21"/>
    <s v="Desserts"/>
    <x v="0"/>
    <x v="1"/>
    <x v="17"/>
    <n v="2.99"/>
    <x v="96"/>
  </r>
  <r>
    <s v="SAL-00257"/>
    <x v="35"/>
    <x v="138"/>
    <x v="138"/>
    <s v="Breakfast"/>
    <x v="2"/>
    <x v="0"/>
    <x v="45"/>
    <n v="2.99"/>
    <x v="203"/>
  </r>
  <r>
    <s v="SAL-00258"/>
    <x v="35"/>
    <x v="68"/>
    <x v="68"/>
    <s v="Sides"/>
    <x v="0"/>
    <x v="1"/>
    <x v="33"/>
    <n v="4.49"/>
    <x v="204"/>
  </r>
  <r>
    <s v="SAL-00259"/>
    <x v="35"/>
    <x v="139"/>
    <x v="139"/>
    <s v="Combo Meals"/>
    <x v="0"/>
    <x v="3"/>
    <x v="2"/>
    <n v="8.99"/>
    <x v="205"/>
  </r>
  <r>
    <s v="SAL-00260"/>
    <x v="35"/>
    <x v="140"/>
    <x v="140"/>
    <s v="Breakfast"/>
    <x v="0"/>
    <x v="1"/>
    <x v="49"/>
    <n v="4.99"/>
    <x v="206"/>
  </r>
  <r>
    <s v="SAL-00261"/>
    <x v="35"/>
    <x v="17"/>
    <x v="17"/>
    <s v="Beverages"/>
    <x v="2"/>
    <x v="2"/>
    <x v="0"/>
    <n v="2.99"/>
    <x v="50"/>
  </r>
  <r>
    <s v="SAL-00262"/>
    <x v="35"/>
    <x v="141"/>
    <x v="141"/>
    <s v="Burgers"/>
    <x v="1"/>
    <x v="1"/>
    <x v="31"/>
    <n v="8.49"/>
    <x v="207"/>
  </r>
  <r>
    <s v="SAL-00263"/>
    <x v="35"/>
    <x v="142"/>
    <x v="142"/>
    <s v="Breakfast"/>
    <x v="0"/>
    <x v="2"/>
    <x v="43"/>
    <n v="3.99"/>
    <x v="208"/>
  </r>
  <r>
    <s v="SAL-00264"/>
    <x v="36"/>
    <x v="117"/>
    <x v="117"/>
    <s v="Burgers"/>
    <x v="1"/>
    <x v="1"/>
    <x v="6"/>
    <n v="6.99"/>
    <x v="209"/>
  </r>
  <r>
    <s v="SAL-00265"/>
    <x v="36"/>
    <x v="66"/>
    <x v="66"/>
    <s v="Sides"/>
    <x v="2"/>
    <x v="2"/>
    <x v="8"/>
    <n v="4.49"/>
    <x v="210"/>
  </r>
  <r>
    <s v="SAL-00266"/>
    <x v="36"/>
    <x v="12"/>
    <x v="12"/>
    <s v="Combo Meals"/>
    <x v="2"/>
    <x v="1"/>
    <x v="3"/>
    <n v="9.99"/>
    <x v="211"/>
  </r>
  <r>
    <s v="SAL-00267"/>
    <x v="36"/>
    <x v="108"/>
    <x v="108"/>
    <s v="Sides"/>
    <x v="2"/>
    <x v="1"/>
    <x v="49"/>
    <n v="3.49"/>
    <x v="212"/>
  </r>
  <r>
    <s v="SAL-00268"/>
    <x v="36"/>
    <x v="143"/>
    <x v="143"/>
    <s v="Burgers"/>
    <x v="2"/>
    <x v="1"/>
    <x v="14"/>
    <n v="8.49"/>
    <x v="73"/>
  </r>
  <r>
    <s v="SAL-00269"/>
    <x v="36"/>
    <x v="88"/>
    <x v="88"/>
    <s v="Beverages"/>
    <x v="2"/>
    <x v="2"/>
    <x v="49"/>
    <n v="2.99"/>
    <x v="213"/>
  </r>
  <r>
    <s v="SAL-00270"/>
    <x v="36"/>
    <x v="54"/>
    <x v="54"/>
    <s v="Chicken"/>
    <x v="2"/>
    <x v="2"/>
    <x v="9"/>
    <n v="7.49"/>
    <x v="214"/>
  </r>
  <r>
    <s v="SAL-00271"/>
    <x v="37"/>
    <x v="48"/>
    <x v="48"/>
    <s v="Beverages"/>
    <x v="2"/>
    <x v="3"/>
    <x v="7"/>
    <n v="3.99"/>
    <x v="34"/>
  </r>
  <r>
    <s v="SAL-00272"/>
    <x v="37"/>
    <x v="138"/>
    <x v="138"/>
    <s v="Breakfast"/>
    <x v="2"/>
    <x v="2"/>
    <x v="16"/>
    <n v="2.99"/>
    <x v="18"/>
  </r>
  <r>
    <s v="SAL-00273"/>
    <x v="37"/>
    <x v="114"/>
    <x v="114"/>
    <s v="Burgers"/>
    <x v="2"/>
    <x v="2"/>
    <x v="20"/>
    <n v="7.99"/>
    <x v="215"/>
  </r>
  <r>
    <s v="SAL-00274"/>
    <x v="37"/>
    <x v="60"/>
    <x v="60"/>
    <s v="Burgers"/>
    <x v="1"/>
    <x v="1"/>
    <x v="13"/>
    <n v="6.99"/>
    <x v="152"/>
  </r>
  <r>
    <s v="SAL-00275"/>
    <x v="37"/>
    <x v="144"/>
    <x v="144"/>
    <s v="Sauces &amp; Add-ons"/>
    <x v="2"/>
    <x v="0"/>
    <x v="38"/>
    <n v="0.25"/>
    <x v="94"/>
  </r>
  <r>
    <s v="SAL-00276"/>
    <x v="37"/>
    <x v="145"/>
    <x v="145"/>
    <s v="Salads"/>
    <x v="0"/>
    <x v="0"/>
    <x v="9"/>
    <n v="6.99"/>
    <x v="216"/>
  </r>
  <r>
    <s v="SAL-00277"/>
    <x v="37"/>
    <x v="61"/>
    <x v="61"/>
    <s v="Burgers"/>
    <x v="1"/>
    <x v="0"/>
    <x v="50"/>
    <n v="6.49"/>
    <x v="217"/>
  </r>
  <r>
    <s v="SAL-00278"/>
    <x v="37"/>
    <x v="117"/>
    <x v="117"/>
    <s v="Burgers"/>
    <x v="0"/>
    <x v="2"/>
    <x v="48"/>
    <n v="6.99"/>
    <x v="146"/>
  </r>
  <r>
    <s v="SAL-00279"/>
    <x v="37"/>
    <x v="122"/>
    <x v="122"/>
    <s v="Desserts"/>
    <x v="0"/>
    <x v="2"/>
    <x v="2"/>
    <n v="4.99"/>
    <x v="129"/>
  </r>
  <r>
    <s v="SAL-00280"/>
    <x v="37"/>
    <x v="90"/>
    <x v="90"/>
    <s v="Burgers"/>
    <x v="0"/>
    <x v="1"/>
    <x v="31"/>
    <n v="8.99"/>
    <x v="218"/>
  </r>
  <r>
    <s v="SAL-00281"/>
    <x v="38"/>
    <x v="67"/>
    <x v="67"/>
    <s v="Burgers"/>
    <x v="2"/>
    <x v="3"/>
    <x v="50"/>
    <n v="3.99"/>
    <x v="193"/>
  </r>
  <r>
    <s v="SAL-00282"/>
    <x v="38"/>
    <x v="35"/>
    <x v="35"/>
    <s v="Desserts"/>
    <x v="1"/>
    <x v="2"/>
    <x v="6"/>
    <n v="4.99"/>
    <x v="8"/>
  </r>
  <r>
    <s v="SAL-00283"/>
    <x v="38"/>
    <x v="122"/>
    <x v="122"/>
    <s v="Desserts"/>
    <x v="2"/>
    <x v="2"/>
    <x v="17"/>
    <n v="4.99"/>
    <x v="191"/>
  </r>
  <r>
    <s v="SAL-00284"/>
    <x v="38"/>
    <x v="102"/>
    <x v="102"/>
    <s v="Beverages"/>
    <x v="2"/>
    <x v="1"/>
    <x v="3"/>
    <n v="2.4900000000000002"/>
    <x v="219"/>
  </r>
  <r>
    <s v="SAL-00285"/>
    <x v="38"/>
    <x v="10"/>
    <x v="10"/>
    <s v="Beverages"/>
    <x v="0"/>
    <x v="1"/>
    <x v="47"/>
    <n v="1.99"/>
    <x v="220"/>
  </r>
  <r>
    <s v="SAL-00286"/>
    <x v="38"/>
    <x v="146"/>
    <x v="146"/>
    <s v="Breakfast"/>
    <x v="0"/>
    <x v="2"/>
    <x v="36"/>
    <n v="4.99"/>
    <x v="147"/>
  </r>
  <r>
    <s v="SAL-00287"/>
    <x v="38"/>
    <x v="147"/>
    <x v="147"/>
    <s v="Burgers"/>
    <x v="2"/>
    <x v="2"/>
    <x v="20"/>
    <n v="9.99"/>
    <x v="221"/>
  </r>
  <r>
    <s v="SAL-00288"/>
    <x v="38"/>
    <x v="41"/>
    <x v="41"/>
    <s v="Chicken"/>
    <x v="2"/>
    <x v="0"/>
    <x v="26"/>
    <n v="4.99"/>
    <x v="39"/>
  </r>
  <r>
    <s v="SAL-00289"/>
    <x v="38"/>
    <x v="148"/>
    <x v="148"/>
    <s v="Kids Meals"/>
    <x v="2"/>
    <x v="0"/>
    <x v="1"/>
    <n v="5.99"/>
    <x v="1"/>
  </r>
  <r>
    <s v="SAL-00290"/>
    <x v="38"/>
    <x v="123"/>
    <x v="123"/>
    <s v="Burgers"/>
    <x v="2"/>
    <x v="1"/>
    <x v="0"/>
    <n v="5.99"/>
    <x v="222"/>
  </r>
  <r>
    <s v="SAL-00291"/>
    <x v="38"/>
    <x v="73"/>
    <x v="73"/>
    <s v="Beverages"/>
    <x v="0"/>
    <x v="1"/>
    <x v="22"/>
    <n v="2.4900000000000002"/>
    <x v="223"/>
  </r>
  <r>
    <s v="SAL-00292"/>
    <x v="38"/>
    <x v="14"/>
    <x v="14"/>
    <s v="Combo Meals"/>
    <x v="0"/>
    <x v="1"/>
    <x v="23"/>
    <n v="7.99"/>
    <x v="224"/>
  </r>
  <r>
    <s v="SAL-00293"/>
    <x v="39"/>
    <x v="102"/>
    <x v="102"/>
    <s v="Beverages"/>
    <x v="0"/>
    <x v="1"/>
    <x v="22"/>
    <n v="2.4900000000000002"/>
    <x v="223"/>
  </r>
  <r>
    <s v="SAL-00294"/>
    <x v="39"/>
    <x v="0"/>
    <x v="0"/>
    <s v="Combo Meals"/>
    <x v="0"/>
    <x v="2"/>
    <x v="16"/>
    <n v="9.99"/>
    <x v="225"/>
  </r>
  <r>
    <s v="SAL-00295"/>
    <x v="39"/>
    <x v="127"/>
    <x v="127"/>
    <s v="Breakfast"/>
    <x v="2"/>
    <x v="2"/>
    <x v="14"/>
    <n v="4.99"/>
    <x v="226"/>
  </r>
  <r>
    <s v="SAL-00296"/>
    <x v="39"/>
    <x v="107"/>
    <x v="107"/>
    <s v="Chicken"/>
    <x v="2"/>
    <x v="3"/>
    <x v="7"/>
    <n v="5.99"/>
    <x v="227"/>
  </r>
  <r>
    <s v="SAL-00297"/>
    <x v="39"/>
    <x v="149"/>
    <x v="149"/>
    <s v="Sauces &amp; Add-ons"/>
    <x v="1"/>
    <x v="1"/>
    <x v="2"/>
    <n v="0.25"/>
    <x v="228"/>
  </r>
  <r>
    <s v="SAL-00298"/>
    <x v="39"/>
    <x v="29"/>
    <x v="29"/>
    <s v="Breakfast"/>
    <x v="2"/>
    <x v="0"/>
    <x v="32"/>
    <n v="3.99"/>
    <x v="229"/>
  </r>
  <r>
    <s v="SAL-00299"/>
    <x v="39"/>
    <x v="69"/>
    <x v="69"/>
    <s v="Salads"/>
    <x v="0"/>
    <x v="1"/>
    <x v="44"/>
    <n v="9.49"/>
    <x v="230"/>
  </r>
  <r>
    <s v="SAL-00300"/>
    <x v="40"/>
    <x v="101"/>
    <x v="101"/>
    <s v="Beverages"/>
    <x v="0"/>
    <x v="0"/>
    <x v="48"/>
    <n v="1.99"/>
    <x v="160"/>
  </r>
  <r>
    <s v="SAL-00301"/>
    <x v="40"/>
    <x v="150"/>
    <x v="150"/>
    <s v="Desserts"/>
    <x v="0"/>
    <x v="2"/>
    <x v="46"/>
    <n v="5.99"/>
    <x v="125"/>
  </r>
  <r>
    <s v="SAL-00302"/>
    <x v="40"/>
    <x v="10"/>
    <x v="10"/>
    <s v="Beverages"/>
    <x v="2"/>
    <x v="3"/>
    <x v="8"/>
    <n v="1.99"/>
    <x v="10"/>
  </r>
  <r>
    <s v="SAL-00303"/>
    <x v="40"/>
    <x v="151"/>
    <x v="151"/>
    <s v="Chicken"/>
    <x v="2"/>
    <x v="1"/>
    <x v="18"/>
    <n v="5.99"/>
    <x v="118"/>
  </r>
  <r>
    <s v="SAL-00304"/>
    <x v="40"/>
    <x v="133"/>
    <x v="133"/>
    <s v="Beverages"/>
    <x v="0"/>
    <x v="1"/>
    <x v="19"/>
    <n v="2.99"/>
    <x v="231"/>
  </r>
  <r>
    <s v="SAL-00305"/>
    <x v="40"/>
    <x v="152"/>
    <x v="152"/>
    <s v="Chicken"/>
    <x v="1"/>
    <x v="3"/>
    <x v="26"/>
    <n v="7.49"/>
    <x v="232"/>
  </r>
  <r>
    <s v="SAL-00306"/>
    <x v="40"/>
    <x v="137"/>
    <x v="137"/>
    <s v="Burgers"/>
    <x v="2"/>
    <x v="2"/>
    <x v="37"/>
    <n v="8.99"/>
    <x v="233"/>
  </r>
  <r>
    <s v="SAL-00307"/>
    <x v="40"/>
    <x v="26"/>
    <x v="26"/>
    <s v="Beverages"/>
    <x v="2"/>
    <x v="1"/>
    <x v="24"/>
    <n v="2.99"/>
    <x v="49"/>
  </r>
  <r>
    <s v="SAL-00308"/>
    <x v="40"/>
    <x v="1"/>
    <x v="1"/>
    <s v="Kids Meals"/>
    <x v="1"/>
    <x v="1"/>
    <x v="7"/>
    <n v="5.99"/>
    <x v="227"/>
  </r>
  <r>
    <s v="SAL-00309"/>
    <x v="40"/>
    <x v="47"/>
    <x v="47"/>
    <s v="Burgers"/>
    <x v="2"/>
    <x v="3"/>
    <x v="17"/>
    <n v="2.99"/>
    <x v="96"/>
  </r>
  <r>
    <s v="SAL-00310"/>
    <x v="41"/>
    <x v="22"/>
    <x v="22"/>
    <s v="Beverages"/>
    <x v="2"/>
    <x v="0"/>
    <x v="8"/>
    <n v="2.99"/>
    <x v="86"/>
  </r>
  <r>
    <s v="SAL-00311"/>
    <x v="41"/>
    <x v="130"/>
    <x v="130"/>
    <s v="Desserts"/>
    <x v="2"/>
    <x v="2"/>
    <x v="3"/>
    <n v="1.49"/>
    <x v="234"/>
  </r>
  <r>
    <s v="SAL-00312"/>
    <x v="41"/>
    <x v="130"/>
    <x v="130"/>
    <s v="Desserts"/>
    <x v="1"/>
    <x v="1"/>
    <x v="28"/>
    <n v="1.49"/>
    <x v="235"/>
  </r>
  <r>
    <s v="SAL-00313"/>
    <x v="41"/>
    <x v="17"/>
    <x v="17"/>
    <s v="Beverages"/>
    <x v="2"/>
    <x v="1"/>
    <x v="29"/>
    <n v="2.99"/>
    <x v="165"/>
  </r>
  <r>
    <s v="SAL-00314"/>
    <x v="41"/>
    <x v="153"/>
    <x v="153"/>
    <s v="Breakfast"/>
    <x v="2"/>
    <x v="2"/>
    <x v="28"/>
    <n v="4.99"/>
    <x v="201"/>
  </r>
  <r>
    <s v="SAL-00315"/>
    <x v="41"/>
    <x v="0"/>
    <x v="0"/>
    <s v="Combo Meals"/>
    <x v="1"/>
    <x v="2"/>
    <x v="20"/>
    <n v="9.99"/>
    <x v="221"/>
  </r>
  <r>
    <s v="SAL-00316"/>
    <x v="41"/>
    <x v="61"/>
    <x v="61"/>
    <s v="Burgers"/>
    <x v="1"/>
    <x v="3"/>
    <x v="31"/>
    <n v="6.49"/>
    <x v="236"/>
  </r>
  <r>
    <s v="SAL-00317"/>
    <x v="41"/>
    <x v="154"/>
    <x v="154"/>
    <s v="Kids Meals"/>
    <x v="0"/>
    <x v="2"/>
    <x v="18"/>
    <n v="6.49"/>
    <x v="237"/>
  </r>
  <r>
    <s v="SAL-00318"/>
    <x v="42"/>
    <x v="155"/>
    <x v="155"/>
    <s v="Breakfast"/>
    <x v="2"/>
    <x v="3"/>
    <x v="48"/>
    <n v="4.99"/>
    <x v="238"/>
  </r>
  <r>
    <s v="SAL-00319"/>
    <x v="42"/>
    <x v="90"/>
    <x v="90"/>
    <s v="Burgers"/>
    <x v="2"/>
    <x v="2"/>
    <x v="13"/>
    <n v="8.99"/>
    <x v="239"/>
  </r>
  <r>
    <s v="SAL-00320"/>
    <x v="42"/>
    <x v="139"/>
    <x v="139"/>
    <s v="Combo Meals"/>
    <x v="0"/>
    <x v="2"/>
    <x v="8"/>
    <n v="8.99"/>
    <x v="240"/>
  </r>
  <r>
    <s v="SAL-00321"/>
    <x v="43"/>
    <x v="156"/>
    <x v="156"/>
    <s v="Sides"/>
    <x v="0"/>
    <x v="2"/>
    <x v="47"/>
    <n v="3.99"/>
    <x v="241"/>
  </r>
  <r>
    <s v="SAL-00322"/>
    <x v="43"/>
    <x v="81"/>
    <x v="81"/>
    <s v="Kids Meals"/>
    <x v="0"/>
    <x v="3"/>
    <x v="31"/>
    <n v="5.99"/>
    <x v="242"/>
  </r>
  <r>
    <s v="SAL-00323"/>
    <x v="43"/>
    <x v="157"/>
    <x v="157"/>
    <s v="Beverages"/>
    <x v="2"/>
    <x v="1"/>
    <x v="30"/>
    <n v="3.99"/>
    <x v="243"/>
  </r>
  <r>
    <s v="SAL-00324"/>
    <x v="43"/>
    <x v="118"/>
    <x v="118"/>
    <s v="Breakfast"/>
    <x v="2"/>
    <x v="0"/>
    <x v="22"/>
    <n v="4.99"/>
    <x v="244"/>
  </r>
  <r>
    <s v="SAL-00325"/>
    <x v="43"/>
    <x v="63"/>
    <x v="63"/>
    <s v="Burgers"/>
    <x v="0"/>
    <x v="1"/>
    <x v="48"/>
    <n v="6.49"/>
    <x v="245"/>
  </r>
  <r>
    <s v="SAL-00326"/>
    <x v="43"/>
    <x v="92"/>
    <x v="92"/>
    <s v="Breakfast"/>
    <x v="2"/>
    <x v="3"/>
    <x v="30"/>
    <n v="6.99"/>
    <x v="246"/>
  </r>
  <r>
    <s v="SAL-00327"/>
    <x v="43"/>
    <x v="4"/>
    <x v="4"/>
    <s v="Beverages"/>
    <x v="0"/>
    <x v="0"/>
    <x v="20"/>
    <n v="1.99"/>
    <x v="247"/>
  </r>
  <r>
    <s v="SAL-00328"/>
    <x v="43"/>
    <x v="51"/>
    <x v="51"/>
    <s v="Combo Meals"/>
    <x v="1"/>
    <x v="0"/>
    <x v="23"/>
    <n v="12.99"/>
    <x v="248"/>
  </r>
  <r>
    <s v="SAL-00329"/>
    <x v="44"/>
    <x v="158"/>
    <x v="158"/>
    <s v="Salads"/>
    <x v="1"/>
    <x v="1"/>
    <x v="20"/>
    <n v="7.49"/>
    <x v="249"/>
  </r>
  <r>
    <s v="SAL-00330"/>
    <x v="44"/>
    <x v="137"/>
    <x v="137"/>
    <s v="Burgers"/>
    <x v="1"/>
    <x v="2"/>
    <x v="40"/>
    <n v="8.99"/>
    <x v="250"/>
  </r>
  <r>
    <s v="SAL-00331"/>
    <x v="44"/>
    <x v="106"/>
    <x v="106"/>
    <s v="Sides"/>
    <x v="0"/>
    <x v="1"/>
    <x v="27"/>
    <n v="4.99"/>
    <x v="251"/>
  </r>
  <r>
    <s v="SAL-00332"/>
    <x v="44"/>
    <x v="52"/>
    <x v="52"/>
    <s v="Chicken"/>
    <x v="2"/>
    <x v="1"/>
    <x v="20"/>
    <n v="11.99"/>
    <x v="252"/>
  </r>
  <r>
    <s v="SAL-00333"/>
    <x v="44"/>
    <x v="67"/>
    <x v="67"/>
    <s v="Burgers"/>
    <x v="0"/>
    <x v="3"/>
    <x v="8"/>
    <n v="3.99"/>
    <x v="72"/>
  </r>
  <r>
    <s v="SAL-00334"/>
    <x v="45"/>
    <x v="136"/>
    <x v="136"/>
    <s v="Breakfast"/>
    <x v="1"/>
    <x v="1"/>
    <x v="15"/>
    <n v="4.99"/>
    <x v="253"/>
  </r>
  <r>
    <s v="SAL-00335"/>
    <x v="45"/>
    <x v="71"/>
    <x v="71"/>
    <s v="Beverages"/>
    <x v="0"/>
    <x v="0"/>
    <x v="24"/>
    <n v="1.99"/>
    <x v="254"/>
  </r>
  <r>
    <s v="SAL-00336"/>
    <x v="45"/>
    <x v="30"/>
    <x v="30"/>
    <s v="Desserts"/>
    <x v="2"/>
    <x v="1"/>
    <x v="27"/>
    <n v="1.49"/>
    <x v="255"/>
  </r>
  <r>
    <s v="SAL-00337"/>
    <x v="45"/>
    <x v="84"/>
    <x v="84"/>
    <s v="Chicken"/>
    <x v="0"/>
    <x v="2"/>
    <x v="6"/>
    <n v="6.99"/>
    <x v="209"/>
  </r>
  <r>
    <s v="SAL-00338"/>
    <x v="45"/>
    <x v="159"/>
    <x v="159"/>
    <s v="Combo Meals"/>
    <x v="2"/>
    <x v="3"/>
    <x v="25"/>
    <n v="8.99"/>
    <x v="256"/>
  </r>
  <r>
    <s v="SAL-00339"/>
    <x v="45"/>
    <x v="101"/>
    <x v="101"/>
    <s v="Beverages"/>
    <x v="1"/>
    <x v="1"/>
    <x v="21"/>
    <n v="1.99"/>
    <x v="257"/>
  </r>
  <r>
    <s v="SAL-00340"/>
    <x v="45"/>
    <x v="147"/>
    <x v="147"/>
    <s v="Burgers"/>
    <x v="0"/>
    <x v="3"/>
    <x v="42"/>
    <n v="9.99"/>
    <x v="258"/>
  </r>
  <r>
    <s v="SAL-00341"/>
    <x v="45"/>
    <x v="22"/>
    <x v="22"/>
    <s v="Beverages"/>
    <x v="2"/>
    <x v="3"/>
    <x v="29"/>
    <n v="2.99"/>
    <x v="165"/>
  </r>
  <r>
    <s v="SAL-00342"/>
    <x v="45"/>
    <x v="52"/>
    <x v="52"/>
    <s v="Chicken"/>
    <x v="0"/>
    <x v="3"/>
    <x v="7"/>
    <n v="11.99"/>
    <x v="259"/>
  </r>
  <r>
    <s v="SAL-00343"/>
    <x v="45"/>
    <x v="37"/>
    <x v="37"/>
    <s v="Sides"/>
    <x v="1"/>
    <x v="1"/>
    <x v="49"/>
    <n v="4.99"/>
    <x v="206"/>
  </r>
  <r>
    <s v="SAL-00344"/>
    <x v="45"/>
    <x v="160"/>
    <x v="160"/>
    <s v="Salads"/>
    <x v="0"/>
    <x v="2"/>
    <x v="27"/>
    <n v="9.49"/>
    <x v="260"/>
  </r>
  <r>
    <s v="SAL-00345"/>
    <x v="45"/>
    <x v="21"/>
    <x v="21"/>
    <s v="Desserts"/>
    <x v="1"/>
    <x v="3"/>
    <x v="9"/>
    <n v="2.99"/>
    <x v="261"/>
  </r>
  <r>
    <s v="SAL-00346"/>
    <x v="46"/>
    <x v="15"/>
    <x v="15"/>
    <s v="Burgers"/>
    <x v="0"/>
    <x v="0"/>
    <x v="40"/>
    <n v="5.99"/>
    <x v="262"/>
  </r>
  <r>
    <s v="SAL-00347"/>
    <x v="46"/>
    <x v="137"/>
    <x v="137"/>
    <s v="Burgers"/>
    <x v="0"/>
    <x v="2"/>
    <x v="25"/>
    <n v="8.99"/>
    <x v="256"/>
  </r>
  <r>
    <s v="SAL-00348"/>
    <x v="47"/>
    <x v="134"/>
    <x v="134"/>
    <s v="Beverages"/>
    <x v="2"/>
    <x v="2"/>
    <x v="33"/>
    <n v="2.99"/>
    <x v="263"/>
  </r>
  <r>
    <s v="SAL-00349"/>
    <x v="47"/>
    <x v="148"/>
    <x v="148"/>
    <s v="Kids Meals"/>
    <x v="1"/>
    <x v="0"/>
    <x v="14"/>
    <n v="5.99"/>
    <x v="16"/>
  </r>
  <r>
    <s v="SAL-00350"/>
    <x v="47"/>
    <x v="26"/>
    <x v="26"/>
    <s v="Beverages"/>
    <x v="0"/>
    <x v="0"/>
    <x v="28"/>
    <n v="2.99"/>
    <x v="42"/>
  </r>
  <r>
    <s v="SAL-00351"/>
    <x v="47"/>
    <x v="131"/>
    <x v="131"/>
    <s v="Sides"/>
    <x v="2"/>
    <x v="1"/>
    <x v="39"/>
    <n v="3.49"/>
    <x v="264"/>
  </r>
  <r>
    <s v="SAL-00352"/>
    <x v="47"/>
    <x v="83"/>
    <x v="83"/>
    <s v="Sides"/>
    <x v="2"/>
    <x v="3"/>
    <x v="7"/>
    <n v="3.99"/>
    <x v="34"/>
  </r>
  <r>
    <s v="SAL-00353"/>
    <x v="47"/>
    <x v="66"/>
    <x v="66"/>
    <s v="Sides"/>
    <x v="0"/>
    <x v="3"/>
    <x v="17"/>
    <n v="4.49"/>
    <x v="95"/>
  </r>
  <r>
    <s v="SAL-00354"/>
    <x v="47"/>
    <x v="148"/>
    <x v="148"/>
    <s v="Kids Meals"/>
    <x v="0"/>
    <x v="1"/>
    <x v="11"/>
    <n v="5.99"/>
    <x v="265"/>
  </r>
  <r>
    <s v="SAL-00355"/>
    <x v="48"/>
    <x v="49"/>
    <x v="49"/>
    <s v="Beverages"/>
    <x v="1"/>
    <x v="2"/>
    <x v="22"/>
    <n v="2.99"/>
    <x v="266"/>
  </r>
  <r>
    <s v="SAL-00356"/>
    <x v="48"/>
    <x v="71"/>
    <x v="71"/>
    <s v="Beverages"/>
    <x v="1"/>
    <x v="1"/>
    <x v="49"/>
    <n v="1.99"/>
    <x v="267"/>
  </r>
  <r>
    <s v="SAL-00357"/>
    <x v="48"/>
    <x v="133"/>
    <x v="133"/>
    <s v="Beverages"/>
    <x v="0"/>
    <x v="2"/>
    <x v="47"/>
    <n v="2.99"/>
    <x v="268"/>
  </r>
  <r>
    <s v="SAL-00358"/>
    <x v="48"/>
    <x v="110"/>
    <x v="110"/>
    <s v="Chicken"/>
    <x v="1"/>
    <x v="3"/>
    <x v="23"/>
    <n v="6.99"/>
    <x v="269"/>
  </r>
  <r>
    <s v="SAL-00359"/>
    <x v="49"/>
    <x v="41"/>
    <x v="41"/>
    <s v="Chicken"/>
    <x v="2"/>
    <x v="1"/>
    <x v="36"/>
    <n v="4.99"/>
    <x v="147"/>
  </r>
  <r>
    <s v="SAL-00360"/>
    <x v="49"/>
    <x v="32"/>
    <x v="32"/>
    <s v="Sauces &amp; Add-ons"/>
    <x v="2"/>
    <x v="0"/>
    <x v="0"/>
    <n v="0.5"/>
    <x v="270"/>
  </r>
  <r>
    <s v="SAL-00361"/>
    <x v="49"/>
    <x v="27"/>
    <x v="27"/>
    <s v="Beverages"/>
    <x v="0"/>
    <x v="1"/>
    <x v="43"/>
    <n v="3.99"/>
    <x v="208"/>
  </r>
  <r>
    <s v="SAL-00362"/>
    <x v="49"/>
    <x v="35"/>
    <x v="35"/>
    <s v="Desserts"/>
    <x v="2"/>
    <x v="1"/>
    <x v="2"/>
    <n v="4.99"/>
    <x v="129"/>
  </r>
  <r>
    <s v="SAL-00363"/>
    <x v="49"/>
    <x v="88"/>
    <x v="88"/>
    <s v="Beverages"/>
    <x v="2"/>
    <x v="1"/>
    <x v="28"/>
    <n v="2.99"/>
    <x v="42"/>
  </r>
  <r>
    <s v="SAL-00364"/>
    <x v="49"/>
    <x v="123"/>
    <x v="123"/>
    <s v="Burgers"/>
    <x v="1"/>
    <x v="3"/>
    <x v="37"/>
    <n v="5.99"/>
    <x v="271"/>
  </r>
  <r>
    <s v="SAL-00365"/>
    <x v="49"/>
    <x v="77"/>
    <x v="77"/>
    <s v="Beverages"/>
    <x v="2"/>
    <x v="1"/>
    <x v="18"/>
    <n v="3.99"/>
    <x v="272"/>
  </r>
  <r>
    <s v="SAL-00366"/>
    <x v="49"/>
    <x v="146"/>
    <x v="146"/>
    <s v="Breakfast"/>
    <x v="2"/>
    <x v="2"/>
    <x v="36"/>
    <n v="4.99"/>
    <x v="147"/>
  </r>
  <r>
    <s v="SAL-00367"/>
    <x v="49"/>
    <x v="73"/>
    <x v="73"/>
    <s v="Beverages"/>
    <x v="0"/>
    <x v="1"/>
    <x v="23"/>
    <n v="2.4900000000000002"/>
    <x v="273"/>
  </r>
  <r>
    <s v="SAL-00368"/>
    <x v="50"/>
    <x v="24"/>
    <x v="24"/>
    <s v="Combo Meals"/>
    <x v="1"/>
    <x v="1"/>
    <x v="10"/>
    <n v="10.99"/>
    <x v="274"/>
  </r>
  <r>
    <s v="SAL-00369"/>
    <x v="50"/>
    <x v="107"/>
    <x v="107"/>
    <s v="Chicken"/>
    <x v="0"/>
    <x v="1"/>
    <x v="31"/>
    <n v="5.99"/>
    <x v="242"/>
  </r>
  <r>
    <s v="SAL-00370"/>
    <x v="50"/>
    <x v="161"/>
    <x v="161"/>
    <s v="Breakfast"/>
    <x v="2"/>
    <x v="2"/>
    <x v="37"/>
    <n v="5.99"/>
    <x v="271"/>
  </r>
  <r>
    <s v="SAL-00371"/>
    <x v="50"/>
    <x v="72"/>
    <x v="72"/>
    <s v="Burgers"/>
    <x v="1"/>
    <x v="1"/>
    <x v="49"/>
    <n v="6.99"/>
    <x v="275"/>
  </r>
  <r>
    <s v="SAL-00372"/>
    <x v="50"/>
    <x v="102"/>
    <x v="102"/>
    <s v="Beverages"/>
    <x v="2"/>
    <x v="2"/>
    <x v="38"/>
    <n v="2.4900000000000002"/>
    <x v="276"/>
  </r>
  <r>
    <s v="SAL-00373"/>
    <x v="50"/>
    <x v="156"/>
    <x v="156"/>
    <s v="Sides"/>
    <x v="2"/>
    <x v="1"/>
    <x v="42"/>
    <n v="3.99"/>
    <x v="141"/>
  </r>
  <r>
    <s v="SAL-00374"/>
    <x v="50"/>
    <x v="134"/>
    <x v="134"/>
    <s v="Beverages"/>
    <x v="2"/>
    <x v="2"/>
    <x v="12"/>
    <n v="2.99"/>
    <x v="133"/>
  </r>
  <r>
    <s v="SAL-00375"/>
    <x v="50"/>
    <x v="38"/>
    <x v="38"/>
    <s v="Salads"/>
    <x v="0"/>
    <x v="2"/>
    <x v="31"/>
    <n v="7.49"/>
    <x v="277"/>
  </r>
  <r>
    <s v="SAL-00376"/>
    <x v="50"/>
    <x v="40"/>
    <x v="40"/>
    <s v="Beverages"/>
    <x v="2"/>
    <x v="1"/>
    <x v="28"/>
    <n v="2.99"/>
    <x v="42"/>
  </r>
  <r>
    <s v="SAL-00377"/>
    <x v="50"/>
    <x v="77"/>
    <x v="77"/>
    <s v="Beverages"/>
    <x v="0"/>
    <x v="1"/>
    <x v="48"/>
    <n v="3.99"/>
    <x v="278"/>
  </r>
  <r>
    <s v="SAL-00378"/>
    <x v="51"/>
    <x v="145"/>
    <x v="145"/>
    <s v="Salads"/>
    <x v="1"/>
    <x v="3"/>
    <x v="48"/>
    <n v="6.99"/>
    <x v="146"/>
  </r>
  <r>
    <s v="SAL-00379"/>
    <x v="51"/>
    <x v="162"/>
    <x v="162"/>
    <s v="Sides"/>
    <x v="1"/>
    <x v="3"/>
    <x v="17"/>
    <n v="2.99"/>
    <x v="96"/>
  </r>
  <r>
    <s v="SAL-00380"/>
    <x v="51"/>
    <x v="163"/>
    <x v="163"/>
    <s v="Burgers"/>
    <x v="1"/>
    <x v="3"/>
    <x v="6"/>
    <n v="7.99"/>
    <x v="279"/>
  </r>
  <r>
    <s v="SAL-00381"/>
    <x v="51"/>
    <x v="26"/>
    <x v="26"/>
    <s v="Beverages"/>
    <x v="0"/>
    <x v="1"/>
    <x v="0"/>
    <n v="2.99"/>
    <x v="50"/>
  </r>
  <r>
    <s v="SAL-00382"/>
    <x v="51"/>
    <x v="146"/>
    <x v="146"/>
    <s v="Breakfast"/>
    <x v="0"/>
    <x v="2"/>
    <x v="8"/>
    <n v="4.99"/>
    <x v="110"/>
  </r>
  <r>
    <s v="SAL-00383"/>
    <x v="51"/>
    <x v="40"/>
    <x v="40"/>
    <s v="Beverages"/>
    <x v="1"/>
    <x v="1"/>
    <x v="2"/>
    <n v="2.99"/>
    <x v="108"/>
  </r>
  <r>
    <s v="SAL-00384"/>
    <x v="51"/>
    <x v="164"/>
    <x v="164"/>
    <s v="Desserts"/>
    <x v="2"/>
    <x v="2"/>
    <x v="30"/>
    <n v="5.99"/>
    <x v="173"/>
  </r>
  <r>
    <s v="SAL-00385"/>
    <x v="51"/>
    <x v="165"/>
    <x v="165"/>
    <s v="Breakfast"/>
    <x v="2"/>
    <x v="1"/>
    <x v="25"/>
    <n v="4.99"/>
    <x v="280"/>
  </r>
  <r>
    <s v="SAL-00386"/>
    <x v="52"/>
    <x v="106"/>
    <x v="106"/>
    <s v="Sides"/>
    <x v="0"/>
    <x v="1"/>
    <x v="42"/>
    <n v="4.99"/>
    <x v="198"/>
  </r>
  <r>
    <s v="SAL-00387"/>
    <x v="52"/>
    <x v="131"/>
    <x v="131"/>
    <s v="Sides"/>
    <x v="0"/>
    <x v="1"/>
    <x v="47"/>
    <n v="3.49"/>
    <x v="281"/>
  </r>
  <r>
    <s v="SAL-00388"/>
    <x v="52"/>
    <x v="27"/>
    <x v="27"/>
    <s v="Beverages"/>
    <x v="2"/>
    <x v="2"/>
    <x v="0"/>
    <n v="3.99"/>
    <x v="83"/>
  </r>
  <r>
    <s v="SAL-00389"/>
    <x v="52"/>
    <x v="166"/>
    <x v="166"/>
    <s v="Beverages"/>
    <x v="2"/>
    <x v="3"/>
    <x v="27"/>
    <n v="2.4900000000000002"/>
    <x v="282"/>
  </r>
  <r>
    <s v="SAL-00390"/>
    <x v="52"/>
    <x v="21"/>
    <x v="21"/>
    <s v="Desserts"/>
    <x v="0"/>
    <x v="2"/>
    <x v="7"/>
    <n v="2.99"/>
    <x v="20"/>
  </r>
  <r>
    <s v="SAL-00391"/>
    <x v="52"/>
    <x v="155"/>
    <x v="155"/>
    <s v="Breakfast"/>
    <x v="1"/>
    <x v="0"/>
    <x v="31"/>
    <n v="4.99"/>
    <x v="88"/>
  </r>
  <r>
    <s v="SAL-00392"/>
    <x v="52"/>
    <x v="4"/>
    <x v="4"/>
    <s v="Beverages"/>
    <x v="1"/>
    <x v="2"/>
    <x v="32"/>
    <n v="1.99"/>
    <x v="283"/>
  </r>
  <r>
    <s v="SAL-00393"/>
    <x v="52"/>
    <x v="35"/>
    <x v="35"/>
    <s v="Desserts"/>
    <x v="2"/>
    <x v="1"/>
    <x v="37"/>
    <n v="4.99"/>
    <x v="284"/>
  </r>
  <r>
    <s v="SAL-00394"/>
    <x v="52"/>
    <x v="167"/>
    <x v="167"/>
    <s v="Breakfast"/>
    <x v="0"/>
    <x v="1"/>
    <x v="28"/>
    <n v="7.99"/>
    <x v="285"/>
  </r>
  <r>
    <s v="SAL-00395"/>
    <x v="52"/>
    <x v="20"/>
    <x v="20"/>
    <s v="Sides"/>
    <x v="0"/>
    <x v="2"/>
    <x v="49"/>
    <n v="4.99"/>
    <x v="206"/>
  </r>
  <r>
    <s v="SAL-00396"/>
    <x v="52"/>
    <x v="164"/>
    <x v="164"/>
    <s v="Desserts"/>
    <x v="0"/>
    <x v="0"/>
    <x v="27"/>
    <n v="5.99"/>
    <x v="286"/>
  </r>
  <r>
    <s v="SAL-00397"/>
    <x v="52"/>
    <x v="145"/>
    <x v="145"/>
    <s v="Salads"/>
    <x v="2"/>
    <x v="1"/>
    <x v="49"/>
    <n v="6.99"/>
    <x v="275"/>
  </r>
  <r>
    <s v="SAL-00398"/>
    <x v="53"/>
    <x v="51"/>
    <x v="51"/>
    <s v="Combo Meals"/>
    <x v="0"/>
    <x v="2"/>
    <x v="8"/>
    <n v="12.99"/>
    <x v="287"/>
  </r>
  <r>
    <s v="SAL-00399"/>
    <x v="53"/>
    <x v="9"/>
    <x v="9"/>
    <s v="Burgers"/>
    <x v="2"/>
    <x v="0"/>
    <x v="48"/>
    <n v="9.99"/>
    <x v="288"/>
  </r>
  <r>
    <s v="SAL-00400"/>
    <x v="53"/>
    <x v="160"/>
    <x v="160"/>
    <s v="Salads"/>
    <x v="1"/>
    <x v="2"/>
    <x v="8"/>
    <n v="9.49"/>
    <x v="289"/>
  </r>
  <r>
    <s v="SAL-00401"/>
    <x v="53"/>
    <x v="72"/>
    <x v="72"/>
    <s v="Burgers"/>
    <x v="2"/>
    <x v="2"/>
    <x v="31"/>
    <n v="6.99"/>
    <x v="290"/>
  </r>
  <r>
    <s v="SAL-00402"/>
    <x v="53"/>
    <x v="119"/>
    <x v="119"/>
    <s v="Burgers"/>
    <x v="2"/>
    <x v="2"/>
    <x v="9"/>
    <n v="2.99"/>
    <x v="261"/>
  </r>
  <r>
    <s v="SAL-00403"/>
    <x v="53"/>
    <x v="31"/>
    <x v="31"/>
    <s v="Beverages"/>
    <x v="2"/>
    <x v="3"/>
    <x v="0"/>
    <n v="3.99"/>
    <x v="83"/>
  </r>
  <r>
    <s v="SAL-00404"/>
    <x v="53"/>
    <x v="14"/>
    <x v="14"/>
    <s v="Combo Meals"/>
    <x v="2"/>
    <x v="3"/>
    <x v="19"/>
    <n v="7.99"/>
    <x v="291"/>
  </r>
  <r>
    <s v="SAL-00405"/>
    <x v="53"/>
    <x v="5"/>
    <x v="5"/>
    <s v="Beverages"/>
    <x v="0"/>
    <x v="3"/>
    <x v="24"/>
    <n v="2.99"/>
    <x v="49"/>
  </r>
  <r>
    <s v="SAL-00406"/>
    <x v="54"/>
    <x v="124"/>
    <x v="124"/>
    <s v="Breakfast"/>
    <x v="0"/>
    <x v="1"/>
    <x v="49"/>
    <n v="4.99"/>
    <x v="206"/>
  </r>
  <r>
    <s v="SAL-00407"/>
    <x v="54"/>
    <x v="141"/>
    <x v="141"/>
    <s v="Burgers"/>
    <x v="1"/>
    <x v="2"/>
    <x v="9"/>
    <n v="8.49"/>
    <x v="292"/>
  </r>
  <r>
    <s v="SAL-00408"/>
    <x v="54"/>
    <x v="143"/>
    <x v="143"/>
    <s v="Burgers"/>
    <x v="0"/>
    <x v="0"/>
    <x v="13"/>
    <n v="8.49"/>
    <x v="293"/>
  </r>
  <r>
    <s v="SAL-00409"/>
    <x v="54"/>
    <x v="58"/>
    <x v="58"/>
    <s v="Burgers"/>
    <x v="0"/>
    <x v="0"/>
    <x v="6"/>
    <n v="8.49"/>
    <x v="294"/>
  </r>
  <r>
    <s v="SAL-00410"/>
    <x v="54"/>
    <x v="96"/>
    <x v="96"/>
    <s v="Breakfast"/>
    <x v="1"/>
    <x v="2"/>
    <x v="11"/>
    <n v="4.99"/>
    <x v="295"/>
  </r>
  <r>
    <s v="SAL-00411"/>
    <x v="54"/>
    <x v="5"/>
    <x v="5"/>
    <s v="Beverages"/>
    <x v="1"/>
    <x v="3"/>
    <x v="9"/>
    <n v="2.99"/>
    <x v="261"/>
  </r>
  <r>
    <s v="SAL-00412"/>
    <x v="55"/>
    <x v="10"/>
    <x v="10"/>
    <s v="Beverages"/>
    <x v="2"/>
    <x v="1"/>
    <x v="6"/>
    <n v="1.99"/>
    <x v="296"/>
  </r>
  <r>
    <s v="SAL-00413"/>
    <x v="55"/>
    <x v="16"/>
    <x v="16"/>
    <s v="Burgers"/>
    <x v="0"/>
    <x v="1"/>
    <x v="46"/>
    <n v="8.99"/>
    <x v="297"/>
  </r>
  <r>
    <s v="SAL-00414"/>
    <x v="55"/>
    <x v="134"/>
    <x v="134"/>
    <s v="Beverages"/>
    <x v="1"/>
    <x v="3"/>
    <x v="17"/>
    <n v="2.99"/>
    <x v="96"/>
  </r>
  <r>
    <s v="SAL-00415"/>
    <x v="55"/>
    <x v="136"/>
    <x v="136"/>
    <s v="Breakfast"/>
    <x v="0"/>
    <x v="0"/>
    <x v="37"/>
    <n v="4.99"/>
    <x v="284"/>
  </r>
  <r>
    <s v="SAL-00416"/>
    <x v="55"/>
    <x v="33"/>
    <x v="33"/>
    <s v="Burgers"/>
    <x v="2"/>
    <x v="1"/>
    <x v="49"/>
    <n v="6.99"/>
    <x v="275"/>
  </r>
  <r>
    <s v="SAL-00417"/>
    <x v="55"/>
    <x v="168"/>
    <x v="168"/>
    <s v="Breakfast"/>
    <x v="0"/>
    <x v="1"/>
    <x v="21"/>
    <n v="2.4900000000000002"/>
    <x v="298"/>
  </r>
  <r>
    <s v="SAL-00418"/>
    <x v="55"/>
    <x v="127"/>
    <x v="127"/>
    <s v="Breakfast"/>
    <x v="0"/>
    <x v="3"/>
    <x v="38"/>
    <n v="4.99"/>
    <x v="299"/>
  </r>
  <r>
    <s v="SAL-00419"/>
    <x v="55"/>
    <x v="169"/>
    <x v="169"/>
    <s v="Sides"/>
    <x v="0"/>
    <x v="1"/>
    <x v="40"/>
    <n v="3.99"/>
    <x v="188"/>
  </r>
  <r>
    <s v="SAL-00420"/>
    <x v="55"/>
    <x v="88"/>
    <x v="88"/>
    <s v="Beverages"/>
    <x v="2"/>
    <x v="1"/>
    <x v="45"/>
    <n v="2.99"/>
    <x v="203"/>
  </r>
  <r>
    <s v="SAL-00421"/>
    <x v="55"/>
    <x v="52"/>
    <x v="52"/>
    <s v="Chicken"/>
    <x v="2"/>
    <x v="1"/>
    <x v="2"/>
    <n v="11.99"/>
    <x v="300"/>
  </r>
  <r>
    <s v="SAL-00422"/>
    <x v="56"/>
    <x v="123"/>
    <x v="123"/>
    <s v="Burgers"/>
    <x v="2"/>
    <x v="3"/>
    <x v="5"/>
    <n v="5.99"/>
    <x v="301"/>
  </r>
  <r>
    <s v="SAL-00423"/>
    <x v="56"/>
    <x v="106"/>
    <x v="106"/>
    <s v="Sides"/>
    <x v="1"/>
    <x v="3"/>
    <x v="6"/>
    <n v="4.99"/>
    <x v="8"/>
  </r>
  <r>
    <s v="SAL-00424"/>
    <x v="56"/>
    <x v="60"/>
    <x v="60"/>
    <s v="Burgers"/>
    <x v="2"/>
    <x v="1"/>
    <x v="44"/>
    <n v="6.99"/>
    <x v="302"/>
  </r>
  <r>
    <s v="SAL-00425"/>
    <x v="56"/>
    <x v="85"/>
    <x v="85"/>
    <s v="Kids Meals"/>
    <x v="0"/>
    <x v="2"/>
    <x v="1"/>
    <n v="6.49"/>
    <x v="303"/>
  </r>
  <r>
    <s v="SAL-00426"/>
    <x v="56"/>
    <x v="103"/>
    <x v="103"/>
    <s v="Desserts"/>
    <x v="2"/>
    <x v="1"/>
    <x v="1"/>
    <n v="5.99"/>
    <x v="1"/>
  </r>
  <r>
    <s v="SAL-00427"/>
    <x v="56"/>
    <x v="167"/>
    <x v="167"/>
    <s v="Breakfast"/>
    <x v="1"/>
    <x v="1"/>
    <x v="36"/>
    <n v="7.99"/>
    <x v="304"/>
  </r>
  <r>
    <s v="SAL-00428"/>
    <x v="56"/>
    <x v="117"/>
    <x v="117"/>
    <s v="Burgers"/>
    <x v="0"/>
    <x v="2"/>
    <x v="28"/>
    <n v="6.99"/>
    <x v="305"/>
  </r>
  <r>
    <s v="SAL-00429"/>
    <x v="57"/>
    <x v="54"/>
    <x v="54"/>
    <s v="Chicken"/>
    <x v="2"/>
    <x v="1"/>
    <x v="29"/>
    <n v="7.49"/>
    <x v="306"/>
  </r>
  <r>
    <s v="SAL-00430"/>
    <x v="57"/>
    <x v="87"/>
    <x v="87"/>
    <s v="Burgers"/>
    <x v="1"/>
    <x v="3"/>
    <x v="19"/>
    <n v="6.99"/>
    <x v="307"/>
  </r>
  <r>
    <s v="SAL-00431"/>
    <x v="57"/>
    <x v="19"/>
    <x v="19"/>
    <s v="Sides"/>
    <x v="2"/>
    <x v="1"/>
    <x v="49"/>
    <n v="2.99"/>
    <x v="213"/>
  </r>
  <r>
    <s v="SAL-00432"/>
    <x v="57"/>
    <x v="41"/>
    <x v="41"/>
    <s v="Chicken"/>
    <x v="0"/>
    <x v="1"/>
    <x v="19"/>
    <n v="4.99"/>
    <x v="22"/>
  </r>
  <r>
    <s v="SAL-00433"/>
    <x v="58"/>
    <x v="134"/>
    <x v="134"/>
    <s v="Beverages"/>
    <x v="2"/>
    <x v="2"/>
    <x v="1"/>
    <n v="2.99"/>
    <x v="308"/>
  </r>
  <r>
    <s v="SAL-00434"/>
    <x v="58"/>
    <x v="77"/>
    <x v="77"/>
    <s v="Beverages"/>
    <x v="0"/>
    <x v="1"/>
    <x v="48"/>
    <n v="3.99"/>
    <x v="278"/>
  </r>
  <r>
    <s v="SAL-00435"/>
    <x v="58"/>
    <x v="19"/>
    <x v="19"/>
    <s v="Sides"/>
    <x v="0"/>
    <x v="1"/>
    <x v="14"/>
    <n v="2.99"/>
    <x v="76"/>
  </r>
  <r>
    <s v="SAL-00436"/>
    <x v="58"/>
    <x v="63"/>
    <x v="63"/>
    <s v="Burgers"/>
    <x v="2"/>
    <x v="0"/>
    <x v="45"/>
    <n v="6.49"/>
    <x v="309"/>
  </r>
  <r>
    <s v="SAL-00437"/>
    <x v="58"/>
    <x v="131"/>
    <x v="131"/>
    <s v="Sides"/>
    <x v="0"/>
    <x v="1"/>
    <x v="15"/>
    <n v="3.49"/>
    <x v="310"/>
  </r>
  <r>
    <s v="SAL-00438"/>
    <x v="58"/>
    <x v="46"/>
    <x v="46"/>
    <s v="Beverages"/>
    <x v="2"/>
    <x v="1"/>
    <x v="1"/>
    <n v="2.99"/>
    <x v="308"/>
  </r>
  <r>
    <s v="SAL-00439"/>
    <x v="58"/>
    <x v="170"/>
    <x v="170"/>
    <s v="Desserts"/>
    <x v="1"/>
    <x v="1"/>
    <x v="24"/>
    <n v="4.49"/>
    <x v="311"/>
  </r>
  <r>
    <s v="SAL-00440"/>
    <x v="58"/>
    <x v="44"/>
    <x v="44"/>
    <s v="Breakfast"/>
    <x v="0"/>
    <x v="1"/>
    <x v="32"/>
    <n v="2.99"/>
    <x v="55"/>
  </r>
  <r>
    <s v="SAL-00441"/>
    <x v="58"/>
    <x v="42"/>
    <x v="42"/>
    <s v="Sides"/>
    <x v="1"/>
    <x v="0"/>
    <x v="42"/>
    <n v="4.49"/>
    <x v="312"/>
  </r>
  <r>
    <s v="SAL-00442"/>
    <x v="58"/>
    <x v="47"/>
    <x v="47"/>
    <s v="Burgers"/>
    <x v="0"/>
    <x v="1"/>
    <x v="6"/>
    <n v="2.99"/>
    <x v="313"/>
  </r>
  <r>
    <s v="SAL-00443"/>
    <x v="58"/>
    <x v="112"/>
    <x v="112"/>
    <s v="Burgers"/>
    <x v="1"/>
    <x v="3"/>
    <x v="24"/>
    <n v="8.49"/>
    <x v="314"/>
  </r>
  <r>
    <s v="SAL-00444"/>
    <x v="58"/>
    <x v="3"/>
    <x v="3"/>
    <s v="Sides"/>
    <x v="0"/>
    <x v="3"/>
    <x v="34"/>
    <n v="5.99"/>
    <x v="315"/>
  </r>
  <r>
    <s v="SAL-00445"/>
    <x v="58"/>
    <x v="44"/>
    <x v="44"/>
    <s v="Breakfast"/>
    <x v="1"/>
    <x v="0"/>
    <x v="9"/>
    <n v="2.99"/>
    <x v="261"/>
  </r>
  <r>
    <s v="SAL-00446"/>
    <x v="59"/>
    <x v="94"/>
    <x v="94"/>
    <s v="Chicken"/>
    <x v="0"/>
    <x v="1"/>
    <x v="44"/>
    <n v="7.49"/>
    <x v="316"/>
  </r>
  <r>
    <s v="SAL-00447"/>
    <x v="59"/>
    <x v="76"/>
    <x v="76"/>
    <s v="Beverages"/>
    <x v="0"/>
    <x v="1"/>
    <x v="13"/>
    <n v="3.99"/>
    <x v="317"/>
  </r>
  <r>
    <s v="SAL-00448"/>
    <x v="59"/>
    <x v="171"/>
    <x v="171"/>
    <s v="Burgers"/>
    <x v="1"/>
    <x v="1"/>
    <x v="7"/>
    <n v="6.99"/>
    <x v="200"/>
  </r>
  <r>
    <s v="SAL-00449"/>
    <x v="59"/>
    <x v="98"/>
    <x v="98"/>
    <s v="Beverages"/>
    <x v="0"/>
    <x v="1"/>
    <x v="22"/>
    <n v="1.99"/>
    <x v="318"/>
  </r>
  <r>
    <s v="SAL-00450"/>
    <x v="59"/>
    <x v="139"/>
    <x v="139"/>
    <s v="Combo Meals"/>
    <x v="0"/>
    <x v="0"/>
    <x v="25"/>
    <n v="8.99"/>
    <x v="256"/>
  </r>
  <r>
    <s v="SAL-00451"/>
    <x v="59"/>
    <x v="147"/>
    <x v="147"/>
    <s v="Burgers"/>
    <x v="0"/>
    <x v="1"/>
    <x v="40"/>
    <n v="9.99"/>
    <x v="319"/>
  </r>
  <r>
    <s v="SAL-00452"/>
    <x v="59"/>
    <x v="159"/>
    <x v="159"/>
    <s v="Combo Meals"/>
    <x v="2"/>
    <x v="0"/>
    <x v="50"/>
    <n v="8.99"/>
    <x v="320"/>
  </r>
  <r>
    <s v="SAL-00453"/>
    <x v="59"/>
    <x v="0"/>
    <x v="0"/>
    <s v="Combo Meals"/>
    <x v="0"/>
    <x v="3"/>
    <x v="39"/>
    <n v="9.99"/>
    <x v="321"/>
  </r>
  <r>
    <s v="SAL-00454"/>
    <x v="59"/>
    <x v="157"/>
    <x v="157"/>
    <s v="Beverages"/>
    <x v="2"/>
    <x v="1"/>
    <x v="41"/>
    <n v="3.99"/>
    <x v="136"/>
  </r>
  <r>
    <s v="SAL-00455"/>
    <x v="59"/>
    <x v="89"/>
    <x v="89"/>
    <s v="Sides"/>
    <x v="0"/>
    <x v="1"/>
    <x v="0"/>
    <n v="2.99"/>
    <x v="50"/>
  </r>
  <r>
    <s v="SAL-00456"/>
    <x v="59"/>
    <x v="110"/>
    <x v="110"/>
    <s v="Chicken"/>
    <x v="1"/>
    <x v="3"/>
    <x v="29"/>
    <n v="6.99"/>
    <x v="322"/>
  </r>
  <r>
    <s v="SAL-00457"/>
    <x v="59"/>
    <x v="36"/>
    <x v="36"/>
    <s v="Chicken"/>
    <x v="0"/>
    <x v="1"/>
    <x v="9"/>
    <n v="2.99"/>
    <x v="261"/>
  </r>
  <r>
    <s v="SAL-00458"/>
    <x v="60"/>
    <x v="60"/>
    <x v="60"/>
    <s v="Burgers"/>
    <x v="0"/>
    <x v="3"/>
    <x v="13"/>
    <n v="6.99"/>
    <x v="152"/>
  </r>
  <r>
    <s v="SAL-00459"/>
    <x v="60"/>
    <x v="82"/>
    <x v="82"/>
    <s v="Beverages"/>
    <x v="0"/>
    <x v="2"/>
    <x v="44"/>
    <n v="2.99"/>
    <x v="323"/>
  </r>
  <r>
    <s v="SAL-00460"/>
    <x v="60"/>
    <x v="52"/>
    <x v="52"/>
    <s v="Chicken"/>
    <x v="0"/>
    <x v="1"/>
    <x v="8"/>
    <n v="11.99"/>
    <x v="324"/>
  </r>
  <r>
    <s v="SAL-00461"/>
    <x v="60"/>
    <x v="56"/>
    <x v="56"/>
    <s v="Beverages"/>
    <x v="2"/>
    <x v="1"/>
    <x v="8"/>
    <n v="2.99"/>
    <x v="86"/>
  </r>
  <r>
    <s v="SAL-00462"/>
    <x v="60"/>
    <x v="55"/>
    <x v="55"/>
    <s v="Desserts"/>
    <x v="1"/>
    <x v="1"/>
    <x v="47"/>
    <n v="3.49"/>
    <x v="281"/>
  </r>
  <r>
    <s v="SAL-00463"/>
    <x v="60"/>
    <x v="125"/>
    <x v="125"/>
    <s v="Burgers"/>
    <x v="0"/>
    <x v="2"/>
    <x v="32"/>
    <n v="8.99"/>
    <x v="325"/>
  </r>
  <r>
    <s v="SAL-00464"/>
    <x v="60"/>
    <x v="45"/>
    <x v="45"/>
    <s v="Combo Meals"/>
    <x v="0"/>
    <x v="2"/>
    <x v="4"/>
    <n v="10.99"/>
    <x v="326"/>
  </r>
  <r>
    <s v="SAL-00465"/>
    <x v="60"/>
    <x v="172"/>
    <x v="172"/>
    <s v="Combo Meals"/>
    <x v="0"/>
    <x v="1"/>
    <x v="3"/>
    <n v="10.99"/>
    <x v="327"/>
  </r>
  <r>
    <s v="SAL-00466"/>
    <x v="60"/>
    <x v="133"/>
    <x v="133"/>
    <s v="Beverages"/>
    <x v="0"/>
    <x v="2"/>
    <x v="40"/>
    <n v="2.99"/>
    <x v="158"/>
  </r>
  <r>
    <s v="SAL-00467"/>
    <x v="60"/>
    <x v="173"/>
    <x v="173"/>
    <s v="Desserts"/>
    <x v="0"/>
    <x v="2"/>
    <x v="50"/>
    <n v="2.99"/>
    <x v="189"/>
  </r>
  <r>
    <s v="SAL-00468"/>
    <x v="60"/>
    <x v="12"/>
    <x v="12"/>
    <s v="Combo Meals"/>
    <x v="2"/>
    <x v="1"/>
    <x v="5"/>
    <n v="9.99"/>
    <x v="328"/>
  </r>
  <r>
    <s v="SAL-00469"/>
    <x v="60"/>
    <x v="65"/>
    <x v="65"/>
    <s v="Desserts"/>
    <x v="0"/>
    <x v="3"/>
    <x v="4"/>
    <n v="3.49"/>
    <x v="329"/>
  </r>
  <r>
    <s v="SAL-00470"/>
    <x v="61"/>
    <x v="78"/>
    <x v="78"/>
    <s v="Sauces &amp; Add-ons"/>
    <x v="1"/>
    <x v="1"/>
    <x v="27"/>
    <n v="0.25"/>
    <x v="330"/>
  </r>
  <r>
    <s v="SAL-00471"/>
    <x v="61"/>
    <x v="28"/>
    <x v="28"/>
    <s v="Chicken"/>
    <x v="1"/>
    <x v="1"/>
    <x v="28"/>
    <n v="7.99"/>
    <x v="285"/>
  </r>
  <r>
    <s v="SAL-00472"/>
    <x v="61"/>
    <x v="174"/>
    <x v="174"/>
    <s v="Burgers"/>
    <x v="0"/>
    <x v="3"/>
    <x v="4"/>
    <n v="8.99"/>
    <x v="197"/>
  </r>
  <r>
    <s v="SAL-00473"/>
    <x v="61"/>
    <x v="52"/>
    <x v="52"/>
    <s v="Chicken"/>
    <x v="2"/>
    <x v="0"/>
    <x v="40"/>
    <n v="11.99"/>
    <x v="331"/>
  </r>
  <r>
    <s v="SAL-00474"/>
    <x v="61"/>
    <x v="53"/>
    <x v="53"/>
    <s v="Beverages"/>
    <x v="2"/>
    <x v="1"/>
    <x v="31"/>
    <n v="2.99"/>
    <x v="52"/>
  </r>
  <r>
    <s v="SAL-00475"/>
    <x v="61"/>
    <x v="137"/>
    <x v="137"/>
    <s v="Burgers"/>
    <x v="0"/>
    <x v="3"/>
    <x v="30"/>
    <n v="8.99"/>
    <x v="332"/>
  </r>
  <r>
    <s v="SAL-00476"/>
    <x v="62"/>
    <x v="48"/>
    <x v="48"/>
    <s v="Beverages"/>
    <x v="0"/>
    <x v="3"/>
    <x v="15"/>
    <n v="3.99"/>
    <x v="100"/>
  </r>
  <r>
    <s v="SAL-00477"/>
    <x v="62"/>
    <x v="77"/>
    <x v="77"/>
    <s v="Beverages"/>
    <x v="0"/>
    <x v="3"/>
    <x v="29"/>
    <n v="3.99"/>
    <x v="333"/>
  </r>
  <r>
    <s v="SAL-00478"/>
    <x v="62"/>
    <x v="141"/>
    <x v="141"/>
    <s v="Burgers"/>
    <x v="1"/>
    <x v="1"/>
    <x v="9"/>
    <n v="8.49"/>
    <x v="292"/>
  </r>
  <r>
    <s v="SAL-00479"/>
    <x v="62"/>
    <x v="109"/>
    <x v="109"/>
    <s v="Burgers"/>
    <x v="0"/>
    <x v="1"/>
    <x v="21"/>
    <n v="6.49"/>
    <x v="334"/>
  </r>
  <r>
    <s v="SAL-00480"/>
    <x v="62"/>
    <x v="100"/>
    <x v="100"/>
    <s v="Sides"/>
    <x v="0"/>
    <x v="1"/>
    <x v="2"/>
    <n v="3.99"/>
    <x v="132"/>
  </r>
  <r>
    <s v="SAL-00481"/>
    <x v="62"/>
    <x v="53"/>
    <x v="53"/>
    <s v="Beverages"/>
    <x v="1"/>
    <x v="2"/>
    <x v="27"/>
    <n v="2.99"/>
    <x v="40"/>
  </r>
  <r>
    <s v="SAL-00482"/>
    <x v="62"/>
    <x v="134"/>
    <x v="134"/>
    <s v="Beverages"/>
    <x v="0"/>
    <x v="1"/>
    <x v="45"/>
    <n v="2.99"/>
    <x v="203"/>
  </r>
  <r>
    <s v="SAL-00483"/>
    <x v="62"/>
    <x v="150"/>
    <x v="150"/>
    <s v="Desserts"/>
    <x v="1"/>
    <x v="1"/>
    <x v="8"/>
    <n v="5.99"/>
    <x v="115"/>
  </r>
  <r>
    <s v="SAL-00484"/>
    <x v="62"/>
    <x v="62"/>
    <x v="62"/>
    <s v="Combo Meals"/>
    <x v="0"/>
    <x v="0"/>
    <x v="49"/>
    <n v="11.99"/>
    <x v="335"/>
  </r>
  <r>
    <s v="SAL-00485"/>
    <x v="63"/>
    <x v="71"/>
    <x v="71"/>
    <s v="Beverages"/>
    <x v="1"/>
    <x v="2"/>
    <x v="33"/>
    <n v="1.99"/>
    <x v="336"/>
  </r>
  <r>
    <s v="SAL-00486"/>
    <x v="63"/>
    <x v="175"/>
    <x v="175"/>
    <s v="Breakfast"/>
    <x v="2"/>
    <x v="0"/>
    <x v="24"/>
    <n v="4.99"/>
    <x v="337"/>
  </r>
  <r>
    <s v="SAL-00487"/>
    <x v="63"/>
    <x v="28"/>
    <x v="28"/>
    <s v="Chicken"/>
    <x v="0"/>
    <x v="2"/>
    <x v="31"/>
    <n v="7.99"/>
    <x v="338"/>
  </r>
  <r>
    <s v="SAL-00488"/>
    <x v="63"/>
    <x v="59"/>
    <x v="59"/>
    <s v="Chicken"/>
    <x v="1"/>
    <x v="1"/>
    <x v="28"/>
    <n v="7.99"/>
    <x v="285"/>
  </r>
  <r>
    <s v="SAL-00489"/>
    <x v="63"/>
    <x v="2"/>
    <x v="2"/>
    <s v="Chicken"/>
    <x v="1"/>
    <x v="1"/>
    <x v="43"/>
    <n v="6.99"/>
    <x v="339"/>
  </r>
  <r>
    <s v="SAL-00490"/>
    <x v="63"/>
    <x v="45"/>
    <x v="45"/>
    <s v="Combo Meals"/>
    <x v="2"/>
    <x v="1"/>
    <x v="1"/>
    <n v="10.99"/>
    <x v="340"/>
  </r>
  <r>
    <s v="SAL-00491"/>
    <x v="63"/>
    <x v="159"/>
    <x v="159"/>
    <s v="Combo Meals"/>
    <x v="2"/>
    <x v="1"/>
    <x v="24"/>
    <n v="8.99"/>
    <x v="341"/>
  </r>
  <r>
    <s v="SAL-00492"/>
    <x v="64"/>
    <x v="109"/>
    <x v="109"/>
    <s v="Burgers"/>
    <x v="0"/>
    <x v="0"/>
    <x v="16"/>
    <n v="6.49"/>
    <x v="342"/>
  </r>
  <r>
    <s v="SAL-00493"/>
    <x v="64"/>
    <x v="119"/>
    <x v="119"/>
    <s v="Burgers"/>
    <x v="1"/>
    <x v="1"/>
    <x v="28"/>
    <n v="2.99"/>
    <x v="42"/>
  </r>
  <r>
    <s v="SAL-00494"/>
    <x v="64"/>
    <x v="176"/>
    <x v="176"/>
    <s v="Beverages"/>
    <x v="1"/>
    <x v="0"/>
    <x v="2"/>
    <n v="2.99"/>
    <x v="108"/>
  </r>
  <r>
    <s v="SAL-00495"/>
    <x v="65"/>
    <x v="103"/>
    <x v="103"/>
    <s v="Desserts"/>
    <x v="0"/>
    <x v="1"/>
    <x v="34"/>
    <n v="5.99"/>
    <x v="315"/>
  </r>
  <r>
    <s v="SAL-00496"/>
    <x v="65"/>
    <x v="177"/>
    <x v="177"/>
    <s v="Beverages"/>
    <x v="1"/>
    <x v="1"/>
    <x v="19"/>
    <n v="2.4900000000000002"/>
    <x v="343"/>
  </r>
  <r>
    <s v="SAL-00497"/>
    <x v="65"/>
    <x v="29"/>
    <x v="29"/>
    <s v="Breakfast"/>
    <x v="1"/>
    <x v="3"/>
    <x v="37"/>
    <n v="3.99"/>
    <x v="344"/>
  </r>
  <r>
    <s v="SAL-00498"/>
    <x v="65"/>
    <x v="20"/>
    <x v="20"/>
    <s v="Sides"/>
    <x v="0"/>
    <x v="2"/>
    <x v="5"/>
    <n v="4.99"/>
    <x v="345"/>
  </r>
  <r>
    <s v="SAL-00499"/>
    <x v="65"/>
    <x v="94"/>
    <x v="94"/>
    <s v="Chicken"/>
    <x v="2"/>
    <x v="2"/>
    <x v="45"/>
    <n v="7.49"/>
    <x v="346"/>
  </r>
  <r>
    <s v="SAL-00500"/>
    <x v="65"/>
    <x v="52"/>
    <x v="52"/>
    <s v="Chicken"/>
    <x v="1"/>
    <x v="1"/>
    <x v="19"/>
    <n v="11.99"/>
    <x v="347"/>
  </r>
  <r>
    <s v="SAL-00501"/>
    <x v="65"/>
    <x v="172"/>
    <x v="172"/>
    <s v="Combo Meals"/>
    <x v="0"/>
    <x v="3"/>
    <x v="8"/>
    <n v="10.99"/>
    <x v="348"/>
  </r>
  <r>
    <s v="SAL-00502"/>
    <x v="65"/>
    <x v="104"/>
    <x v="104"/>
    <s v="Breakfast"/>
    <x v="0"/>
    <x v="1"/>
    <x v="17"/>
    <n v="6.99"/>
    <x v="181"/>
  </r>
  <r>
    <s v="SAL-00503"/>
    <x v="65"/>
    <x v="83"/>
    <x v="83"/>
    <s v="Sides"/>
    <x v="2"/>
    <x v="0"/>
    <x v="2"/>
    <n v="3.99"/>
    <x v="132"/>
  </r>
  <r>
    <s v="SAL-00504"/>
    <x v="65"/>
    <x v="171"/>
    <x v="171"/>
    <s v="Burgers"/>
    <x v="2"/>
    <x v="2"/>
    <x v="14"/>
    <n v="6.99"/>
    <x v="349"/>
  </r>
  <r>
    <s v="SAL-00505"/>
    <x v="65"/>
    <x v="4"/>
    <x v="4"/>
    <s v="Beverages"/>
    <x v="2"/>
    <x v="1"/>
    <x v="42"/>
    <n v="1.99"/>
    <x v="350"/>
  </r>
  <r>
    <s v="SAL-00506"/>
    <x v="65"/>
    <x v="59"/>
    <x v="59"/>
    <s v="Chicken"/>
    <x v="0"/>
    <x v="0"/>
    <x v="10"/>
    <n v="7.99"/>
    <x v="351"/>
  </r>
  <r>
    <s v="SAL-00507"/>
    <x v="65"/>
    <x v="87"/>
    <x v="87"/>
    <s v="Burgers"/>
    <x v="2"/>
    <x v="0"/>
    <x v="43"/>
    <n v="6.99"/>
    <x v="339"/>
  </r>
  <r>
    <s v="SAL-00508"/>
    <x v="65"/>
    <x v="73"/>
    <x v="73"/>
    <s v="Beverages"/>
    <x v="0"/>
    <x v="1"/>
    <x v="46"/>
    <n v="2.4900000000000002"/>
    <x v="352"/>
  </r>
  <r>
    <s v="SAL-00509"/>
    <x v="65"/>
    <x v="117"/>
    <x v="117"/>
    <s v="Burgers"/>
    <x v="1"/>
    <x v="2"/>
    <x v="20"/>
    <n v="6.99"/>
    <x v="353"/>
  </r>
  <r>
    <s v="SAL-00510"/>
    <x v="65"/>
    <x v="126"/>
    <x v="126"/>
    <s v="Beverages"/>
    <x v="0"/>
    <x v="2"/>
    <x v="32"/>
    <n v="2.99"/>
    <x v="55"/>
  </r>
  <r>
    <s v="SAL-00511"/>
    <x v="65"/>
    <x v="178"/>
    <x v="178"/>
    <s v="Chicken"/>
    <x v="2"/>
    <x v="3"/>
    <x v="41"/>
    <n v="7.49"/>
    <x v="354"/>
  </r>
  <r>
    <s v="SAL-00512"/>
    <x v="66"/>
    <x v="69"/>
    <x v="69"/>
    <s v="Salads"/>
    <x v="0"/>
    <x v="3"/>
    <x v="43"/>
    <n v="9.49"/>
    <x v="355"/>
  </r>
  <r>
    <s v="SAL-00513"/>
    <x v="66"/>
    <x v="152"/>
    <x v="152"/>
    <s v="Chicken"/>
    <x v="0"/>
    <x v="1"/>
    <x v="49"/>
    <n v="7.49"/>
    <x v="356"/>
  </r>
  <r>
    <s v="SAL-00514"/>
    <x v="66"/>
    <x v="114"/>
    <x v="114"/>
    <s v="Burgers"/>
    <x v="2"/>
    <x v="1"/>
    <x v="31"/>
    <n v="7.99"/>
    <x v="338"/>
  </r>
  <r>
    <s v="SAL-00515"/>
    <x v="66"/>
    <x v="179"/>
    <x v="179"/>
    <s v="Chicken"/>
    <x v="2"/>
    <x v="1"/>
    <x v="22"/>
    <n v="7.99"/>
    <x v="357"/>
  </r>
  <r>
    <s v="SAL-00516"/>
    <x v="66"/>
    <x v="180"/>
    <x v="180"/>
    <s v="Chicken"/>
    <x v="2"/>
    <x v="1"/>
    <x v="11"/>
    <n v="4.99"/>
    <x v="295"/>
  </r>
  <r>
    <s v="SAL-00517"/>
    <x v="66"/>
    <x v="129"/>
    <x v="129"/>
    <s v="Desserts"/>
    <x v="2"/>
    <x v="1"/>
    <x v="42"/>
    <n v="1.49"/>
    <x v="358"/>
  </r>
  <r>
    <s v="SAL-00518"/>
    <x v="66"/>
    <x v="181"/>
    <x v="181"/>
    <s v="Sides"/>
    <x v="2"/>
    <x v="2"/>
    <x v="34"/>
    <n v="3.49"/>
    <x v="359"/>
  </r>
  <r>
    <s v="SAL-00519"/>
    <x v="66"/>
    <x v="56"/>
    <x v="56"/>
    <s v="Beverages"/>
    <x v="2"/>
    <x v="1"/>
    <x v="9"/>
    <n v="2.99"/>
    <x v="261"/>
  </r>
  <r>
    <s v="SAL-00520"/>
    <x v="66"/>
    <x v="39"/>
    <x v="39"/>
    <s v="Chicken"/>
    <x v="1"/>
    <x v="1"/>
    <x v="10"/>
    <n v="8.99"/>
    <x v="360"/>
  </r>
  <r>
    <s v="SAL-00521"/>
    <x v="66"/>
    <x v="11"/>
    <x v="11"/>
    <s v="Desserts"/>
    <x v="1"/>
    <x v="1"/>
    <x v="35"/>
    <n v="5.99"/>
    <x v="361"/>
  </r>
  <r>
    <s v="SAL-00522"/>
    <x v="66"/>
    <x v="36"/>
    <x v="36"/>
    <s v="Chicken"/>
    <x v="0"/>
    <x v="1"/>
    <x v="6"/>
    <n v="2.99"/>
    <x v="313"/>
  </r>
  <r>
    <s v="SAL-00523"/>
    <x v="66"/>
    <x v="27"/>
    <x v="27"/>
    <s v="Beverages"/>
    <x v="0"/>
    <x v="1"/>
    <x v="50"/>
    <n v="3.99"/>
    <x v="193"/>
  </r>
  <r>
    <s v="SAL-00524"/>
    <x v="66"/>
    <x v="171"/>
    <x v="171"/>
    <s v="Burgers"/>
    <x v="0"/>
    <x v="2"/>
    <x v="15"/>
    <n v="6.99"/>
    <x v="169"/>
  </r>
  <r>
    <s v="SAL-00525"/>
    <x v="67"/>
    <x v="31"/>
    <x v="31"/>
    <s v="Beverages"/>
    <x v="2"/>
    <x v="1"/>
    <x v="33"/>
    <n v="3.99"/>
    <x v="362"/>
  </r>
  <r>
    <s v="SAL-00526"/>
    <x v="67"/>
    <x v="36"/>
    <x v="36"/>
    <s v="Chicken"/>
    <x v="0"/>
    <x v="1"/>
    <x v="15"/>
    <n v="2.99"/>
    <x v="363"/>
  </r>
  <r>
    <s v="SAL-00527"/>
    <x v="67"/>
    <x v="121"/>
    <x v="121"/>
    <s v="Beverages"/>
    <x v="0"/>
    <x v="3"/>
    <x v="30"/>
    <n v="1.99"/>
    <x v="364"/>
  </r>
  <r>
    <s v="SAL-00528"/>
    <x v="67"/>
    <x v="154"/>
    <x v="154"/>
    <s v="Kids Meals"/>
    <x v="2"/>
    <x v="1"/>
    <x v="15"/>
    <n v="6.49"/>
    <x v="365"/>
  </r>
  <r>
    <s v="SAL-00529"/>
    <x v="67"/>
    <x v="171"/>
    <x v="171"/>
    <s v="Burgers"/>
    <x v="1"/>
    <x v="3"/>
    <x v="17"/>
    <n v="6.99"/>
    <x v="181"/>
  </r>
  <r>
    <s v="SAL-00530"/>
    <x v="67"/>
    <x v="46"/>
    <x v="46"/>
    <s v="Beverages"/>
    <x v="1"/>
    <x v="1"/>
    <x v="21"/>
    <n v="2.99"/>
    <x v="24"/>
  </r>
  <r>
    <s v="SAL-00531"/>
    <x v="68"/>
    <x v="73"/>
    <x v="73"/>
    <s v="Beverages"/>
    <x v="0"/>
    <x v="2"/>
    <x v="10"/>
    <n v="2.4900000000000002"/>
    <x v="366"/>
  </r>
  <r>
    <s v="SAL-00532"/>
    <x v="68"/>
    <x v="28"/>
    <x v="28"/>
    <s v="Chicken"/>
    <x v="1"/>
    <x v="3"/>
    <x v="19"/>
    <n v="7.99"/>
    <x v="291"/>
  </r>
  <r>
    <s v="SAL-00533"/>
    <x v="68"/>
    <x v="181"/>
    <x v="181"/>
    <s v="Sides"/>
    <x v="0"/>
    <x v="1"/>
    <x v="12"/>
    <n v="3.49"/>
    <x v="367"/>
  </r>
  <r>
    <s v="SAL-00534"/>
    <x v="68"/>
    <x v="181"/>
    <x v="181"/>
    <s v="Sides"/>
    <x v="2"/>
    <x v="1"/>
    <x v="31"/>
    <n v="3.49"/>
    <x v="368"/>
  </r>
  <r>
    <s v="SAL-00535"/>
    <x v="68"/>
    <x v="138"/>
    <x v="138"/>
    <s v="Breakfast"/>
    <x v="0"/>
    <x v="2"/>
    <x v="42"/>
    <n v="2.99"/>
    <x v="90"/>
  </r>
  <r>
    <s v="SAL-00536"/>
    <x v="68"/>
    <x v="28"/>
    <x v="28"/>
    <s v="Chicken"/>
    <x v="1"/>
    <x v="0"/>
    <x v="43"/>
    <n v="7.99"/>
    <x v="369"/>
  </r>
  <r>
    <s v="SAL-00537"/>
    <x v="68"/>
    <x v="168"/>
    <x v="168"/>
    <s v="Breakfast"/>
    <x v="2"/>
    <x v="1"/>
    <x v="25"/>
    <n v="2.4900000000000002"/>
    <x v="370"/>
  </r>
  <r>
    <s v="SAL-00538"/>
    <x v="68"/>
    <x v="30"/>
    <x v="30"/>
    <s v="Desserts"/>
    <x v="1"/>
    <x v="1"/>
    <x v="12"/>
    <n v="1.49"/>
    <x v="371"/>
  </r>
  <r>
    <s v="SAL-00539"/>
    <x v="68"/>
    <x v="51"/>
    <x v="51"/>
    <s v="Combo Meals"/>
    <x v="2"/>
    <x v="3"/>
    <x v="11"/>
    <n v="12.99"/>
    <x v="372"/>
  </r>
  <r>
    <s v="SAL-00540"/>
    <x v="68"/>
    <x v="9"/>
    <x v="9"/>
    <s v="Burgers"/>
    <x v="1"/>
    <x v="1"/>
    <x v="11"/>
    <n v="9.99"/>
    <x v="373"/>
  </r>
  <r>
    <s v="SAL-00541"/>
    <x v="69"/>
    <x v="46"/>
    <x v="46"/>
    <s v="Beverages"/>
    <x v="2"/>
    <x v="2"/>
    <x v="25"/>
    <n v="2.99"/>
    <x v="374"/>
  </r>
  <r>
    <s v="SAL-00542"/>
    <x v="69"/>
    <x v="28"/>
    <x v="28"/>
    <s v="Chicken"/>
    <x v="1"/>
    <x v="1"/>
    <x v="17"/>
    <n v="7.99"/>
    <x v="375"/>
  </r>
  <r>
    <s v="SAL-00543"/>
    <x v="69"/>
    <x v="146"/>
    <x v="146"/>
    <s v="Breakfast"/>
    <x v="0"/>
    <x v="1"/>
    <x v="34"/>
    <n v="4.99"/>
    <x v="376"/>
  </r>
  <r>
    <s v="SAL-00544"/>
    <x v="69"/>
    <x v="155"/>
    <x v="155"/>
    <s v="Breakfast"/>
    <x v="1"/>
    <x v="1"/>
    <x v="37"/>
    <n v="4.99"/>
    <x v="284"/>
  </r>
  <r>
    <s v="SAL-00545"/>
    <x v="69"/>
    <x v="143"/>
    <x v="143"/>
    <s v="Burgers"/>
    <x v="0"/>
    <x v="1"/>
    <x v="9"/>
    <n v="8.49"/>
    <x v="292"/>
  </r>
  <r>
    <s v="SAL-00546"/>
    <x v="69"/>
    <x v="26"/>
    <x v="26"/>
    <s v="Beverages"/>
    <x v="0"/>
    <x v="2"/>
    <x v="30"/>
    <n v="2.99"/>
    <x v="145"/>
  </r>
  <r>
    <s v="SAL-00547"/>
    <x v="69"/>
    <x v="72"/>
    <x v="72"/>
    <s v="Burgers"/>
    <x v="2"/>
    <x v="2"/>
    <x v="22"/>
    <n v="6.99"/>
    <x v="377"/>
  </r>
  <r>
    <s v="SAL-00548"/>
    <x v="70"/>
    <x v="90"/>
    <x v="90"/>
    <s v="Burgers"/>
    <x v="1"/>
    <x v="3"/>
    <x v="21"/>
    <n v="8.99"/>
    <x v="378"/>
  </r>
  <r>
    <s v="SAL-00549"/>
    <x v="70"/>
    <x v="63"/>
    <x v="63"/>
    <s v="Burgers"/>
    <x v="0"/>
    <x v="1"/>
    <x v="43"/>
    <n v="6.49"/>
    <x v="379"/>
  </r>
  <r>
    <s v="SAL-00550"/>
    <x v="70"/>
    <x v="53"/>
    <x v="53"/>
    <s v="Beverages"/>
    <x v="2"/>
    <x v="0"/>
    <x v="1"/>
    <n v="2.99"/>
    <x v="308"/>
  </r>
  <r>
    <s v="SAL-00551"/>
    <x v="70"/>
    <x v="28"/>
    <x v="28"/>
    <s v="Chicken"/>
    <x v="0"/>
    <x v="2"/>
    <x v="5"/>
    <n v="7.99"/>
    <x v="151"/>
  </r>
  <r>
    <s v="SAL-00552"/>
    <x v="70"/>
    <x v="157"/>
    <x v="157"/>
    <s v="Beverages"/>
    <x v="0"/>
    <x v="1"/>
    <x v="26"/>
    <n v="3.99"/>
    <x v="92"/>
  </r>
  <r>
    <s v="SAL-00553"/>
    <x v="70"/>
    <x v="33"/>
    <x v="33"/>
    <s v="Burgers"/>
    <x v="1"/>
    <x v="1"/>
    <x v="28"/>
    <n v="6.99"/>
    <x v="305"/>
  </r>
  <r>
    <s v="SAL-00554"/>
    <x v="70"/>
    <x v="106"/>
    <x v="106"/>
    <s v="Sides"/>
    <x v="1"/>
    <x v="1"/>
    <x v="9"/>
    <n v="4.99"/>
    <x v="380"/>
  </r>
  <r>
    <s v="SAL-00555"/>
    <x v="70"/>
    <x v="40"/>
    <x v="40"/>
    <s v="Beverages"/>
    <x v="2"/>
    <x v="1"/>
    <x v="27"/>
    <n v="2.99"/>
    <x v="40"/>
  </r>
  <r>
    <s v="SAL-00556"/>
    <x v="70"/>
    <x v="123"/>
    <x v="123"/>
    <s v="Burgers"/>
    <x v="0"/>
    <x v="2"/>
    <x v="37"/>
    <n v="5.99"/>
    <x v="271"/>
  </r>
  <r>
    <s v="SAL-00557"/>
    <x v="70"/>
    <x v="64"/>
    <x v="64"/>
    <s v="Sides"/>
    <x v="0"/>
    <x v="1"/>
    <x v="15"/>
    <n v="3.99"/>
    <x v="100"/>
  </r>
  <r>
    <s v="SAL-00558"/>
    <x v="71"/>
    <x v="117"/>
    <x v="117"/>
    <s v="Burgers"/>
    <x v="0"/>
    <x v="0"/>
    <x v="21"/>
    <n v="6.99"/>
    <x v="381"/>
  </r>
  <r>
    <s v="SAL-00559"/>
    <x v="71"/>
    <x v="173"/>
    <x v="173"/>
    <s v="Desserts"/>
    <x v="2"/>
    <x v="2"/>
    <x v="17"/>
    <n v="2.99"/>
    <x v="96"/>
  </r>
  <r>
    <s v="SAL-00560"/>
    <x v="71"/>
    <x v="35"/>
    <x v="35"/>
    <s v="Desserts"/>
    <x v="0"/>
    <x v="1"/>
    <x v="29"/>
    <n v="4.99"/>
    <x v="382"/>
  </r>
  <r>
    <s v="SAL-00561"/>
    <x v="71"/>
    <x v="90"/>
    <x v="90"/>
    <s v="Burgers"/>
    <x v="2"/>
    <x v="3"/>
    <x v="41"/>
    <n v="8.99"/>
    <x v="383"/>
  </r>
  <r>
    <s v="SAL-00562"/>
    <x v="71"/>
    <x v="100"/>
    <x v="100"/>
    <s v="Sides"/>
    <x v="0"/>
    <x v="1"/>
    <x v="35"/>
    <n v="3.99"/>
    <x v="384"/>
  </r>
  <r>
    <s v="SAL-00563"/>
    <x v="71"/>
    <x v="19"/>
    <x v="19"/>
    <s v="Sides"/>
    <x v="0"/>
    <x v="3"/>
    <x v="28"/>
    <n v="2.99"/>
    <x v="42"/>
  </r>
  <r>
    <s v="SAL-00564"/>
    <x v="71"/>
    <x v="95"/>
    <x v="95"/>
    <s v="Beverages"/>
    <x v="0"/>
    <x v="1"/>
    <x v="44"/>
    <n v="3.99"/>
    <x v="385"/>
  </r>
  <r>
    <s v="SAL-00565"/>
    <x v="72"/>
    <x v="72"/>
    <x v="72"/>
    <s v="Burgers"/>
    <x v="1"/>
    <x v="1"/>
    <x v="44"/>
    <n v="6.99"/>
    <x v="302"/>
  </r>
  <r>
    <s v="SAL-00566"/>
    <x v="72"/>
    <x v="23"/>
    <x v="23"/>
    <s v="Burgers"/>
    <x v="2"/>
    <x v="1"/>
    <x v="46"/>
    <n v="10.99"/>
    <x v="386"/>
  </r>
  <r>
    <s v="SAL-00567"/>
    <x v="72"/>
    <x v="137"/>
    <x v="137"/>
    <s v="Burgers"/>
    <x v="0"/>
    <x v="0"/>
    <x v="13"/>
    <n v="8.99"/>
    <x v="239"/>
  </r>
  <r>
    <s v="SAL-00568"/>
    <x v="72"/>
    <x v="73"/>
    <x v="73"/>
    <s v="Beverages"/>
    <x v="2"/>
    <x v="2"/>
    <x v="15"/>
    <n v="2.4900000000000002"/>
    <x v="387"/>
  </r>
  <r>
    <s v="SAL-00569"/>
    <x v="72"/>
    <x v="181"/>
    <x v="181"/>
    <s v="Sides"/>
    <x v="2"/>
    <x v="1"/>
    <x v="42"/>
    <n v="3.49"/>
    <x v="388"/>
  </r>
  <r>
    <s v="SAL-00570"/>
    <x v="72"/>
    <x v="179"/>
    <x v="179"/>
    <s v="Chicken"/>
    <x v="0"/>
    <x v="0"/>
    <x v="42"/>
    <n v="7.99"/>
    <x v="389"/>
  </r>
  <r>
    <s v="SAL-00571"/>
    <x v="73"/>
    <x v="84"/>
    <x v="84"/>
    <s v="Chicken"/>
    <x v="2"/>
    <x v="2"/>
    <x v="9"/>
    <n v="6.99"/>
    <x v="216"/>
  </r>
  <r>
    <s v="SAL-00572"/>
    <x v="73"/>
    <x v="101"/>
    <x v="101"/>
    <s v="Beverages"/>
    <x v="2"/>
    <x v="1"/>
    <x v="10"/>
    <n v="1.99"/>
    <x v="390"/>
  </r>
  <r>
    <s v="SAL-00573"/>
    <x v="73"/>
    <x v="113"/>
    <x v="113"/>
    <s v="Salads"/>
    <x v="2"/>
    <x v="1"/>
    <x v="1"/>
    <n v="6.99"/>
    <x v="391"/>
  </r>
  <r>
    <s v="SAL-00574"/>
    <x v="73"/>
    <x v="182"/>
    <x v="182"/>
    <s v="Kids Meals"/>
    <x v="1"/>
    <x v="1"/>
    <x v="25"/>
    <n v="5.99"/>
    <x v="392"/>
  </r>
  <r>
    <s v="SAL-00575"/>
    <x v="73"/>
    <x v="77"/>
    <x v="77"/>
    <s v="Beverages"/>
    <x v="2"/>
    <x v="0"/>
    <x v="44"/>
    <n v="3.99"/>
    <x v="385"/>
  </r>
  <r>
    <s v="SAL-00576"/>
    <x v="73"/>
    <x v="111"/>
    <x v="111"/>
    <s v="Desserts"/>
    <x v="2"/>
    <x v="1"/>
    <x v="46"/>
    <n v="4.99"/>
    <x v="185"/>
  </r>
  <r>
    <s v="SAL-00577"/>
    <x v="73"/>
    <x v="109"/>
    <x v="109"/>
    <s v="Burgers"/>
    <x v="0"/>
    <x v="0"/>
    <x v="38"/>
    <n v="6.49"/>
    <x v="139"/>
  </r>
  <r>
    <s v="SAL-00578"/>
    <x v="74"/>
    <x v="9"/>
    <x v="9"/>
    <s v="Burgers"/>
    <x v="1"/>
    <x v="3"/>
    <x v="27"/>
    <n v="9.99"/>
    <x v="393"/>
  </r>
  <r>
    <s v="SAL-00579"/>
    <x v="74"/>
    <x v="170"/>
    <x v="170"/>
    <s v="Desserts"/>
    <x v="0"/>
    <x v="1"/>
    <x v="15"/>
    <n v="4.49"/>
    <x v="394"/>
  </r>
  <r>
    <s v="SAL-00580"/>
    <x v="74"/>
    <x v="136"/>
    <x v="136"/>
    <s v="Breakfast"/>
    <x v="1"/>
    <x v="1"/>
    <x v="47"/>
    <n v="4.99"/>
    <x v="395"/>
  </r>
  <r>
    <s v="SAL-00581"/>
    <x v="74"/>
    <x v="41"/>
    <x v="41"/>
    <s v="Chicken"/>
    <x v="0"/>
    <x v="1"/>
    <x v="15"/>
    <n v="4.99"/>
    <x v="253"/>
  </r>
  <r>
    <s v="SAL-00582"/>
    <x v="74"/>
    <x v="52"/>
    <x v="52"/>
    <s v="Chicken"/>
    <x v="2"/>
    <x v="1"/>
    <x v="1"/>
    <n v="11.99"/>
    <x v="396"/>
  </r>
  <r>
    <s v="SAL-00583"/>
    <x v="74"/>
    <x v="141"/>
    <x v="141"/>
    <s v="Burgers"/>
    <x v="2"/>
    <x v="1"/>
    <x v="42"/>
    <n v="8.49"/>
    <x v="397"/>
  </r>
  <r>
    <s v="SAL-00584"/>
    <x v="74"/>
    <x v="19"/>
    <x v="19"/>
    <s v="Sides"/>
    <x v="0"/>
    <x v="2"/>
    <x v="18"/>
    <n v="2.99"/>
    <x v="21"/>
  </r>
  <r>
    <s v="SAL-00585"/>
    <x v="74"/>
    <x v="153"/>
    <x v="153"/>
    <s v="Breakfast"/>
    <x v="0"/>
    <x v="1"/>
    <x v="8"/>
    <n v="4.99"/>
    <x v="110"/>
  </r>
  <r>
    <s v="SAL-00586"/>
    <x v="74"/>
    <x v="96"/>
    <x v="96"/>
    <s v="Breakfast"/>
    <x v="0"/>
    <x v="1"/>
    <x v="44"/>
    <n v="4.99"/>
    <x v="137"/>
  </r>
  <r>
    <s v="SAL-00587"/>
    <x v="74"/>
    <x v="166"/>
    <x v="166"/>
    <s v="Beverages"/>
    <x v="2"/>
    <x v="1"/>
    <x v="13"/>
    <n v="2.4900000000000002"/>
    <x v="398"/>
  </r>
  <r>
    <s v="SAL-00588"/>
    <x v="74"/>
    <x v="142"/>
    <x v="142"/>
    <s v="Breakfast"/>
    <x v="0"/>
    <x v="1"/>
    <x v="16"/>
    <n v="3.99"/>
    <x v="399"/>
  </r>
  <r>
    <s v="SAL-00589"/>
    <x v="74"/>
    <x v="65"/>
    <x v="65"/>
    <s v="Desserts"/>
    <x v="1"/>
    <x v="2"/>
    <x v="40"/>
    <n v="3.49"/>
    <x v="196"/>
  </r>
  <r>
    <s v="SAL-00590"/>
    <x v="75"/>
    <x v="179"/>
    <x v="179"/>
    <s v="Chicken"/>
    <x v="0"/>
    <x v="1"/>
    <x v="28"/>
    <n v="7.99"/>
    <x v="285"/>
  </r>
  <r>
    <s v="SAL-00591"/>
    <x v="75"/>
    <x v="2"/>
    <x v="2"/>
    <s v="Chicken"/>
    <x v="2"/>
    <x v="2"/>
    <x v="16"/>
    <n v="6.99"/>
    <x v="400"/>
  </r>
  <r>
    <s v="SAL-00592"/>
    <x v="75"/>
    <x v="15"/>
    <x v="15"/>
    <s v="Burgers"/>
    <x v="0"/>
    <x v="1"/>
    <x v="14"/>
    <n v="5.99"/>
    <x v="16"/>
  </r>
  <r>
    <s v="SAL-00593"/>
    <x v="75"/>
    <x v="137"/>
    <x v="137"/>
    <s v="Burgers"/>
    <x v="1"/>
    <x v="1"/>
    <x v="3"/>
    <n v="8.99"/>
    <x v="401"/>
  </r>
  <r>
    <s v="SAL-00594"/>
    <x v="75"/>
    <x v="103"/>
    <x v="103"/>
    <s v="Desserts"/>
    <x v="0"/>
    <x v="2"/>
    <x v="13"/>
    <n v="5.99"/>
    <x v="166"/>
  </r>
  <r>
    <s v="SAL-00595"/>
    <x v="75"/>
    <x v="24"/>
    <x v="24"/>
    <s v="Combo Meals"/>
    <x v="0"/>
    <x v="1"/>
    <x v="29"/>
    <n v="10.99"/>
    <x v="402"/>
  </r>
  <r>
    <s v="SAL-00596"/>
    <x v="76"/>
    <x v="183"/>
    <x v="183"/>
    <s v="Salads"/>
    <x v="2"/>
    <x v="1"/>
    <x v="2"/>
    <n v="8.99"/>
    <x v="205"/>
  </r>
  <r>
    <s v="SAL-00597"/>
    <x v="76"/>
    <x v="47"/>
    <x v="47"/>
    <s v="Burgers"/>
    <x v="2"/>
    <x v="0"/>
    <x v="6"/>
    <n v="2.99"/>
    <x v="313"/>
  </r>
  <r>
    <s v="SAL-00598"/>
    <x v="76"/>
    <x v="161"/>
    <x v="161"/>
    <s v="Breakfast"/>
    <x v="0"/>
    <x v="1"/>
    <x v="50"/>
    <n v="5.99"/>
    <x v="403"/>
  </r>
  <r>
    <s v="SAL-00599"/>
    <x v="76"/>
    <x v="66"/>
    <x v="66"/>
    <s v="Sides"/>
    <x v="2"/>
    <x v="2"/>
    <x v="5"/>
    <n v="4.49"/>
    <x v="404"/>
  </r>
  <r>
    <s v="SAL-00600"/>
    <x v="76"/>
    <x v="110"/>
    <x v="110"/>
    <s v="Chicken"/>
    <x v="1"/>
    <x v="0"/>
    <x v="32"/>
    <n v="6.99"/>
    <x v="142"/>
  </r>
  <r>
    <s v="SAL-00601"/>
    <x v="77"/>
    <x v="14"/>
    <x v="14"/>
    <s v="Combo Meals"/>
    <x v="0"/>
    <x v="2"/>
    <x v="44"/>
    <n v="7.99"/>
    <x v="405"/>
  </r>
  <r>
    <s v="SAL-00602"/>
    <x v="77"/>
    <x v="52"/>
    <x v="52"/>
    <s v="Chicken"/>
    <x v="0"/>
    <x v="0"/>
    <x v="0"/>
    <n v="11.99"/>
    <x v="406"/>
  </r>
  <r>
    <s v="SAL-00603"/>
    <x v="77"/>
    <x v="27"/>
    <x v="27"/>
    <s v="Beverages"/>
    <x v="0"/>
    <x v="2"/>
    <x v="27"/>
    <n v="3.99"/>
    <x v="407"/>
  </r>
  <r>
    <s v="SAL-00604"/>
    <x v="77"/>
    <x v="52"/>
    <x v="52"/>
    <s v="Chicken"/>
    <x v="2"/>
    <x v="2"/>
    <x v="12"/>
    <n v="11.99"/>
    <x v="408"/>
  </r>
  <r>
    <s v="SAL-00605"/>
    <x v="77"/>
    <x v="141"/>
    <x v="141"/>
    <s v="Burgers"/>
    <x v="0"/>
    <x v="3"/>
    <x v="41"/>
    <n v="8.49"/>
    <x v="409"/>
  </r>
  <r>
    <s v="SAL-00606"/>
    <x v="77"/>
    <x v="40"/>
    <x v="40"/>
    <s v="Beverages"/>
    <x v="0"/>
    <x v="0"/>
    <x v="9"/>
    <n v="2.99"/>
    <x v="261"/>
  </r>
  <r>
    <s v="SAL-00607"/>
    <x v="77"/>
    <x v="67"/>
    <x v="67"/>
    <s v="Burgers"/>
    <x v="2"/>
    <x v="1"/>
    <x v="47"/>
    <n v="3.99"/>
    <x v="241"/>
  </r>
  <r>
    <s v="SAL-00608"/>
    <x v="77"/>
    <x v="163"/>
    <x v="163"/>
    <s v="Burgers"/>
    <x v="2"/>
    <x v="3"/>
    <x v="16"/>
    <n v="7.99"/>
    <x v="410"/>
  </r>
  <r>
    <s v="SAL-00609"/>
    <x v="77"/>
    <x v="176"/>
    <x v="176"/>
    <s v="Beverages"/>
    <x v="0"/>
    <x v="1"/>
    <x v="6"/>
    <n v="2.99"/>
    <x v="313"/>
  </r>
  <r>
    <s v="SAL-00610"/>
    <x v="77"/>
    <x v="46"/>
    <x v="46"/>
    <s v="Beverages"/>
    <x v="0"/>
    <x v="2"/>
    <x v="22"/>
    <n v="2.99"/>
    <x v="266"/>
  </r>
  <r>
    <s v="SAL-00611"/>
    <x v="78"/>
    <x v="46"/>
    <x v="46"/>
    <s v="Beverages"/>
    <x v="0"/>
    <x v="1"/>
    <x v="22"/>
    <n v="2.99"/>
    <x v="266"/>
  </r>
  <r>
    <s v="SAL-00612"/>
    <x v="78"/>
    <x v="166"/>
    <x v="166"/>
    <s v="Beverages"/>
    <x v="0"/>
    <x v="1"/>
    <x v="43"/>
    <n v="2.4900000000000002"/>
    <x v="411"/>
  </r>
  <r>
    <s v="SAL-00613"/>
    <x v="78"/>
    <x v="6"/>
    <x v="6"/>
    <s v="Breakfast"/>
    <x v="2"/>
    <x v="1"/>
    <x v="4"/>
    <n v="3.99"/>
    <x v="6"/>
  </r>
  <r>
    <s v="SAL-00614"/>
    <x v="78"/>
    <x v="13"/>
    <x v="13"/>
    <s v="Beverages"/>
    <x v="1"/>
    <x v="1"/>
    <x v="5"/>
    <n v="2.99"/>
    <x v="412"/>
  </r>
  <r>
    <s v="SAL-00615"/>
    <x v="78"/>
    <x v="7"/>
    <x v="7"/>
    <s v="Sauces &amp; Add-ons"/>
    <x v="1"/>
    <x v="1"/>
    <x v="42"/>
    <n v="0.5"/>
    <x v="413"/>
  </r>
  <r>
    <s v="SAL-00616"/>
    <x v="78"/>
    <x v="103"/>
    <x v="103"/>
    <s v="Desserts"/>
    <x v="1"/>
    <x v="2"/>
    <x v="46"/>
    <n v="5.99"/>
    <x v="125"/>
  </r>
  <r>
    <s v="SAL-00617"/>
    <x v="78"/>
    <x v="69"/>
    <x v="69"/>
    <s v="Salads"/>
    <x v="0"/>
    <x v="2"/>
    <x v="46"/>
    <n v="9.49"/>
    <x v="414"/>
  </r>
  <r>
    <s v="SAL-00618"/>
    <x v="78"/>
    <x v="184"/>
    <x v="184"/>
    <s v="Beverages"/>
    <x v="1"/>
    <x v="1"/>
    <x v="14"/>
    <n v="2.99"/>
    <x v="76"/>
  </r>
  <r>
    <s v="SAL-00619"/>
    <x v="78"/>
    <x v="67"/>
    <x v="67"/>
    <s v="Burgers"/>
    <x v="2"/>
    <x v="2"/>
    <x v="49"/>
    <n v="3.99"/>
    <x v="415"/>
  </r>
  <r>
    <s v="SAL-00620"/>
    <x v="79"/>
    <x v="137"/>
    <x v="137"/>
    <s v="Burgers"/>
    <x v="1"/>
    <x v="1"/>
    <x v="27"/>
    <n v="8.99"/>
    <x v="119"/>
  </r>
  <r>
    <s v="SAL-00621"/>
    <x v="79"/>
    <x v="11"/>
    <x v="11"/>
    <s v="Desserts"/>
    <x v="2"/>
    <x v="1"/>
    <x v="11"/>
    <n v="5.99"/>
    <x v="265"/>
  </r>
  <r>
    <s v="SAL-00622"/>
    <x v="79"/>
    <x v="126"/>
    <x v="126"/>
    <s v="Beverages"/>
    <x v="2"/>
    <x v="1"/>
    <x v="36"/>
    <n v="2.99"/>
    <x v="111"/>
  </r>
  <r>
    <s v="SAL-00623"/>
    <x v="79"/>
    <x v="83"/>
    <x v="83"/>
    <s v="Sides"/>
    <x v="0"/>
    <x v="3"/>
    <x v="16"/>
    <n v="3.99"/>
    <x v="399"/>
  </r>
  <r>
    <s v="SAL-00624"/>
    <x v="79"/>
    <x v="16"/>
    <x v="16"/>
    <s v="Burgers"/>
    <x v="0"/>
    <x v="3"/>
    <x v="15"/>
    <n v="8.99"/>
    <x v="17"/>
  </r>
  <r>
    <s v="SAL-00625"/>
    <x v="79"/>
    <x v="27"/>
    <x v="27"/>
    <s v="Beverages"/>
    <x v="0"/>
    <x v="1"/>
    <x v="50"/>
    <n v="3.99"/>
    <x v="193"/>
  </r>
  <r>
    <s v="SAL-00626"/>
    <x v="80"/>
    <x v="160"/>
    <x v="160"/>
    <s v="Salads"/>
    <x v="0"/>
    <x v="1"/>
    <x v="23"/>
    <n v="9.49"/>
    <x v="416"/>
  </r>
  <r>
    <s v="SAL-00627"/>
    <x v="80"/>
    <x v="64"/>
    <x v="64"/>
    <s v="Sides"/>
    <x v="1"/>
    <x v="2"/>
    <x v="4"/>
    <n v="3.99"/>
    <x v="6"/>
  </r>
  <r>
    <s v="SAL-00628"/>
    <x v="80"/>
    <x v="185"/>
    <x v="185"/>
    <s v="Salads"/>
    <x v="0"/>
    <x v="1"/>
    <x v="11"/>
    <n v="8.99"/>
    <x v="417"/>
  </r>
  <r>
    <s v="SAL-00629"/>
    <x v="80"/>
    <x v="49"/>
    <x v="49"/>
    <s v="Beverages"/>
    <x v="2"/>
    <x v="1"/>
    <x v="24"/>
    <n v="2.99"/>
    <x v="49"/>
  </r>
  <r>
    <s v="SAL-00630"/>
    <x v="80"/>
    <x v="103"/>
    <x v="103"/>
    <s v="Desserts"/>
    <x v="0"/>
    <x v="1"/>
    <x v="37"/>
    <n v="5.99"/>
    <x v="271"/>
  </r>
  <r>
    <s v="SAL-00631"/>
    <x v="80"/>
    <x v="60"/>
    <x v="60"/>
    <s v="Burgers"/>
    <x v="2"/>
    <x v="1"/>
    <x v="6"/>
    <n v="6.99"/>
    <x v="209"/>
  </r>
  <r>
    <s v="SAL-00632"/>
    <x v="80"/>
    <x v="178"/>
    <x v="178"/>
    <s v="Chicken"/>
    <x v="1"/>
    <x v="1"/>
    <x v="29"/>
    <n v="7.49"/>
    <x v="306"/>
  </r>
  <r>
    <s v="SAL-00633"/>
    <x v="81"/>
    <x v="141"/>
    <x v="141"/>
    <s v="Burgers"/>
    <x v="1"/>
    <x v="2"/>
    <x v="15"/>
    <n v="8.49"/>
    <x v="418"/>
  </r>
  <r>
    <s v="SAL-00634"/>
    <x v="81"/>
    <x v="60"/>
    <x v="60"/>
    <s v="Burgers"/>
    <x v="0"/>
    <x v="3"/>
    <x v="3"/>
    <n v="6.99"/>
    <x v="419"/>
  </r>
  <r>
    <s v="SAL-00635"/>
    <x v="81"/>
    <x v="168"/>
    <x v="168"/>
    <s v="Breakfast"/>
    <x v="0"/>
    <x v="1"/>
    <x v="17"/>
    <n v="2.4900000000000002"/>
    <x v="420"/>
  </r>
  <r>
    <s v="SAL-00636"/>
    <x v="81"/>
    <x v="176"/>
    <x v="176"/>
    <s v="Beverages"/>
    <x v="0"/>
    <x v="1"/>
    <x v="37"/>
    <n v="2.99"/>
    <x v="104"/>
  </r>
  <r>
    <s v="SAL-00637"/>
    <x v="81"/>
    <x v="186"/>
    <x v="186"/>
    <s v="Chicken"/>
    <x v="1"/>
    <x v="2"/>
    <x v="4"/>
    <n v="5.99"/>
    <x v="30"/>
  </r>
  <r>
    <s v="SAL-00638"/>
    <x v="81"/>
    <x v="76"/>
    <x v="76"/>
    <s v="Beverages"/>
    <x v="0"/>
    <x v="3"/>
    <x v="7"/>
    <n v="3.99"/>
    <x v="34"/>
  </r>
  <r>
    <s v="SAL-00639"/>
    <x v="82"/>
    <x v="187"/>
    <x v="187"/>
    <s v="Breakfast"/>
    <x v="2"/>
    <x v="0"/>
    <x v="13"/>
    <n v="4.99"/>
    <x v="421"/>
  </r>
  <r>
    <s v="SAL-00640"/>
    <x v="82"/>
    <x v="52"/>
    <x v="52"/>
    <s v="Chicken"/>
    <x v="0"/>
    <x v="3"/>
    <x v="1"/>
    <n v="11.99"/>
    <x v="396"/>
  </r>
  <r>
    <s v="SAL-00641"/>
    <x v="82"/>
    <x v="151"/>
    <x v="151"/>
    <s v="Chicken"/>
    <x v="0"/>
    <x v="1"/>
    <x v="16"/>
    <n v="5.99"/>
    <x v="422"/>
  </r>
  <r>
    <s v="SAL-00642"/>
    <x v="82"/>
    <x v="39"/>
    <x v="39"/>
    <s v="Chicken"/>
    <x v="0"/>
    <x v="2"/>
    <x v="7"/>
    <n v="8.99"/>
    <x v="423"/>
  </r>
  <r>
    <s v="SAL-00643"/>
    <x v="82"/>
    <x v="142"/>
    <x v="142"/>
    <s v="Breakfast"/>
    <x v="0"/>
    <x v="1"/>
    <x v="3"/>
    <n v="3.99"/>
    <x v="32"/>
  </r>
  <r>
    <s v="SAL-00644"/>
    <x v="82"/>
    <x v="10"/>
    <x v="10"/>
    <s v="Beverages"/>
    <x v="0"/>
    <x v="3"/>
    <x v="9"/>
    <n v="1.99"/>
    <x v="424"/>
  </r>
  <r>
    <s v="SAL-00645"/>
    <x v="82"/>
    <x v="125"/>
    <x v="125"/>
    <s v="Burgers"/>
    <x v="0"/>
    <x v="2"/>
    <x v="7"/>
    <n v="8.99"/>
    <x v="423"/>
  </r>
  <r>
    <s v="SAL-00646"/>
    <x v="82"/>
    <x v="20"/>
    <x v="20"/>
    <s v="Sides"/>
    <x v="1"/>
    <x v="1"/>
    <x v="29"/>
    <n v="4.99"/>
    <x v="382"/>
  </r>
  <r>
    <s v="SAL-00647"/>
    <x v="83"/>
    <x v="161"/>
    <x v="161"/>
    <s v="Breakfast"/>
    <x v="0"/>
    <x v="0"/>
    <x v="20"/>
    <n v="5.99"/>
    <x v="425"/>
  </r>
  <r>
    <s v="SAL-00648"/>
    <x v="83"/>
    <x v="25"/>
    <x v="25"/>
    <s v="Chicken"/>
    <x v="0"/>
    <x v="1"/>
    <x v="7"/>
    <n v="6.99"/>
    <x v="200"/>
  </r>
  <r>
    <s v="SAL-00649"/>
    <x v="83"/>
    <x v="147"/>
    <x v="147"/>
    <s v="Burgers"/>
    <x v="2"/>
    <x v="2"/>
    <x v="10"/>
    <n v="9.99"/>
    <x v="12"/>
  </r>
  <r>
    <s v="SAL-00650"/>
    <x v="83"/>
    <x v="188"/>
    <x v="188"/>
    <s v="Chicken"/>
    <x v="1"/>
    <x v="2"/>
    <x v="27"/>
    <n v="5.99"/>
    <x v="286"/>
  </r>
  <r>
    <s v="SAL-00651"/>
    <x v="83"/>
    <x v="147"/>
    <x v="147"/>
    <s v="Burgers"/>
    <x v="2"/>
    <x v="2"/>
    <x v="43"/>
    <n v="9.99"/>
    <x v="426"/>
  </r>
  <r>
    <s v="SAL-00652"/>
    <x v="83"/>
    <x v="74"/>
    <x v="74"/>
    <s v="Breakfast"/>
    <x v="2"/>
    <x v="0"/>
    <x v="44"/>
    <n v="4.99"/>
    <x v="137"/>
  </r>
  <r>
    <s v="SAL-00653"/>
    <x v="83"/>
    <x v="121"/>
    <x v="121"/>
    <s v="Beverages"/>
    <x v="1"/>
    <x v="1"/>
    <x v="48"/>
    <n v="1.99"/>
    <x v="160"/>
  </r>
  <r>
    <s v="SAL-00654"/>
    <x v="84"/>
    <x v="61"/>
    <x v="61"/>
    <s v="Burgers"/>
    <x v="1"/>
    <x v="2"/>
    <x v="33"/>
    <n v="6.49"/>
    <x v="427"/>
  </r>
  <r>
    <s v="SAL-00655"/>
    <x v="84"/>
    <x v="115"/>
    <x v="115"/>
    <s v="Chicken"/>
    <x v="0"/>
    <x v="1"/>
    <x v="41"/>
    <n v="6.99"/>
    <x v="187"/>
  </r>
  <r>
    <s v="SAL-00656"/>
    <x v="84"/>
    <x v="184"/>
    <x v="184"/>
    <s v="Beverages"/>
    <x v="1"/>
    <x v="0"/>
    <x v="15"/>
    <n v="2.99"/>
    <x v="363"/>
  </r>
  <r>
    <s v="SAL-00657"/>
    <x v="84"/>
    <x v="107"/>
    <x v="107"/>
    <s v="Chicken"/>
    <x v="0"/>
    <x v="2"/>
    <x v="45"/>
    <n v="5.99"/>
    <x v="428"/>
  </r>
  <r>
    <s v="SAL-00658"/>
    <x v="84"/>
    <x v="25"/>
    <x v="25"/>
    <s v="Chicken"/>
    <x v="2"/>
    <x v="1"/>
    <x v="0"/>
    <n v="6.99"/>
    <x v="60"/>
  </r>
  <r>
    <s v="SAL-00659"/>
    <x v="84"/>
    <x v="99"/>
    <x v="99"/>
    <s v="Salads"/>
    <x v="1"/>
    <x v="1"/>
    <x v="21"/>
    <n v="8.99"/>
    <x v="378"/>
  </r>
  <r>
    <s v="SAL-00660"/>
    <x v="85"/>
    <x v="73"/>
    <x v="73"/>
    <s v="Beverages"/>
    <x v="1"/>
    <x v="3"/>
    <x v="10"/>
    <n v="2.4900000000000002"/>
    <x v="366"/>
  </r>
  <r>
    <s v="SAL-00661"/>
    <x v="85"/>
    <x v="43"/>
    <x v="43"/>
    <s v="Chicken"/>
    <x v="0"/>
    <x v="1"/>
    <x v="16"/>
    <n v="4.99"/>
    <x v="162"/>
  </r>
  <r>
    <s v="SAL-00662"/>
    <x v="85"/>
    <x v="101"/>
    <x v="101"/>
    <s v="Beverages"/>
    <x v="0"/>
    <x v="1"/>
    <x v="30"/>
    <n v="1.99"/>
    <x v="364"/>
  </r>
  <r>
    <s v="SAL-00663"/>
    <x v="85"/>
    <x v="46"/>
    <x v="46"/>
    <s v="Beverages"/>
    <x v="0"/>
    <x v="3"/>
    <x v="22"/>
    <n v="2.99"/>
    <x v="266"/>
  </r>
  <r>
    <s v="SAL-00664"/>
    <x v="85"/>
    <x v="27"/>
    <x v="27"/>
    <s v="Beverages"/>
    <x v="1"/>
    <x v="2"/>
    <x v="49"/>
    <n v="3.99"/>
    <x v="415"/>
  </r>
  <r>
    <s v="SAL-00665"/>
    <x v="85"/>
    <x v="81"/>
    <x v="81"/>
    <s v="Kids Meals"/>
    <x v="0"/>
    <x v="1"/>
    <x v="2"/>
    <n v="5.99"/>
    <x v="3"/>
  </r>
  <r>
    <s v="SAL-00666"/>
    <x v="85"/>
    <x v="156"/>
    <x v="156"/>
    <s v="Sides"/>
    <x v="2"/>
    <x v="3"/>
    <x v="28"/>
    <n v="3.99"/>
    <x v="429"/>
  </r>
  <r>
    <s v="SAL-00667"/>
    <x v="85"/>
    <x v="186"/>
    <x v="186"/>
    <s v="Chicken"/>
    <x v="0"/>
    <x v="3"/>
    <x v="25"/>
    <n v="5.99"/>
    <x v="392"/>
  </r>
  <r>
    <s v="SAL-00668"/>
    <x v="85"/>
    <x v="113"/>
    <x v="113"/>
    <s v="Salads"/>
    <x v="2"/>
    <x v="0"/>
    <x v="11"/>
    <n v="6.99"/>
    <x v="430"/>
  </r>
  <r>
    <s v="SAL-00669"/>
    <x v="86"/>
    <x v="129"/>
    <x v="129"/>
    <s v="Desserts"/>
    <x v="1"/>
    <x v="2"/>
    <x v="34"/>
    <n v="1.49"/>
    <x v="431"/>
  </r>
  <r>
    <s v="SAL-00670"/>
    <x v="86"/>
    <x v="106"/>
    <x v="106"/>
    <s v="Sides"/>
    <x v="2"/>
    <x v="2"/>
    <x v="6"/>
    <n v="4.99"/>
    <x v="8"/>
  </r>
  <r>
    <s v="SAL-00671"/>
    <x v="86"/>
    <x v="50"/>
    <x v="50"/>
    <s v="Salads"/>
    <x v="1"/>
    <x v="2"/>
    <x v="3"/>
    <n v="6.99"/>
    <x v="419"/>
  </r>
  <r>
    <s v="SAL-00672"/>
    <x v="86"/>
    <x v="13"/>
    <x v="13"/>
    <s v="Beverages"/>
    <x v="1"/>
    <x v="3"/>
    <x v="2"/>
    <n v="2.99"/>
    <x v="108"/>
  </r>
  <r>
    <s v="SAL-00673"/>
    <x v="86"/>
    <x v="115"/>
    <x v="115"/>
    <s v="Chicken"/>
    <x v="1"/>
    <x v="0"/>
    <x v="4"/>
    <n v="6.99"/>
    <x v="155"/>
  </r>
  <r>
    <s v="SAL-00674"/>
    <x v="86"/>
    <x v="117"/>
    <x v="117"/>
    <s v="Burgers"/>
    <x v="2"/>
    <x v="1"/>
    <x v="28"/>
    <n v="6.99"/>
    <x v="305"/>
  </r>
  <r>
    <s v="SAL-00675"/>
    <x v="86"/>
    <x v="90"/>
    <x v="90"/>
    <s v="Burgers"/>
    <x v="2"/>
    <x v="1"/>
    <x v="4"/>
    <n v="8.99"/>
    <x v="197"/>
  </r>
  <r>
    <s v="SAL-00676"/>
    <x v="86"/>
    <x v="83"/>
    <x v="83"/>
    <s v="Sides"/>
    <x v="2"/>
    <x v="0"/>
    <x v="32"/>
    <n v="3.99"/>
    <x v="229"/>
  </r>
  <r>
    <s v="SAL-00677"/>
    <x v="86"/>
    <x v="53"/>
    <x v="53"/>
    <s v="Beverages"/>
    <x v="0"/>
    <x v="1"/>
    <x v="30"/>
    <n v="2.99"/>
    <x v="145"/>
  </r>
  <r>
    <s v="SAL-00678"/>
    <x v="87"/>
    <x v="184"/>
    <x v="184"/>
    <s v="Beverages"/>
    <x v="1"/>
    <x v="1"/>
    <x v="38"/>
    <n v="2.99"/>
    <x v="69"/>
  </r>
  <r>
    <s v="SAL-00679"/>
    <x v="87"/>
    <x v="21"/>
    <x v="21"/>
    <s v="Desserts"/>
    <x v="2"/>
    <x v="1"/>
    <x v="39"/>
    <n v="2.99"/>
    <x v="432"/>
  </r>
  <r>
    <s v="SAL-00680"/>
    <x v="87"/>
    <x v="16"/>
    <x v="16"/>
    <s v="Burgers"/>
    <x v="0"/>
    <x v="3"/>
    <x v="39"/>
    <n v="8.99"/>
    <x v="433"/>
  </r>
  <r>
    <s v="SAL-00681"/>
    <x v="87"/>
    <x v="100"/>
    <x v="100"/>
    <s v="Sides"/>
    <x v="2"/>
    <x v="0"/>
    <x v="40"/>
    <n v="3.99"/>
    <x v="188"/>
  </r>
  <r>
    <s v="SAL-00682"/>
    <x v="87"/>
    <x v="2"/>
    <x v="2"/>
    <s v="Chicken"/>
    <x v="2"/>
    <x v="2"/>
    <x v="33"/>
    <n v="6.99"/>
    <x v="56"/>
  </r>
  <r>
    <s v="SAL-00683"/>
    <x v="87"/>
    <x v="57"/>
    <x v="57"/>
    <s v="Chicken"/>
    <x v="2"/>
    <x v="2"/>
    <x v="3"/>
    <n v="11.99"/>
    <x v="434"/>
  </r>
  <r>
    <s v="SAL-00684"/>
    <x v="87"/>
    <x v="73"/>
    <x v="73"/>
    <s v="Beverages"/>
    <x v="0"/>
    <x v="2"/>
    <x v="31"/>
    <n v="2.4900000000000002"/>
    <x v="435"/>
  </r>
  <r>
    <s v="SAL-00685"/>
    <x v="87"/>
    <x v="110"/>
    <x v="110"/>
    <s v="Chicken"/>
    <x v="2"/>
    <x v="1"/>
    <x v="1"/>
    <n v="6.99"/>
    <x v="391"/>
  </r>
  <r>
    <s v="SAL-00686"/>
    <x v="87"/>
    <x v="92"/>
    <x v="92"/>
    <s v="Breakfast"/>
    <x v="2"/>
    <x v="3"/>
    <x v="4"/>
    <n v="6.99"/>
    <x v="155"/>
  </r>
  <r>
    <s v="SAL-00687"/>
    <x v="87"/>
    <x v="165"/>
    <x v="165"/>
    <s v="Breakfast"/>
    <x v="2"/>
    <x v="3"/>
    <x v="25"/>
    <n v="4.99"/>
    <x v="280"/>
  </r>
  <r>
    <s v="SAL-00688"/>
    <x v="88"/>
    <x v="37"/>
    <x v="37"/>
    <s v="Sides"/>
    <x v="1"/>
    <x v="1"/>
    <x v="0"/>
    <n v="4.99"/>
    <x v="436"/>
  </r>
  <r>
    <s v="SAL-00689"/>
    <x v="88"/>
    <x v="72"/>
    <x v="72"/>
    <s v="Burgers"/>
    <x v="0"/>
    <x v="1"/>
    <x v="15"/>
    <n v="6.99"/>
    <x v="169"/>
  </r>
  <r>
    <s v="SAL-00690"/>
    <x v="88"/>
    <x v="134"/>
    <x v="134"/>
    <s v="Beverages"/>
    <x v="1"/>
    <x v="1"/>
    <x v="20"/>
    <n v="2.99"/>
    <x v="23"/>
  </r>
  <r>
    <s v="SAL-00691"/>
    <x v="88"/>
    <x v="20"/>
    <x v="20"/>
    <s v="Sides"/>
    <x v="0"/>
    <x v="3"/>
    <x v="14"/>
    <n v="4.99"/>
    <x v="226"/>
  </r>
  <r>
    <s v="SAL-00692"/>
    <x v="88"/>
    <x v="9"/>
    <x v="9"/>
    <s v="Burgers"/>
    <x v="1"/>
    <x v="2"/>
    <x v="48"/>
    <n v="9.99"/>
    <x v="288"/>
  </r>
  <r>
    <s v="SAL-00693"/>
    <x v="88"/>
    <x v="95"/>
    <x v="95"/>
    <s v="Beverages"/>
    <x v="1"/>
    <x v="1"/>
    <x v="19"/>
    <n v="3.99"/>
    <x v="437"/>
  </r>
  <r>
    <s v="SAL-00694"/>
    <x v="88"/>
    <x v="106"/>
    <x v="106"/>
    <s v="Sides"/>
    <x v="2"/>
    <x v="0"/>
    <x v="22"/>
    <n v="4.99"/>
    <x v="244"/>
  </r>
  <r>
    <s v="SAL-00695"/>
    <x v="89"/>
    <x v="95"/>
    <x v="95"/>
    <s v="Beverages"/>
    <x v="2"/>
    <x v="1"/>
    <x v="36"/>
    <n v="3.99"/>
    <x v="99"/>
  </r>
  <r>
    <s v="SAL-00696"/>
    <x v="89"/>
    <x v="126"/>
    <x v="126"/>
    <s v="Beverages"/>
    <x v="1"/>
    <x v="1"/>
    <x v="7"/>
    <n v="2.99"/>
    <x v="20"/>
  </r>
  <r>
    <s v="SAL-00697"/>
    <x v="89"/>
    <x v="173"/>
    <x v="173"/>
    <s v="Desserts"/>
    <x v="2"/>
    <x v="1"/>
    <x v="9"/>
    <n v="2.99"/>
    <x v="261"/>
  </r>
  <r>
    <s v="SAL-00698"/>
    <x v="89"/>
    <x v="59"/>
    <x v="59"/>
    <s v="Chicken"/>
    <x v="1"/>
    <x v="2"/>
    <x v="5"/>
    <n v="7.99"/>
    <x v="151"/>
  </r>
  <r>
    <s v="SAL-00699"/>
    <x v="89"/>
    <x v="177"/>
    <x v="177"/>
    <s v="Beverages"/>
    <x v="2"/>
    <x v="2"/>
    <x v="21"/>
    <n v="2.4900000000000002"/>
    <x v="298"/>
  </r>
  <r>
    <s v="SAL-00700"/>
    <x v="89"/>
    <x v="88"/>
    <x v="88"/>
    <s v="Beverages"/>
    <x v="2"/>
    <x v="0"/>
    <x v="26"/>
    <n v="2.99"/>
    <x v="54"/>
  </r>
  <r>
    <s v="SAL-00701"/>
    <x v="89"/>
    <x v="53"/>
    <x v="53"/>
    <s v="Beverages"/>
    <x v="2"/>
    <x v="1"/>
    <x v="29"/>
    <n v="2.99"/>
    <x v="165"/>
  </r>
  <r>
    <s v="SAL-00702"/>
    <x v="90"/>
    <x v="79"/>
    <x v="79"/>
    <s v="Chicken"/>
    <x v="0"/>
    <x v="1"/>
    <x v="46"/>
    <n v="2.99"/>
    <x v="438"/>
  </r>
  <r>
    <s v="SAL-00703"/>
    <x v="90"/>
    <x v="36"/>
    <x v="36"/>
    <s v="Chicken"/>
    <x v="1"/>
    <x v="1"/>
    <x v="9"/>
    <n v="2.99"/>
    <x v="261"/>
  </r>
  <r>
    <s v="SAL-00704"/>
    <x v="90"/>
    <x v="6"/>
    <x v="6"/>
    <s v="Breakfast"/>
    <x v="2"/>
    <x v="3"/>
    <x v="18"/>
    <n v="3.99"/>
    <x v="272"/>
  </r>
  <r>
    <s v="SAL-00705"/>
    <x v="90"/>
    <x v="111"/>
    <x v="111"/>
    <s v="Desserts"/>
    <x v="2"/>
    <x v="2"/>
    <x v="23"/>
    <n v="4.99"/>
    <x v="439"/>
  </r>
  <r>
    <s v="SAL-00706"/>
    <x v="90"/>
    <x v="138"/>
    <x v="138"/>
    <s v="Breakfast"/>
    <x v="0"/>
    <x v="2"/>
    <x v="47"/>
    <n v="2.99"/>
    <x v="268"/>
  </r>
  <r>
    <s v="SAL-00707"/>
    <x v="91"/>
    <x v="162"/>
    <x v="162"/>
    <s v="Sides"/>
    <x v="0"/>
    <x v="1"/>
    <x v="43"/>
    <n v="2.99"/>
    <x v="440"/>
  </r>
  <r>
    <s v="SAL-00708"/>
    <x v="91"/>
    <x v="142"/>
    <x v="142"/>
    <s v="Breakfast"/>
    <x v="0"/>
    <x v="0"/>
    <x v="19"/>
    <n v="3.99"/>
    <x v="437"/>
  </r>
  <r>
    <s v="SAL-00709"/>
    <x v="91"/>
    <x v="20"/>
    <x v="20"/>
    <s v="Sides"/>
    <x v="2"/>
    <x v="1"/>
    <x v="30"/>
    <n v="4.99"/>
    <x v="46"/>
  </r>
  <r>
    <s v="SAL-00710"/>
    <x v="91"/>
    <x v="68"/>
    <x v="68"/>
    <s v="Sides"/>
    <x v="0"/>
    <x v="2"/>
    <x v="23"/>
    <n v="4.49"/>
    <x v="441"/>
  </r>
  <r>
    <s v="SAL-00711"/>
    <x v="91"/>
    <x v="105"/>
    <x v="105"/>
    <s v="Sauces &amp; Add-ons"/>
    <x v="1"/>
    <x v="0"/>
    <x v="14"/>
    <n v="0.75"/>
    <x v="442"/>
  </r>
  <r>
    <s v="SAL-00712"/>
    <x v="91"/>
    <x v="187"/>
    <x v="187"/>
    <s v="Breakfast"/>
    <x v="1"/>
    <x v="0"/>
    <x v="28"/>
    <n v="4.99"/>
    <x v="201"/>
  </r>
  <r>
    <s v="SAL-00713"/>
    <x v="91"/>
    <x v="27"/>
    <x v="27"/>
    <s v="Beverages"/>
    <x v="1"/>
    <x v="0"/>
    <x v="49"/>
    <n v="3.99"/>
    <x v="415"/>
  </r>
  <r>
    <s v="SAL-00714"/>
    <x v="91"/>
    <x v="87"/>
    <x v="87"/>
    <s v="Burgers"/>
    <x v="2"/>
    <x v="2"/>
    <x v="48"/>
    <n v="6.99"/>
    <x v="146"/>
  </r>
  <r>
    <s v="SAL-00715"/>
    <x v="91"/>
    <x v="104"/>
    <x v="104"/>
    <s v="Breakfast"/>
    <x v="2"/>
    <x v="1"/>
    <x v="27"/>
    <n v="6.99"/>
    <x v="140"/>
  </r>
  <r>
    <s v="SAL-00716"/>
    <x v="91"/>
    <x v="47"/>
    <x v="47"/>
    <s v="Burgers"/>
    <x v="0"/>
    <x v="1"/>
    <x v="7"/>
    <n v="2.99"/>
    <x v="20"/>
  </r>
  <r>
    <s v="SAL-00717"/>
    <x v="92"/>
    <x v="37"/>
    <x v="37"/>
    <s v="Sides"/>
    <x v="0"/>
    <x v="1"/>
    <x v="47"/>
    <n v="4.99"/>
    <x v="395"/>
  </r>
  <r>
    <s v="SAL-00718"/>
    <x v="92"/>
    <x v="40"/>
    <x v="40"/>
    <s v="Beverages"/>
    <x v="1"/>
    <x v="0"/>
    <x v="11"/>
    <n v="2.99"/>
    <x v="13"/>
  </r>
  <r>
    <s v="SAL-00719"/>
    <x v="92"/>
    <x v="90"/>
    <x v="90"/>
    <s v="Burgers"/>
    <x v="1"/>
    <x v="1"/>
    <x v="7"/>
    <n v="8.99"/>
    <x v="423"/>
  </r>
  <r>
    <s v="SAL-00720"/>
    <x v="92"/>
    <x v="143"/>
    <x v="143"/>
    <s v="Burgers"/>
    <x v="1"/>
    <x v="1"/>
    <x v="50"/>
    <n v="8.49"/>
    <x v="443"/>
  </r>
  <r>
    <s v="SAL-00721"/>
    <x v="92"/>
    <x v="63"/>
    <x v="63"/>
    <s v="Burgers"/>
    <x v="0"/>
    <x v="2"/>
    <x v="5"/>
    <n v="6.49"/>
    <x v="444"/>
  </r>
  <r>
    <s v="SAL-00722"/>
    <x v="93"/>
    <x v="109"/>
    <x v="109"/>
    <s v="Burgers"/>
    <x v="2"/>
    <x v="3"/>
    <x v="40"/>
    <n v="6.49"/>
    <x v="183"/>
  </r>
  <r>
    <s v="SAL-00723"/>
    <x v="93"/>
    <x v="65"/>
    <x v="65"/>
    <s v="Desserts"/>
    <x v="1"/>
    <x v="1"/>
    <x v="30"/>
    <n v="3.49"/>
    <x v="445"/>
  </r>
  <r>
    <s v="SAL-00724"/>
    <x v="93"/>
    <x v="60"/>
    <x v="60"/>
    <s v="Burgers"/>
    <x v="0"/>
    <x v="1"/>
    <x v="22"/>
    <n v="6.99"/>
    <x v="377"/>
  </r>
  <r>
    <s v="SAL-00725"/>
    <x v="93"/>
    <x v="150"/>
    <x v="150"/>
    <s v="Desserts"/>
    <x v="1"/>
    <x v="2"/>
    <x v="0"/>
    <n v="5.99"/>
    <x v="222"/>
  </r>
  <r>
    <s v="SAL-00726"/>
    <x v="93"/>
    <x v="143"/>
    <x v="143"/>
    <s v="Burgers"/>
    <x v="2"/>
    <x v="1"/>
    <x v="6"/>
    <n v="8.49"/>
    <x v="294"/>
  </r>
  <r>
    <s v="SAL-00727"/>
    <x v="93"/>
    <x v="181"/>
    <x v="181"/>
    <s v="Sides"/>
    <x v="2"/>
    <x v="3"/>
    <x v="13"/>
    <n v="3.49"/>
    <x v="103"/>
  </r>
  <r>
    <s v="SAL-00728"/>
    <x v="93"/>
    <x v="56"/>
    <x v="56"/>
    <s v="Beverages"/>
    <x v="1"/>
    <x v="1"/>
    <x v="17"/>
    <n v="2.99"/>
    <x v="96"/>
  </r>
  <r>
    <s v="SAL-00729"/>
    <x v="93"/>
    <x v="181"/>
    <x v="181"/>
    <s v="Sides"/>
    <x v="2"/>
    <x v="1"/>
    <x v="24"/>
    <n v="3.49"/>
    <x v="79"/>
  </r>
  <r>
    <s v="SAL-00730"/>
    <x v="93"/>
    <x v="119"/>
    <x v="119"/>
    <s v="Burgers"/>
    <x v="2"/>
    <x v="2"/>
    <x v="30"/>
    <n v="2.99"/>
    <x v="145"/>
  </r>
  <r>
    <s v="SAL-00731"/>
    <x v="93"/>
    <x v="82"/>
    <x v="82"/>
    <s v="Beverages"/>
    <x v="2"/>
    <x v="1"/>
    <x v="33"/>
    <n v="2.99"/>
    <x v="263"/>
  </r>
  <r>
    <s v="SAL-00732"/>
    <x v="94"/>
    <x v="166"/>
    <x v="166"/>
    <s v="Beverages"/>
    <x v="1"/>
    <x v="1"/>
    <x v="13"/>
    <n v="2.4900000000000002"/>
    <x v="398"/>
  </r>
  <r>
    <s v="SAL-00733"/>
    <x v="94"/>
    <x v="68"/>
    <x v="68"/>
    <s v="Sides"/>
    <x v="1"/>
    <x v="3"/>
    <x v="38"/>
    <n v="4.49"/>
    <x v="446"/>
  </r>
  <r>
    <s v="SAL-00734"/>
    <x v="94"/>
    <x v="76"/>
    <x v="76"/>
    <s v="Beverages"/>
    <x v="1"/>
    <x v="1"/>
    <x v="14"/>
    <n v="3.99"/>
    <x v="447"/>
  </r>
  <r>
    <s v="SAL-00735"/>
    <x v="94"/>
    <x v="189"/>
    <x v="189"/>
    <s v="Sauces &amp; Add-ons"/>
    <x v="0"/>
    <x v="1"/>
    <x v="18"/>
    <n v="1.25"/>
    <x v="448"/>
  </r>
  <r>
    <s v="SAL-00736"/>
    <x v="94"/>
    <x v="4"/>
    <x v="4"/>
    <s v="Beverages"/>
    <x v="0"/>
    <x v="3"/>
    <x v="19"/>
    <n v="1.99"/>
    <x v="449"/>
  </r>
  <r>
    <s v="SAL-00737"/>
    <x v="94"/>
    <x v="145"/>
    <x v="145"/>
    <s v="Salads"/>
    <x v="1"/>
    <x v="1"/>
    <x v="5"/>
    <n v="6.99"/>
    <x v="36"/>
  </r>
  <r>
    <s v="SAL-00738"/>
    <x v="94"/>
    <x v="57"/>
    <x v="57"/>
    <s v="Chicken"/>
    <x v="1"/>
    <x v="3"/>
    <x v="44"/>
    <n v="11.99"/>
    <x v="450"/>
  </r>
  <r>
    <s v="SAL-00739"/>
    <x v="94"/>
    <x v="102"/>
    <x v="102"/>
    <s v="Beverages"/>
    <x v="2"/>
    <x v="1"/>
    <x v="9"/>
    <n v="2.4900000000000002"/>
    <x v="451"/>
  </r>
  <r>
    <s v="SAL-00740"/>
    <x v="94"/>
    <x v="147"/>
    <x v="147"/>
    <s v="Burgers"/>
    <x v="2"/>
    <x v="1"/>
    <x v="28"/>
    <n v="9.99"/>
    <x v="452"/>
  </r>
  <r>
    <s v="SAL-00741"/>
    <x v="94"/>
    <x v="28"/>
    <x v="28"/>
    <s v="Chicken"/>
    <x v="1"/>
    <x v="2"/>
    <x v="20"/>
    <n v="7.99"/>
    <x v="215"/>
  </r>
  <r>
    <s v="SAL-00742"/>
    <x v="95"/>
    <x v="51"/>
    <x v="51"/>
    <s v="Combo Meals"/>
    <x v="0"/>
    <x v="1"/>
    <x v="0"/>
    <n v="12.99"/>
    <x v="453"/>
  </r>
  <r>
    <s v="SAL-00743"/>
    <x v="95"/>
    <x v="93"/>
    <x v="93"/>
    <s v="Burgers"/>
    <x v="0"/>
    <x v="1"/>
    <x v="13"/>
    <n v="8.99"/>
    <x v="239"/>
  </r>
  <r>
    <s v="SAL-00744"/>
    <x v="95"/>
    <x v="145"/>
    <x v="145"/>
    <s v="Salads"/>
    <x v="0"/>
    <x v="1"/>
    <x v="38"/>
    <n v="6.99"/>
    <x v="153"/>
  </r>
  <r>
    <s v="SAL-00745"/>
    <x v="95"/>
    <x v="86"/>
    <x v="86"/>
    <s v="Salads"/>
    <x v="2"/>
    <x v="1"/>
    <x v="5"/>
    <n v="9.49"/>
    <x v="454"/>
  </r>
  <r>
    <s v="SAL-00746"/>
    <x v="95"/>
    <x v="126"/>
    <x v="126"/>
    <s v="Beverages"/>
    <x v="0"/>
    <x v="3"/>
    <x v="34"/>
    <n v="2.99"/>
    <x v="143"/>
  </r>
  <r>
    <s v="SAL-00747"/>
    <x v="95"/>
    <x v="93"/>
    <x v="93"/>
    <s v="Burgers"/>
    <x v="1"/>
    <x v="1"/>
    <x v="2"/>
    <n v="8.99"/>
    <x v="205"/>
  </r>
  <r>
    <s v="SAL-00748"/>
    <x v="95"/>
    <x v="72"/>
    <x v="72"/>
    <s v="Burgers"/>
    <x v="0"/>
    <x v="2"/>
    <x v="29"/>
    <n v="6.99"/>
    <x v="322"/>
  </r>
  <r>
    <s v="SAL-00749"/>
    <x v="95"/>
    <x v="53"/>
    <x v="53"/>
    <s v="Beverages"/>
    <x v="2"/>
    <x v="2"/>
    <x v="15"/>
    <n v="2.99"/>
    <x v="363"/>
  </r>
  <r>
    <s v="SAL-00750"/>
    <x v="95"/>
    <x v="134"/>
    <x v="134"/>
    <s v="Beverages"/>
    <x v="1"/>
    <x v="2"/>
    <x v="11"/>
    <n v="2.99"/>
    <x v="13"/>
  </r>
  <r>
    <s v="SAL-00751"/>
    <x v="95"/>
    <x v="179"/>
    <x v="179"/>
    <s v="Chicken"/>
    <x v="0"/>
    <x v="0"/>
    <x v="12"/>
    <n v="7.99"/>
    <x v="14"/>
  </r>
  <r>
    <s v="SAL-00752"/>
    <x v="95"/>
    <x v="9"/>
    <x v="9"/>
    <s v="Burgers"/>
    <x v="1"/>
    <x v="3"/>
    <x v="7"/>
    <n v="9.99"/>
    <x v="9"/>
  </r>
  <r>
    <s v="SAL-00753"/>
    <x v="95"/>
    <x v="22"/>
    <x v="22"/>
    <s v="Beverages"/>
    <x v="1"/>
    <x v="3"/>
    <x v="23"/>
    <n v="2.99"/>
    <x v="63"/>
  </r>
  <r>
    <s v="SAL-00754"/>
    <x v="96"/>
    <x v="95"/>
    <x v="95"/>
    <s v="Beverages"/>
    <x v="0"/>
    <x v="3"/>
    <x v="37"/>
    <n v="3.99"/>
    <x v="344"/>
  </r>
  <r>
    <s v="SAL-00755"/>
    <x v="96"/>
    <x v="57"/>
    <x v="57"/>
    <s v="Chicken"/>
    <x v="1"/>
    <x v="1"/>
    <x v="25"/>
    <n v="11.99"/>
    <x v="455"/>
  </r>
  <r>
    <s v="SAL-00756"/>
    <x v="96"/>
    <x v="101"/>
    <x v="101"/>
    <s v="Beverages"/>
    <x v="0"/>
    <x v="2"/>
    <x v="40"/>
    <n v="1.99"/>
    <x v="182"/>
  </r>
  <r>
    <s v="SAL-00757"/>
    <x v="96"/>
    <x v="56"/>
    <x v="56"/>
    <s v="Beverages"/>
    <x v="2"/>
    <x v="3"/>
    <x v="1"/>
    <n v="2.99"/>
    <x v="308"/>
  </r>
  <r>
    <s v="SAL-00758"/>
    <x v="96"/>
    <x v="124"/>
    <x v="124"/>
    <s v="Breakfast"/>
    <x v="0"/>
    <x v="1"/>
    <x v="6"/>
    <n v="4.99"/>
    <x v="8"/>
  </r>
  <r>
    <s v="SAL-00759"/>
    <x v="96"/>
    <x v="129"/>
    <x v="129"/>
    <s v="Desserts"/>
    <x v="2"/>
    <x v="3"/>
    <x v="32"/>
    <n v="1.49"/>
    <x v="456"/>
  </r>
  <r>
    <s v="SAL-00760"/>
    <x v="96"/>
    <x v="100"/>
    <x v="100"/>
    <s v="Sides"/>
    <x v="2"/>
    <x v="1"/>
    <x v="24"/>
    <n v="3.99"/>
    <x v="29"/>
  </r>
  <r>
    <s v="SAL-00761"/>
    <x v="96"/>
    <x v="76"/>
    <x v="76"/>
    <s v="Beverages"/>
    <x v="1"/>
    <x v="1"/>
    <x v="19"/>
    <n v="3.99"/>
    <x v="437"/>
  </r>
  <r>
    <s v="SAL-00762"/>
    <x v="96"/>
    <x v="188"/>
    <x v="188"/>
    <s v="Chicken"/>
    <x v="0"/>
    <x v="1"/>
    <x v="17"/>
    <n v="5.99"/>
    <x v="19"/>
  </r>
  <r>
    <s v="SAL-00763"/>
    <x v="97"/>
    <x v="16"/>
    <x v="16"/>
    <s v="Burgers"/>
    <x v="0"/>
    <x v="2"/>
    <x v="11"/>
    <n v="8.99"/>
    <x v="417"/>
  </r>
  <r>
    <s v="SAL-00764"/>
    <x v="97"/>
    <x v="15"/>
    <x v="15"/>
    <s v="Burgers"/>
    <x v="0"/>
    <x v="3"/>
    <x v="19"/>
    <n v="5.99"/>
    <x v="116"/>
  </r>
  <r>
    <s v="SAL-00765"/>
    <x v="97"/>
    <x v="51"/>
    <x v="51"/>
    <s v="Combo Meals"/>
    <x v="0"/>
    <x v="3"/>
    <x v="40"/>
    <n v="12.99"/>
    <x v="457"/>
  </r>
  <r>
    <s v="SAL-00766"/>
    <x v="97"/>
    <x v="60"/>
    <x v="60"/>
    <s v="Burgers"/>
    <x v="0"/>
    <x v="0"/>
    <x v="50"/>
    <n v="6.99"/>
    <x v="458"/>
  </r>
  <r>
    <s v="SAL-00767"/>
    <x v="97"/>
    <x v="83"/>
    <x v="83"/>
    <s v="Sides"/>
    <x v="0"/>
    <x v="1"/>
    <x v="49"/>
    <n v="3.99"/>
    <x v="415"/>
  </r>
  <r>
    <s v="SAL-00768"/>
    <x v="97"/>
    <x v="113"/>
    <x v="113"/>
    <s v="Salads"/>
    <x v="2"/>
    <x v="1"/>
    <x v="2"/>
    <n v="6.99"/>
    <x v="2"/>
  </r>
  <r>
    <s v="SAL-00769"/>
    <x v="98"/>
    <x v="27"/>
    <x v="27"/>
    <s v="Beverages"/>
    <x v="1"/>
    <x v="1"/>
    <x v="0"/>
    <n v="3.99"/>
    <x v="83"/>
  </r>
  <r>
    <s v="SAL-00770"/>
    <x v="98"/>
    <x v="5"/>
    <x v="5"/>
    <s v="Beverages"/>
    <x v="1"/>
    <x v="1"/>
    <x v="32"/>
    <n v="2.99"/>
    <x v="55"/>
  </r>
  <r>
    <s v="SAL-00771"/>
    <x v="98"/>
    <x v="44"/>
    <x v="44"/>
    <s v="Breakfast"/>
    <x v="1"/>
    <x v="3"/>
    <x v="33"/>
    <n v="2.99"/>
    <x v="263"/>
  </r>
  <r>
    <s v="SAL-00772"/>
    <x v="98"/>
    <x v="190"/>
    <x v="190"/>
    <s v="Sauces &amp; Add-ons"/>
    <x v="2"/>
    <x v="0"/>
    <x v="14"/>
    <n v="0.5"/>
    <x v="459"/>
  </r>
  <r>
    <s v="SAL-00773"/>
    <x v="98"/>
    <x v="112"/>
    <x v="112"/>
    <s v="Burgers"/>
    <x v="2"/>
    <x v="2"/>
    <x v="17"/>
    <n v="8.49"/>
    <x v="460"/>
  </r>
  <r>
    <s v="SAL-00774"/>
    <x v="98"/>
    <x v="142"/>
    <x v="142"/>
    <s v="Breakfast"/>
    <x v="2"/>
    <x v="3"/>
    <x v="32"/>
    <n v="3.99"/>
    <x v="229"/>
  </r>
  <r>
    <s v="SAL-00775"/>
    <x v="98"/>
    <x v="51"/>
    <x v="51"/>
    <s v="Combo Meals"/>
    <x v="2"/>
    <x v="3"/>
    <x v="42"/>
    <n v="12.99"/>
    <x v="461"/>
  </r>
  <r>
    <s v="SAL-00776"/>
    <x v="99"/>
    <x v="152"/>
    <x v="152"/>
    <s v="Chicken"/>
    <x v="0"/>
    <x v="0"/>
    <x v="0"/>
    <n v="7.49"/>
    <x v="462"/>
  </r>
  <r>
    <s v="SAL-00777"/>
    <x v="99"/>
    <x v="116"/>
    <x v="116"/>
    <s v="Chicken"/>
    <x v="0"/>
    <x v="1"/>
    <x v="11"/>
    <n v="6.99"/>
    <x v="430"/>
  </r>
  <r>
    <s v="SAL-00778"/>
    <x v="99"/>
    <x v="62"/>
    <x v="62"/>
    <s v="Combo Meals"/>
    <x v="2"/>
    <x v="1"/>
    <x v="29"/>
    <n v="11.99"/>
    <x v="463"/>
  </r>
  <r>
    <s v="SAL-00779"/>
    <x v="99"/>
    <x v="47"/>
    <x v="47"/>
    <s v="Burgers"/>
    <x v="1"/>
    <x v="2"/>
    <x v="32"/>
    <n v="2.99"/>
    <x v="55"/>
  </r>
  <r>
    <s v="SAL-00780"/>
    <x v="99"/>
    <x v="143"/>
    <x v="143"/>
    <s v="Burgers"/>
    <x v="0"/>
    <x v="2"/>
    <x v="29"/>
    <n v="8.49"/>
    <x v="464"/>
  </r>
  <r>
    <s v="SAL-00781"/>
    <x v="99"/>
    <x v="4"/>
    <x v="4"/>
    <s v="Beverages"/>
    <x v="1"/>
    <x v="3"/>
    <x v="25"/>
    <n v="1.99"/>
    <x v="37"/>
  </r>
  <r>
    <s v="SAL-00782"/>
    <x v="100"/>
    <x v="61"/>
    <x v="61"/>
    <s v="Burgers"/>
    <x v="2"/>
    <x v="1"/>
    <x v="23"/>
    <n v="6.49"/>
    <x v="465"/>
  </r>
  <r>
    <s v="SAL-00783"/>
    <x v="100"/>
    <x v="109"/>
    <x v="109"/>
    <s v="Burgers"/>
    <x v="0"/>
    <x v="1"/>
    <x v="35"/>
    <n v="6.49"/>
    <x v="466"/>
  </r>
  <r>
    <s v="SAL-00784"/>
    <x v="100"/>
    <x v="53"/>
    <x v="53"/>
    <s v="Beverages"/>
    <x v="1"/>
    <x v="1"/>
    <x v="50"/>
    <n v="2.99"/>
    <x v="189"/>
  </r>
  <r>
    <s v="SAL-00785"/>
    <x v="100"/>
    <x v="135"/>
    <x v="135"/>
    <s v="Desserts"/>
    <x v="1"/>
    <x v="1"/>
    <x v="8"/>
    <n v="1.49"/>
    <x v="467"/>
  </r>
  <r>
    <s v="SAL-00786"/>
    <x v="100"/>
    <x v="57"/>
    <x v="57"/>
    <s v="Chicken"/>
    <x v="2"/>
    <x v="1"/>
    <x v="49"/>
    <n v="11.99"/>
    <x v="335"/>
  </r>
  <r>
    <s v="SAL-00787"/>
    <x v="100"/>
    <x v="140"/>
    <x v="140"/>
    <s v="Breakfast"/>
    <x v="2"/>
    <x v="3"/>
    <x v="48"/>
    <n v="4.99"/>
    <x v="238"/>
  </r>
  <r>
    <s v="SAL-00788"/>
    <x v="100"/>
    <x v="5"/>
    <x v="5"/>
    <s v="Beverages"/>
    <x v="2"/>
    <x v="3"/>
    <x v="8"/>
    <n v="2.99"/>
    <x v="86"/>
  </r>
  <r>
    <s v="SAL-00789"/>
    <x v="100"/>
    <x v="141"/>
    <x v="141"/>
    <s v="Burgers"/>
    <x v="2"/>
    <x v="3"/>
    <x v="21"/>
    <n v="8.49"/>
    <x v="468"/>
  </r>
  <r>
    <s v="SAL-00790"/>
    <x v="101"/>
    <x v="161"/>
    <x v="161"/>
    <s v="Breakfast"/>
    <x v="0"/>
    <x v="3"/>
    <x v="48"/>
    <n v="5.99"/>
    <x v="469"/>
  </r>
  <r>
    <s v="SAL-00791"/>
    <x v="101"/>
    <x v="55"/>
    <x v="55"/>
    <s v="Desserts"/>
    <x v="2"/>
    <x v="2"/>
    <x v="25"/>
    <n v="3.49"/>
    <x v="470"/>
  </r>
  <r>
    <s v="SAL-00792"/>
    <x v="101"/>
    <x v="116"/>
    <x v="116"/>
    <s v="Chicken"/>
    <x v="0"/>
    <x v="1"/>
    <x v="50"/>
    <n v="6.99"/>
    <x v="458"/>
  </r>
  <r>
    <s v="SAL-00793"/>
    <x v="101"/>
    <x v="5"/>
    <x v="5"/>
    <s v="Beverages"/>
    <x v="2"/>
    <x v="1"/>
    <x v="46"/>
    <n v="2.99"/>
    <x v="438"/>
  </r>
  <r>
    <s v="SAL-00794"/>
    <x v="101"/>
    <x v="133"/>
    <x v="133"/>
    <s v="Beverages"/>
    <x v="1"/>
    <x v="3"/>
    <x v="42"/>
    <n v="2.99"/>
    <x v="90"/>
  </r>
  <r>
    <s v="SAL-00795"/>
    <x v="101"/>
    <x v="60"/>
    <x v="60"/>
    <s v="Burgers"/>
    <x v="0"/>
    <x v="3"/>
    <x v="32"/>
    <n v="6.99"/>
    <x v="142"/>
  </r>
  <r>
    <s v="SAL-00796"/>
    <x v="101"/>
    <x v="121"/>
    <x v="121"/>
    <s v="Beverages"/>
    <x v="1"/>
    <x v="1"/>
    <x v="17"/>
    <n v="1.99"/>
    <x v="471"/>
  </r>
  <r>
    <s v="SAL-00797"/>
    <x v="101"/>
    <x v="161"/>
    <x v="161"/>
    <s v="Breakfast"/>
    <x v="2"/>
    <x v="0"/>
    <x v="15"/>
    <n v="5.99"/>
    <x v="472"/>
  </r>
  <r>
    <s v="SAL-00798"/>
    <x v="102"/>
    <x v="93"/>
    <x v="93"/>
    <s v="Burgers"/>
    <x v="0"/>
    <x v="1"/>
    <x v="32"/>
    <n v="8.99"/>
    <x v="325"/>
  </r>
  <r>
    <s v="SAL-00799"/>
    <x v="102"/>
    <x v="134"/>
    <x v="134"/>
    <s v="Beverages"/>
    <x v="2"/>
    <x v="2"/>
    <x v="36"/>
    <n v="2.99"/>
    <x v="111"/>
  </r>
  <r>
    <s v="SAL-00800"/>
    <x v="102"/>
    <x v="58"/>
    <x v="58"/>
    <s v="Burgers"/>
    <x v="2"/>
    <x v="2"/>
    <x v="6"/>
    <n v="8.49"/>
    <x v="294"/>
  </r>
  <r>
    <s v="SAL-00801"/>
    <x v="102"/>
    <x v="158"/>
    <x v="158"/>
    <s v="Salads"/>
    <x v="0"/>
    <x v="1"/>
    <x v="44"/>
    <n v="7.49"/>
    <x v="316"/>
  </r>
  <r>
    <s v="SAL-00802"/>
    <x v="102"/>
    <x v="48"/>
    <x v="48"/>
    <s v="Beverages"/>
    <x v="0"/>
    <x v="2"/>
    <x v="49"/>
    <n v="3.99"/>
    <x v="415"/>
  </r>
  <r>
    <s v="SAL-00803"/>
    <x v="102"/>
    <x v="131"/>
    <x v="131"/>
    <s v="Sides"/>
    <x v="2"/>
    <x v="1"/>
    <x v="39"/>
    <n v="3.49"/>
    <x v="264"/>
  </r>
  <r>
    <s v="SAL-00804"/>
    <x v="102"/>
    <x v="179"/>
    <x v="179"/>
    <s v="Chicken"/>
    <x v="1"/>
    <x v="1"/>
    <x v="22"/>
    <n v="7.99"/>
    <x v="357"/>
  </r>
  <r>
    <s v="SAL-00805"/>
    <x v="103"/>
    <x v="102"/>
    <x v="102"/>
    <s v="Beverages"/>
    <x v="0"/>
    <x v="3"/>
    <x v="8"/>
    <n v="2.4900000000000002"/>
    <x v="473"/>
  </r>
  <r>
    <s v="SAL-00806"/>
    <x v="103"/>
    <x v="76"/>
    <x v="76"/>
    <s v="Beverages"/>
    <x v="1"/>
    <x v="1"/>
    <x v="14"/>
    <n v="3.99"/>
    <x v="447"/>
  </r>
  <r>
    <s v="SAL-00807"/>
    <x v="103"/>
    <x v="23"/>
    <x v="23"/>
    <s v="Burgers"/>
    <x v="0"/>
    <x v="1"/>
    <x v="23"/>
    <n v="10.99"/>
    <x v="26"/>
  </r>
  <r>
    <s v="SAL-00808"/>
    <x v="104"/>
    <x v="107"/>
    <x v="107"/>
    <s v="Chicken"/>
    <x v="0"/>
    <x v="1"/>
    <x v="1"/>
    <n v="5.99"/>
    <x v="1"/>
  </r>
  <r>
    <s v="SAL-00809"/>
    <x v="104"/>
    <x v="8"/>
    <x v="8"/>
    <s v="Desserts"/>
    <x v="0"/>
    <x v="1"/>
    <x v="7"/>
    <n v="4.99"/>
    <x v="474"/>
  </r>
  <r>
    <s v="SAL-00810"/>
    <x v="104"/>
    <x v="125"/>
    <x v="125"/>
    <s v="Burgers"/>
    <x v="2"/>
    <x v="3"/>
    <x v="46"/>
    <n v="8.99"/>
    <x v="297"/>
  </r>
  <r>
    <s v="SAL-00811"/>
    <x v="104"/>
    <x v="177"/>
    <x v="177"/>
    <s v="Beverages"/>
    <x v="2"/>
    <x v="2"/>
    <x v="49"/>
    <n v="2.4900000000000002"/>
    <x v="168"/>
  </r>
  <r>
    <s v="SAL-00812"/>
    <x v="104"/>
    <x v="175"/>
    <x v="175"/>
    <s v="Breakfast"/>
    <x v="2"/>
    <x v="3"/>
    <x v="10"/>
    <n v="4.99"/>
    <x v="176"/>
  </r>
  <r>
    <s v="SAL-00813"/>
    <x v="104"/>
    <x v="3"/>
    <x v="3"/>
    <s v="Sides"/>
    <x v="1"/>
    <x v="2"/>
    <x v="21"/>
    <n v="5.99"/>
    <x v="475"/>
  </r>
  <r>
    <s v="SAL-00814"/>
    <x v="104"/>
    <x v="129"/>
    <x v="129"/>
    <s v="Desserts"/>
    <x v="0"/>
    <x v="1"/>
    <x v="50"/>
    <n v="1.49"/>
    <x v="476"/>
  </r>
  <r>
    <s v="SAL-00815"/>
    <x v="105"/>
    <x v="125"/>
    <x v="125"/>
    <s v="Burgers"/>
    <x v="2"/>
    <x v="3"/>
    <x v="17"/>
    <n v="8.99"/>
    <x v="109"/>
  </r>
  <r>
    <s v="SAL-00816"/>
    <x v="105"/>
    <x v="159"/>
    <x v="159"/>
    <s v="Combo Meals"/>
    <x v="0"/>
    <x v="1"/>
    <x v="2"/>
    <n v="8.99"/>
    <x v="205"/>
  </r>
  <r>
    <s v="SAL-00817"/>
    <x v="105"/>
    <x v="61"/>
    <x v="61"/>
    <s v="Burgers"/>
    <x v="0"/>
    <x v="2"/>
    <x v="12"/>
    <n v="6.49"/>
    <x v="477"/>
  </r>
  <r>
    <s v="SAL-00818"/>
    <x v="106"/>
    <x v="67"/>
    <x v="67"/>
    <s v="Burgers"/>
    <x v="2"/>
    <x v="1"/>
    <x v="21"/>
    <n v="3.99"/>
    <x v="57"/>
  </r>
  <r>
    <s v="SAL-00819"/>
    <x v="106"/>
    <x v="67"/>
    <x v="67"/>
    <s v="Burgers"/>
    <x v="1"/>
    <x v="3"/>
    <x v="33"/>
    <n v="3.99"/>
    <x v="362"/>
  </r>
  <r>
    <s v="SAL-00820"/>
    <x v="106"/>
    <x v="171"/>
    <x v="171"/>
    <s v="Burgers"/>
    <x v="0"/>
    <x v="1"/>
    <x v="12"/>
    <n v="6.99"/>
    <x v="478"/>
  </r>
  <r>
    <s v="SAL-00821"/>
    <x v="106"/>
    <x v="109"/>
    <x v="109"/>
    <s v="Burgers"/>
    <x v="0"/>
    <x v="0"/>
    <x v="15"/>
    <n v="6.49"/>
    <x v="365"/>
  </r>
  <r>
    <s v="SAL-00822"/>
    <x v="106"/>
    <x v="34"/>
    <x v="34"/>
    <s v="Desserts"/>
    <x v="0"/>
    <x v="1"/>
    <x v="4"/>
    <n v="4.99"/>
    <x v="38"/>
  </r>
  <r>
    <s v="SAL-00823"/>
    <x v="107"/>
    <x v="1"/>
    <x v="1"/>
    <s v="Kids Meals"/>
    <x v="0"/>
    <x v="1"/>
    <x v="20"/>
    <n v="5.99"/>
    <x v="425"/>
  </r>
  <r>
    <s v="SAL-00824"/>
    <x v="107"/>
    <x v="112"/>
    <x v="112"/>
    <s v="Burgers"/>
    <x v="2"/>
    <x v="1"/>
    <x v="23"/>
    <n v="8.49"/>
    <x v="479"/>
  </r>
  <r>
    <s v="SAL-00825"/>
    <x v="107"/>
    <x v="126"/>
    <x v="126"/>
    <s v="Beverages"/>
    <x v="2"/>
    <x v="3"/>
    <x v="15"/>
    <n v="2.99"/>
    <x v="363"/>
  </r>
  <r>
    <s v="SAL-00826"/>
    <x v="107"/>
    <x v="191"/>
    <x v="191"/>
    <s v="Sides"/>
    <x v="2"/>
    <x v="2"/>
    <x v="28"/>
    <n v="4.99"/>
    <x v="201"/>
  </r>
  <r>
    <s v="SAL-00827"/>
    <x v="107"/>
    <x v="31"/>
    <x v="31"/>
    <s v="Beverages"/>
    <x v="2"/>
    <x v="1"/>
    <x v="16"/>
    <n v="3.99"/>
    <x v="399"/>
  </r>
  <r>
    <s v="SAL-00828"/>
    <x v="107"/>
    <x v="122"/>
    <x v="122"/>
    <s v="Desserts"/>
    <x v="0"/>
    <x v="2"/>
    <x v="10"/>
    <n v="4.99"/>
    <x v="176"/>
  </r>
  <r>
    <s v="SAL-00829"/>
    <x v="107"/>
    <x v="176"/>
    <x v="176"/>
    <s v="Beverages"/>
    <x v="1"/>
    <x v="1"/>
    <x v="13"/>
    <n v="2.99"/>
    <x v="98"/>
  </r>
  <r>
    <s v="SAL-00830"/>
    <x v="107"/>
    <x v="131"/>
    <x v="131"/>
    <s v="Sides"/>
    <x v="2"/>
    <x v="1"/>
    <x v="45"/>
    <n v="3.49"/>
    <x v="480"/>
  </r>
  <r>
    <s v="SAL-00831"/>
    <x v="108"/>
    <x v="189"/>
    <x v="189"/>
    <s v="Sauces &amp; Add-ons"/>
    <x v="2"/>
    <x v="1"/>
    <x v="21"/>
    <n v="1.25"/>
    <x v="481"/>
  </r>
  <r>
    <s v="SAL-00832"/>
    <x v="108"/>
    <x v="150"/>
    <x v="150"/>
    <s v="Desserts"/>
    <x v="0"/>
    <x v="2"/>
    <x v="11"/>
    <n v="5.99"/>
    <x v="265"/>
  </r>
  <r>
    <s v="SAL-00833"/>
    <x v="108"/>
    <x v="186"/>
    <x v="186"/>
    <s v="Chicken"/>
    <x v="1"/>
    <x v="0"/>
    <x v="36"/>
    <n v="5.99"/>
    <x v="482"/>
  </r>
  <r>
    <s v="SAL-00834"/>
    <x v="108"/>
    <x v="106"/>
    <x v="106"/>
    <s v="Sides"/>
    <x v="2"/>
    <x v="2"/>
    <x v="0"/>
    <n v="4.99"/>
    <x v="436"/>
  </r>
  <r>
    <s v="SAL-00835"/>
    <x v="108"/>
    <x v="56"/>
    <x v="56"/>
    <s v="Beverages"/>
    <x v="2"/>
    <x v="1"/>
    <x v="44"/>
    <n v="2.99"/>
    <x v="323"/>
  </r>
  <r>
    <s v="SAL-00836"/>
    <x v="108"/>
    <x v="181"/>
    <x v="181"/>
    <s v="Sides"/>
    <x v="0"/>
    <x v="2"/>
    <x v="16"/>
    <n v="3.49"/>
    <x v="186"/>
  </r>
  <r>
    <s v="SAL-00837"/>
    <x v="108"/>
    <x v="26"/>
    <x v="26"/>
    <s v="Beverages"/>
    <x v="0"/>
    <x v="0"/>
    <x v="40"/>
    <n v="2.99"/>
    <x v="158"/>
  </r>
  <r>
    <s v="SAL-00838"/>
    <x v="108"/>
    <x v="65"/>
    <x v="65"/>
    <s v="Desserts"/>
    <x v="1"/>
    <x v="2"/>
    <x v="33"/>
    <n v="3.49"/>
    <x v="483"/>
  </r>
  <r>
    <s v="SAL-00839"/>
    <x v="108"/>
    <x v="182"/>
    <x v="182"/>
    <s v="Kids Meals"/>
    <x v="2"/>
    <x v="2"/>
    <x v="38"/>
    <n v="5.99"/>
    <x v="484"/>
  </r>
  <r>
    <s v="SAL-00840"/>
    <x v="108"/>
    <x v="59"/>
    <x v="59"/>
    <s v="Chicken"/>
    <x v="1"/>
    <x v="1"/>
    <x v="18"/>
    <n v="7.99"/>
    <x v="485"/>
  </r>
  <r>
    <s v="SAL-00841"/>
    <x v="108"/>
    <x v="145"/>
    <x v="145"/>
    <s v="Salads"/>
    <x v="1"/>
    <x v="2"/>
    <x v="14"/>
    <n v="6.99"/>
    <x v="349"/>
  </r>
  <r>
    <s v="SAL-00842"/>
    <x v="109"/>
    <x v="192"/>
    <x v="192"/>
    <s v="Kids Meals"/>
    <x v="0"/>
    <x v="2"/>
    <x v="14"/>
    <n v="5.99"/>
    <x v="16"/>
  </r>
  <r>
    <s v="SAL-00843"/>
    <x v="109"/>
    <x v="156"/>
    <x v="156"/>
    <s v="Sides"/>
    <x v="2"/>
    <x v="0"/>
    <x v="3"/>
    <n v="3.99"/>
    <x v="32"/>
  </r>
  <r>
    <s v="SAL-00844"/>
    <x v="109"/>
    <x v="118"/>
    <x v="118"/>
    <s v="Breakfast"/>
    <x v="0"/>
    <x v="2"/>
    <x v="46"/>
    <n v="4.99"/>
    <x v="185"/>
  </r>
  <r>
    <s v="SAL-00845"/>
    <x v="109"/>
    <x v="133"/>
    <x v="133"/>
    <s v="Beverages"/>
    <x v="0"/>
    <x v="1"/>
    <x v="28"/>
    <n v="2.99"/>
    <x v="42"/>
  </r>
  <r>
    <s v="SAL-00846"/>
    <x v="109"/>
    <x v="185"/>
    <x v="185"/>
    <s v="Salads"/>
    <x v="0"/>
    <x v="1"/>
    <x v="48"/>
    <n v="8.99"/>
    <x v="486"/>
  </r>
  <r>
    <s v="SAL-00847"/>
    <x v="109"/>
    <x v="45"/>
    <x v="45"/>
    <s v="Combo Meals"/>
    <x v="0"/>
    <x v="3"/>
    <x v="30"/>
    <n v="10.99"/>
    <x v="487"/>
  </r>
  <r>
    <s v="SAL-00848"/>
    <x v="109"/>
    <x v="126"/>
    <x v="126"/>
    <s v="Beverages"/>
    <x v="0"/>
    <x v="3"/>
    <x v="4"/>
    <n v="2.99"/>
    <x v="28"/>
  </r>
  <r>
    <s v="SAL-00849"/>
    <x v="110"/>
    <x v="3"/>
    <x v="3"/>
    <s v="Sides"/>
    <x v="1"/>
    <x v="1"/>
    <x v="47"/>
    <n v="5.99"/>
    <x v="488"/>
  </r>
  <r>
    <s v="SAL-00850"/>
    <x v="110"/>
    <x v="56"/>
    <x v="56"/>
    <s v="Beverages"/>
    <x v="0"/>
    <x v="1"/>
    <x v="17"/>
    <n v="2.99"/>
    <x v="96"/>
  </r>
  <r>
    <s v="SAL-00851"/>
    <x v="110"/>
    <x v="64"/>
    <x v="64"/>
    <s v="Sides"/>
    <x v="1"/>
    <x v="1"/>
    <x v="37"/>
    <n v="3.99"/>
    <x v="344"/>
  </r>
  <r>
    <s v="SAL-00852"/>
    <x v="110"/>
    <x v="109"/>
    <x v="109"/>
    <s v="Burgers"/>
    <x v="2"/>
    <x v="1"/>
    <x v="7"/>
    <n v="6.49"/>
    <x v="489"/>
  </r>
  <r>
    <s v="SAL-00853"/>
    <x v="110"/>
    <x v="59"/>
    <x v="59"/>
    <s v="Chicken"/>
    <x v="2"/>
    <x v="1"/>
    <x v="20"/>
    <n v="7.99"/>
    <x v="215"/>
  </r>
  <r>
    <s v="SAL-00854"/>
    <x v="111"/>
    <x v="40"/>
    <x v="40"/>
    <s v="Beverages"/>
    <x v="0"/>
    <x v="1"/>
    <x v="33"/>
    <n v="2.99"/>
    <x v="263"/>
  </r>
  <r>
    <s v="SAL-00855"/>
    <x v="111"/>
    <x v="87"/>
    <x v="87"/>
    <s v="Burgers"/>
    <x v="2"/>
    <x v="1"/>
    <x v="26"/>
    <n v="6.99"/>
    <x v="490"/>
  </r>
  <r>
    <s v="SAL-00856"/>
    <x v="111"/>
    <x v="167"/>
    <x v="167"/>
    <s v="Breakfast"/>
    <x v="1"/>
    <x v="2"/>
    <x v="37"/>
    <n v="7.99"/>
    <x v="124"/>
  </r>
  <r>
    <s v="SAL-00857"/>
    <x v="111"/>
    <x v="42"/>
    <x v="42"/>
    <s v="Sides"/>
    <x v="1"/>
    <x v="3"/>
    <x v="26"/>
    <n v="4.49"/>
    <x v="491"/>
  </r>
  <r>
    <s v="SAL-00858"/>
    <x v="111"/>
    <x v="63"/>
    <x v="63"/>
    <s v="Burgers"/>
    <x v="2"/>
    <x v="1"/>
    <x v="47"/>
    <n v="6.49"/>
    <x v="492"/>
  </r>
  <r>
    <s v="SAL-00859"/>
    <x v="111"/>
    <x v="103"/>
    <x v="103"/>
    <s v="Desserts"/>
    <x v="2"/>
    <x v="3"/>
    <x v="16"/>
    <n v="5.99"/>
    <x v="422"/>
  </r>
  <r>
    <s v="SAL-00860"/>
    <x v="111"/>
    <x v="147"/>
    <x v="147"/>
    <s v="Burgers"/>
    <x v="2"/>
    <x v="1"/>
    <x v="26"/>
    <n v="9.99"/>
    <x v="493"/>
  </r>
  <r>
    <s v="SAL-00861"/>
    <x v="111"/>
    <x v="142"/>
    <x v="142"/>
    <s v="Breakfast"/>
    <x v="2"/>
    <x v="1"/>
    <x v="29"/>
    <n v="3.99"/>
    <x v="333"/>
  </r>
  <r>
    <s v="SAL-00862"/>
    <x v="112"/>
    <x v="139"/>
    <x v="139"/>
    <s v="Combo Meals"/>
    <x v="2"/>
    <x v="0"/>
    <x v="0"/>
    <n v="8.99"/>
    <x v="494"/>
  </r>
  <r>
    <s v="SAL-00863"/>
    <x v="112"/>
    <x v="37"/>
    <x v="37"/>
    <s v="Sides"/>
    <x v="2"/>
    <x v="1"/>
    <x v="7"/>
    <n v="4.99"/>
    <x v="474"/>
  </r>
  <r>
    <s v="SAL-00864"/>
    <x v="112"/>
    <x v="11"/>
    <x v="11"/>
    <s v="Desserts"/>
    <x v="0"/>
    <x v="1"/>
    <x v="16"/>
    <n v="5.99"/>
    <x v="422"/>
  </r>
  <r>
    <s v="SAL-00865"/>
    <x v="112"/>
    <x v="39"/>
    <x v="39"/>
    <s v="Chicken"/>
    <x v="0"/>
    <x v="3"/>
    <x v="32"/>
    <n v="8.99"/>
    <x v="325"/>
  </r>
  <r>
    <s v="SAL-00866"/>
    <x v="112"/>
    <x v="2"/>
    <x v="2"/>
    <s v="Chicken"/>
    <x v="1"/>
    <x v="1"/>
    <x v="35"/>
    <n v="6.99"/>
    <x v="495"/>
  </r>
  <r>
    <s v="SAL-00867"/>
    <x v="112"/>
    <x v="27"/>
    <x v="27"/>
    <s v="Beverages"/>
    <x v="2"/>
    <x v="2"/>
    <x v="1"/>
    <n v="3.99"/>
    <x v="496"/>
  </r>
  <r>
    <s v="SAL-00868"/>
    <x v="112"/>
    <x v="13"/>
    <x v="13"/>
    <s v="Beverages"/>
    <x v="0"/>
    <x v="1"/>
    <x v="24"/>
    <n v="2.99"/>
    <x v="49"/>
  </r>
  <r>
    <s v="SAL-00869"/>
    <x v="113"/>
    <x v="45"/>
    <x v="45"/>
    <s v="Combo Meals"/>
    <x v="0"/>
    <x v="2"/>
    <x v="4"/>
    <n v="10.99"/>
    <x v="326"/>
  </r>
  <r>
    <s v="SAL-00870"/>
    <x v="113"/>
    <x v="98"/>
    <x v="98"/>
    <s v="Beverages"/>
    <x v="0"/>
    <x v="1"/>
    <x v="29"/>
    <n v="1.99"/>
    <x v="497"/>
  </r>
  <r>
    <s v="SAL-00871"/>
    <x v="113"/>
    <x v="101"/>
    <x v="101"/>
    <s v="Beverages"/>
    <x v="0"/>
    <x v="1"/>
    <x v="12"/>
    <n v="1.99"/>
    <x v="164"/>
  </r>
  <r>
    <s v="SAL-00872"/>
    <x v="114"/>
    <x v="187"/>
    <x v="187"/>
    <s v="Breakfast"/>
    <x v="1"/>
    <x v="1"/>
    <x v="19"/>
    <n v="4.99"/>
    <x v="22"/>
  </r>
  <r>
    <s v="SAL-00873"/>
    <x v="114"/>
    <x v="23"/>
    <x v="23"/>
    <s v="Burgers"/>
    <x v="2"/>
    <x v="1"/>
    <x v="8"/>
    <n v="10.99"/>
    <x v="348"/>
  </r>
  <r>
    <s v="SAL-00874"/>
    <x v="114"/>
    <x v="76"/>
    <x v="76"/>
    <s v="Beverages"/>
    <x v="0"/>
    <x v="3"/>
    <x v="43"/>
    <n v="3.99"/>
    <x v="208"/>
  </r>
  <r>
    <s v="SAL-00875"/>
    <x v="114"/>
    <x v="108"/>
    <x v="108"/>
    <s v="Sides"/>
    <x v="1"/>
    <x v="2"/>
    <x v="4"/>
    <n v="3.49"/>
    <x v="329"/>
  </r>
  <r>
    <s v="SAL-00876"/>
    <x v="114"/>
    <x v="157"/>
    <x v="157"/>
    <s v="Beverages"/>
    <x v="2"/>
    <x v="3"/>
    <x v="7"/>
    <n v="3.99"/>
    <x v="34"/>
  </r>
  <r>
    <s v="SAL-00877"/>
    <x v="114"/>
    <x v="109"/>
    <x v="109"/>
    <s v="Burgers"/>
    <x v="0"/>
    <x v="3"/>
    <x v="43"/>
    <n v="6.49"/>
    <x v="379"/>
  </r>
  <r>
    <s v="SAL-00878"/>
    <x v="114"/>
    <x v="71"/>
    <x v="71"/>
    <s v="Beverages"/>
    <x v="2"/>
    <x v="0"/>
    <x v="39"/>
    <n v="1.99"/>
    <x v="498"/>
  </r>
  <r>
    <s v="SAL-00879"/>
    <x v="114"/>
    <x v="11"/>
    <x v="11"/>
    <s v="Desserts"/>
    <x v="0"/>
    <x v="1"/>
    <x v="34"/>
    <n v="5.99"/>
    <x v="315"/>
  </r>
  <r>
    <s v="SAL-00880"/>
    <x v="115"/>
    <x v="33"/>
    <x v="33"/>
    <s v="Burgers"/>
    <x v="1"/>
    <x v="1"/>
    <x v="36"/>
    <n v="6.99"/>
    <x v="499"/>
  </r>
  <r>
    <s v="SAL-00881"/>
    <x v="115"/>
    <x v="100"/>
    <x v="100"/>
    <s v="Sides"/>
    <x v="0"/>
    <x v="1"/>
    <x v="19"/>
    <n v="3.99"/>
    <x v="437"/>
  </r>
  <r>
    <s v="SAL-00882"/>
    <x v="115"/>
    <x v="189"/>
    <x v="189"/>
    <s v="Sauces &amp; Add-ons"/>
    <x v="2"/>
    <x v="2"/>
    <x v="24"/>
    <n v="1.25"/>
    <x v="500"/>
  </r>
  <r>
    <s v="SAL-00883"/>
    <x v="115"/>
    <x v="74"/>
    <x v="74"/>
    <s v="Breakfast"/>
    <x v="2"/>
    <x v="2"/>
    <x v="24"/>
    <n v="4.99"/>
    <x v="337"/>
  </r>
  <r>
    <s v="SAL-00884"/>
    <x v="115"/>
    <x v="162"/>
    <x v="162"/>
    <s v="Sides"/>
    <x v="2"/>
    <x v="1"/>
    <x v="27"/>
    <n v="2.99"/>
    <x v="40"/>
  </r>
  <r>
    <s v="SAL-00885"/>
    <x v="115"/>
    <x v="58"/>
    <x v="58"/>
    <s v="Burgers"/>
    <x v="2"/>
    <x v="2"/>
    <x v="33"/>
    <n v="8.49"/>
    <x v="501"/>
  </r>
  <r>
    <s v="SAL-00886"/>
    <x v="115"/>
    <x v="87"/>
    <x v="87"/>
    <s v="Burgers"/>
    <x v="1"/>
    <x v="3"/>
    <x v="1"/>
    <n v="6.99"/>
    <x v="391"/>
  </r>
  <r>
    <s v="SAL-00887"/>
    <x v="115"/>
    <x v="110"/>
    <x v="110"/>
    <s v="Chicken"/>
    <x v="0"/>
    <x v="1"/>
    <x v="35"/>
    <n v="6.99"/>
    <x v="495"/>
  </r>
  <r>
    <s v="SAL-00888"/>
    <x v="115"/>
    <x v="9"/>
    <x v="9"/>
    <s v="Burgers"/>
    <x v="0"/>
    <x v="1"/>
    <x v="44"/>
    <n v="9.99"/>
    <x v="502"/>
  </r>
  <r>
    <s v="SAL-00889"/>
    <x v="115"/>
    <x v="133"/>
    <x v="133"/>
    <s v="Beverages"/>
    <x v="0"/>
    <x v="1"/>
    <x v="14"/>
    <n v="2.99"/>
    <x v="76"/>
  </r>
  <r>
    <s v="SAL-00890"/>
    <x v="115"/>
    <x v="94"/>
    <x v="94"/>
    <s v="Chicken"/>
    <x v="1"/>
    <x v="3"/>
    <x v="27"/>
    <n v="7.49"/>
    <x v="503"/>
  </r>
  <r>
    <s v="SAL-00891"/>
    <x v="115"/>
    <x v="73"/>
    <x v="73"/>
    <s v="Beverages"/>
    <x v="1"/>
    <x v="0"/>
    <x v="23"/>
    <n v="2.4900000000000002"/>
    <x v="273"/>
  </r>
  <r>
    <s v="SAL-00892"/>
    <x v="116"/>
    <x v="181"/>
    <x v="181"/>
    <s v="Sides"/>
    <x v="0"/>
    <x v="3"/>
    <x v="10"/>
    <n v="3.49"/>
    <x v="504"/>
  </r>
  <r>
    <s v="SAL-00893"/>
    <x v="116"/>
    <x v="69"/>
    <x v="69"/>
    <s v="Salads"/>
    <x v="1"/>
    <x v="0"/>
    <x v="7"/>
    <n v="9.49"/>
    <x v="505"/>
  </r>
  <r>
    <s v="SAL-00894"/>
    <x v="116"/>
    <x v="143"/>
    <x v="143"/>
    <s v="Burgers"/>
    <x v="2"/>
    <x v="1"/>
    <x v="47"/>
    <n v="8.49"/>
    <x v="506"/>
  </r>
  <r>
    <s v="SAL-00895"/>
    <x v="116"/>
    <x v="163"/>
    <x v="163"/>
    <s v="Burgers"/>
    <x v="1"/>
    <x v="3"/>
    <x v="41"/>
    <n v="7.99"/>
    <x v="507"/>
  </r>
  <r>
    <s v="SAL-00896"/>
    <x v="116"/>
    <x v="4"/>
    <x v="4"/>
    <s v="Beverages"/>
    <x v="1"/>
    <x v="1"/>
    <x v="41"/>
    <n v="1.99"/>
    <x v="508"/>
  </r>
  <r>
    <s v="SAL-00897"/>
    <x v="117"/>
    <x v="60"/>
    <x v="60"/>
    <s v="Burgers"/>
    <x v="2"/>
    <x v="2"/>
    <x v="36"/>
    <n v="6.99"/>
    <x v="499"/>
  </r>
  <r>
    <s v="SAL-00898"/>
    <x v="117"/>
    <x v="26"/>
    <x v="26"/>
    <s v="Beverages"/>
    <x v="2"/>
    <x v="1"/>
    <x v="48"/>
    <n v="2.99"/>
    <x v="509"/>
  </r>
  <r>
    <s v="SAL-00899"/>
    <x v="117"/>
    <x v="47"/>
    <x v="47"/>
    <s v="Burgers"/>
    <x v="1"/>
    <x v="0"/>
    <x v="49"/>
    <n v="2.99"/>
    <x v="213"/>
  </r>
  <r>
    <s v="SAL-00900"/>
    <x v="117"/>
    <x v="119"/>
    <x v="119"/>
    <s v="Burgers"/>
    <x v="0"/>
    <x v="3"/>
    <x v="29"/>
    <n v="2.99"/>
    <x v="165"/>
  </r>
  <r>
    <s v="SAL-00901"/>
    <x v="117"/>
    <x v="83"/>
    <x v="83"/>
    <s v="Sides"/>
    <x v="1"/>
    <x v="2"/>
    <x v="25"/>
    <n v="3.99"/>
    <x v="510"/>
  </r>
  <r>
    <s v="SAL-00902"/>
    <x v="117"/>
    <x v="176"/>
    <x v="176"/>
    <s v="Beverages"/>
    <x v="0"/>
    <x v="1"/>
    <x v="9"/>
    <n v="2.99"/>
    <x v="261"/>
  </r>
  <r>
    <s v="SAL-00903"/>
    <x v="117"/>
    <x v="121"/>
    <x v="121"/>
    <s v="Beverages"/>
    <x v="2"/>
    <x v="2"/>
    <x v="30"/>
    <n v="1.99"/>
    <x v="364"/>
  </r>
  <r>
    <s v="SAL-00904"/>
    <x v="118"/>
    <x v="68"/>
    <x v="68"/>
    <s v="Sides"/>
    <x v="0"/>
    <x v="1"/>
    <x v="23"/>
    <n v="4.49"/>
    <x v="441"/>
  </r>
  <r>
    <s v="SAL-00905"/>
    <x v="118"/>
    <x v="87"/>
    <x v="87"/>
    <s v="Burgers"/>
    <x v="0"/>
    <x v="1"/>
    <x v="21"/>
    <n v="6.99"/>
    <x v="381"/>
  </r>
  <r>
    <s v="SAL-00906"/>
    <x v="118"/>
    <x v="54"/>
    <x v="54"/>
    <s v="Chicken"/>
    <x v="0"/>
    <x v="3"/>
    <x v="8"/>
    <n v="7.49"/>
    <x v="511"/>
  </r>
  <r>
    <s v="SAL-00907"/>
    <x v="118"/>
    <x v="122"/>
    <x v="122"/>
    <s v="Desserts"/>
    <x v="1"/>
    <x v="2"/>
    <x v="12"/>
    <n v="4.99"/>
    <x v="512"/>
  </r>
  <r>
    <s v="SAL-00908"/>
    <x v="118"/>
    <x v="98"/>
    <x v="98"/>
    <s v="Beverages"/>
    <x v="0"/>
    <x v="3"/>
    <x v="37"/>
    <n v="1.99"/>
    <x v="513"/>
  </r>
  <r>
    <s v="SAL-00909"/>
    <x v="118"/>
    <x v="137"/>
    <x v="137"/>
    <s v="Burgers"/>
    <x v="0"/>
    <x v="1"/>
    <x v="9"/>
    <n v="8.99"/>
    <x v="514"/>
  </r>
  <r>
    <s v="SAL-00910"/>
    <x v="118"/>
    <x v="73"/>
    <x v="73"/>
    <s v="Beverages"/>
    <x v="0"/>
    <x v="1"/>
    <x v="2"/>
    <n v="2.4900000000000002"/>
    <x v="87"/>
  </r>
  <r>
    <s v="SAL-00911"/>
    <x v="118"/>
    <x v="66"/>
    <x v="66"/>
    <s v="Sides"/>
    <x v="1"/>
    <x v="2"/>
    <x v="10"/>
    <n v="4.49"/>
    <x v="80"/>
  </r>
  <r>
    <s v="SAL-00912"/>
    <x v="118"/>
    <x v="43"/>
    <x v="43"/>
    <s v="Chicken"/>
    <x v="2"/>
    <x v="3"/>
    <x v="19"/>
    <n v="4.99"/>
    <x v="22"/>
  </r>
  <r>
    <s v="SAL-00913"/>
    <x v="118"/>
    <x v="95"/>
    <x v="95"/>
    <s v="Beverages"/>
    <x v="2"/>
    <x v="3"/>
    <x v="3"/>
    <n v="3.99"/>
    <x v="32"/>
  </r>
  <r>
    <s v="SAL-00914"/>
    <x v="118"/>
    <x v="68"/>
    <x v="68"/>
    <s v="Sides"/>
    <x v="0"/>
    <x v="2"/>
    <x v="41"/>
    <n v="4.49"/>
    <x v="515"/>
  </r>
  <r>
    <s v="SAL-00915"/>
    <x v="118"/>
    <x v="118"/>
    <x v="118"/>
    <s v="Breakfast"/>
    <x v="0"/>
    <x v="1"/>
    <x v="6"/>
    <n v="4.99"/>
    <x v="8"/>
  </r>
  <r>
    <s v="SAL-00916"/>
    <x v="119"/>
    <x v="123"/>
    <x v="123"/>
    <s v="Burgers"/>
    <x v="2"/>
    <x v="1"/>
    <x v="17"/>
    <n v="5.99"/>
    <x v="19"/>
  </r>
  <r>
    <s v="SAL-00917"/>
    <x v="119"/>
    <x v="37"/>
    <x v="37"/>
    <s v="Sides"/>
    <x v="2"/>
    <x v="2"/>
    <x v="39"/>
    <n v="4.99"/>
    <x v="516"/>
  </r>
  <r>
    <s v="SAL-00918"/>
    <x v="119"/>
    <x v="178"/>
    <x v="178"/>
    <s v="Chicken"/>
    <x v="0"/>
    <x v="1"/>
    <x v="40"/>
    <n v="7.49"/>
    <x v="517"/>
  </r>
  <r>
    <s v="SAL-00919"/>
    <x v="120"/>
    <x v="55"/>
    <x v="55"/>
    <s v="Desserts"/>
    <x v="2"/>
    <x v="2"/>
    <x v="48"/>
    <n v="3.49"/>
    <x v="518"/>
  </r>
  <r>
    <s v="SAL-00920"/>
    <x v="120"/>
    <x v="115"/>
    <x v="115"/>
    <s v="Chicken"/>
    <x v="2"/>
    <x v="2"/>
    <x v="34"/>
    <n v="6.99"/>
    <x v="102"/>
  </r>
  <r>
    <s v="SAL-00921"/>
    <x v="120"/>
    <x v="137"/>
    <x v="137"/>
    <s v="Burgers"/>
    <x v="0"/>
    <x v="1"/>
    <x v="15"/>
    <n v="8.99"/>
    <x v="17"/>
  </r>
  <r>
    <s v="SAL-00922"/>
    <x v="120"/>
    <x v="84"/>
    <x v="84"/>
    <s v="Chicken"/>
    <x v="2"/>
    <x v="1"/>
    <x v="26"/>
    <n v="6.99"/>
    <x v="490"/>
  </r>
  <r>
    <s v="SAL-00923"/>
    <x v="121"/>
    <x v="107"/>
    <x v="107"/>
    <s v="Chicken"/>
    <x v="0"/>
    <x v="0"/>
    <x v="49"/>
    <n v="5.99"/>
    <x v="519"/>
  </r>
  <r>
    <s v="SAL-00924"/>
    <x v="121"/>
    <x v="130"/>
    <x v="130"/>
    <s v="Desserts"/>
    <x v="0"/>
    <x v="2"/>
    <x v="22"/>
    <n v="1.49"/>
    <x v="184"/>
  </r>
  <r>
    <s v="SAL-00925"/>
    <x v="121"/>
    <x v="21"/>
    <x v="21"/>
    <s v="Desserts"/>
    <x v="0"/>
    <x v="2"/>
    <x v="14"/>
    <n v="2.99"/>
    <x v="76"/>
  </r>
  <r>
    <s v="SAL-00926"/>
    <x v="121"/>
    <x v="40"/>
    <x v="40"/>
    <s v="Beverages"/>
    <x v="2"/>
    <x v="1"/>
    <x v="40"/>
    <n v="2.99"/>
    <x v="158"/>
  </r>
  <r>
    <s v="SAL-00927"/>
    <x v="121"/>
    <x v="143"/>
    <x v="143"/>
    <s v="Burgers"/>
    <x v="2"/>
    <x v="2"/>
    <x v="28"/>
    <n v="8.49"/>
    <x v="520"/>
  </r>
  <r>
    <s v="SAL-00928"/>
    <x v="121"/>
    <x v="118"/>
    <x v="118"/>
    <s v="Breakfast"/>
    <x v="0"/>
    <x v="0"/>
    <x v="40"/>
    <n v="4.99"/>
    <x v="521"/>
  </r>
  <r>
    <s v="SAL-00929"/>
    <x v="121"/>
    <x v="88"/>
    <x v="88"/>
    <s v="Beverages"/>
    <x v="2"/>
    <x v="1"/>
    <x v="45"/>
    <n v="2.99"/>
    <x v="203"/>
  </r>
  <r>
    <s v="SAL-00930"/>
    <x v="122"/>
    <x v="126"/>
    <x v="126"/>
    <s v="Beverages"/>
    <x v="2"/>
    <x v="2"/>
    <x v="7"/>
    <n v="2.99"/>
    <x v="20"/>
  </r>
  <r>
    <s v="SAL-00931"/>
    <x v="122"/>
    <x v="134"/>
    <x v="134"/>
    <s v="Beverages"/>
    <x v="0"/>
    <x v="3"/>
    <x v="12"/>
    <n v="2.99"/>
    <x v="133"/>
  </r>
  <r>
    <s v="SAL-00932"/>
    <x v="122"/>
    <x v="16"/>
    <x v="16"/>
    <s v="Burgers"/>
    <x v="0"/>
    <x v="2"/>
    <x v="50"/>
    <n v="8.99"/>
    <x v="320"/>
  </r>
  <r>
    <s v="SAL-00933"/>
    <x v="122"/>
    <x v="110"/>
    <x v="110"/>
    <s v="Chicken"/>
    <x v="0"/>
    <x v="1"/>
    <x v="20"/>
    <n v="6.99"/>
    <x v="353"/>
  </r>
  <r>
    <s v="SAL-00934"/>
    <x v="122"/>
    <x v="7"/>
    <x v="7"/>
    <s v="Sauces &amp; Add-ons"/>
    <x v="2"/>
    <x v="1"/>
    <x v="9"/>
    <n v="0.5"/>
    <x v="522"/>
  </r>
  <r>
    <s v="SAL-00935"/>
    <x v="122"/>
    <x v="73"/>
    <x v="73"/>
    <s v="Beverages"/>
    <x v="1"/>
    <x v="2"/>
    <x v="38"/>
    <n v="2.4900000000000002"/>
    <x v="276"/>
  </r>
  <r>
    <s v="SAL-00936"/>
    <x v="122"/>
    <x v="111"/>
    <x v="111"/>
    <s v="Desserts"/>
    <x v="2"/>
    <x v="1"/>
    <x v="11"/>
    <n v="4.99"/>
    <x v="295"/>
  </r>
  <r>
    <s v="SAL-00937"/>
    <x v="123"/>
    <x v="153"/>
    <x v="153"/>
    <s v="Breakfast"/>
    <x v="1"/>
    <x v="3"/>
    <x v="26"/>
    <n v="4.99"/>
    <x v="39"/>
  </r>
  <r>
    <s v="SAL-00938"/>
    <x v="123"/>
    <x v="42"/>
    <x v="42"/>
    <s v="Sides"/>
    <x v="2"/>
    <x v="1"/>
    <x v="39"/>
    <n v="4.49"/>
    <x v="523"/>
  </r>
  <r>
    <s v="SAL-00939"/>
    <x v="123"/>
    <x v="151"/>
    <x v="151"/>
    <s v="Chicken"/>
    <x v="2"/>
    <x v="3"/>
    <x v="38"/>
    <n v="5.99"/>
    <x v="484"/>
  </r>
  <r>
    <s v="SAL-00940"/>
    <x v="123"/>
    <x v="25"/>
    <x v="25"/>
    <s v="Chicken"/>
    <x v="0"/>
    <x v="2"/>
    <x v="50"/>
    <n v="6.99"/>
    <x v="458"/>
  </r>
  <r>
    <s v="SAL-00941"/>
    <x v="124"/>
    <x v="2"/>
    <x v="2"/>
    <s v="Chicken"/>
    <x v="1"/>
    <x v="1"/>
    <x v="9"/>
    <n v="6.99"/>
    <x v="216"/>
  </r>
  <r>
    <s v="SAL-00942"/>
    <x v="124"/>
    <x v="63"/>
    <x v="63"/>
    <s v="Burgers"/>
    <x v="1"/>
    <x v="1"/>
    <x v="34"/>
    <n v="6.49"/>
    <x v="524"/>
  </r>
  <r>
    <s v="SAL-00943"/>
    <x v="124"/>
    <x v="76"/>
    <x v="76"/>
    <s v="Beverages"/>
    <x v="0"/>
    <x v="1"/>
    <x v="5"/>
    <n v="3.99"/>
    <x v="525"/>
  </r>
  <r>
    <s v="SAL-00944"/>
    <x v="124"/>
    <x v="49"/>
    <x v="49"/>
    <s v="Beverages"/>
    <x v="0"/>
    <x v="2"/>
    <x v="2"/>
    <n v="2.99"/>
    <x v="108"/>
  </r>
  <r>
    <s v="SAL-00945"/>
    <x v="124"/>
    <x v="31"/>
    <x v="31"/>
    <s v="Beverages"/>
    <x v="2"/>
    <x v="1"/>
    <x v="25"/>
    <n v="3.99"/>
    <x v="510"/>
  </r>
  <r>
    <s v="SAL-00946"/>
    <x v="125"/>
    <x v="10"/>
    <x v="10"/>
    <s v="Beverages"/>
    <x v="2"/>
    <x v="1"/>
    <x v="6"/>
    <n v="1.99"/>
    <x v="296"/>
  </r>
  <r>
    <s v="SAL-00947"/>
    <x v="125"/>
    <x v="178"/>
    <x v="178"/>
    <s v="Chicken"/>
    <x v="2"/>
    <x v="2"/>
    <x v="23"/>
    <n v="7.49"/>
    <x v="526"/>
  </r>
  <r>
    <s v="SAL-00948"/>
    <x v="125"/>
    <x v="74"/>
    <x v="74"/>
    <s v="Breakfast"/>
    <x v="0"/>
    <x v="1"/>
    <x v="37"/>
    <n v="4.99"/>
    <x v="284"/>
  </r>
  <r>
    <s v="SAL-00949"/>
    <x v="125"/>
    <x v="28"/>
    <x v="28"/>
    <s v="Chicken"/>
    <x v="0"/>
    <x v="3"/>
    <x v="29"/>
    <n v="7.99"/>
    <x v="527"/>
  </r>
  <r>
    <s v="SAL-00950"/>
    <x v="125"/>
    <x v="193"/>
    <x v="193"/>
    <s v="Salads"/>
    <x v="0"/>
    <x v="3"/>
    <x v="37"/>
    <n v="9.49"/>
    <x v="528"/>
  </r>
  <r>
    <s v="SAL-00951"/>
    <x v="125"/>
    <x v="68"/>
    <x v="68"/>
    <s v="Sides"/>
    <x v="2"/>
    <x v="0"/>
    <x v="37"/>
    <n v="4.49"/>
    <x v="529"/>
  </r>
  <r>
    <s v="SAL-00952"/>
    <x v="125"/>
    <x v="24"/>
    <x v="24"/>
    <s v="Combo Meals"/>
    <x v="0"/>
    <x v="1"/>
    <x v="23"/>
    <n v="10.99"/>
    <x v="26"/>
  </r>
  <r>
    <s v="SAL-00953"/>
    <x v="126"/>
    <x v="133"/>
    <x v="133"/>
    <s v="Beverages"/>
    <x v="2"/>
    <x v="2"/>
    <x v="21"/>
    <n v="2.99"/>
    <x v="24"/>
  </r>
  <r>
    <s v="SAL-00954"/>
    <x v="126"/>
    <x v="87"/>
    <x v="87"/>
    <s v="Burgers"/>
    <x v="2"/>
    <x v="0"/>
    <x v="47"/>
    <n v="6.99"/>
    <x v="530"/>
  </r>
  <r>
    <s v="SAL-00955"/>
    <x v="126"/>
    <x v="168"/>
    <x v="168"/>
    <s v="Breakfast"/>
    <x v="0"/>
    <x v="2"/>
    <x v="23"/>
    <n v="2.4900000000000002"/>
    <x v="273"/>
  </r>
  <r>
    <s v="SAL-00956"/>
    <x v="126"/>
    <x v="48"/>
    <x v="48"/>
    <s v="Beverages"/>
    <x v="0"/>
    <x v="1"/>
    <x v="16"/>
    <n v="3.99"/>
    <x v="399"/>
  </r>
  <r>
    <s v="SAL-00957"/>
    <x v="127"/>
    <x v="52"/>
    <x v="52"/>
    <s v="Chicken"/>
    <x v="2"/>
    <x v="1"/>
    <x v="15"/>
    <n v="11.99"/>
    <x v="531"/>
  </r>
  <r>
    <s v="SAL-00958"/>
    <x v="127"/>
    <x v="62"/>
    <x v="62"/>
    <s v="Combo Meals"/>
    <x v="2"/>
    <x v="3"/>
    <x v="21"/>
    <n v="11.99"/>
    <x v="532"/>
  </r>
  <r>
    <s v="SAL-00959"/>
    <x v="127"/>
    <x v="26"/>
    <x v="26"/>
    <s v="Beverages"/>
    <x v="0"/>
    <x v="3"/>
    <x v="4"/>
    <n v="2.99"/>
    <x v="28"/>
  </r>
  <r>
    <s v="SAL-00960"/>
    <x v="127"/>
    <x v="91"/>
    <x v="91"/>
    <s v="Sides"/>
    <x v="1"/>
    <x v="0"/>
    <x v="8"/>
    <n v="4.99"/>
    <x v="110"/>
  </r>
  <r>
    <s v="SAL-00961"/>
    <x v="127"/>
    <x v="115"/>
    <x v="115"/>
    <s v="Chicken"/>
    <x v="2"/>
    <x v="1"/>
    <x v="35"/>
    <n v="6.99"/>
    <x v="495"/>
  </r>
  <r>
    <s v="SAL-00962"/>
    <x v="127"/>
    <x v="119"/>
    <x v="119"/>
    <s v="Burgers"/>
    <x v="0"/>
    <x v="1"/>
    <x v="33"/>
    <n v="2.99"/>
    <x v="263"/>
  </r>
  <r>
    <s v="SAL-00963"/>
    <x v="127"/>
    <x v="113"/>
    <x v="113"/>
    <s v="Salads"/>
    <x v="0"/>
    <x v="1"/>
    <x v="46"/>
    <n v="6.99"/>
    <x v="533"/>
  </r>
  <r>
    <s v="SAL-00964"/>
    <x v="127"/>
    <x v="33"/>
    <x v="33"/>
    <s v="Burgers"/>
    <x v="1"/>
    <x v="1"/>
    <x v="16"/>
    <n v="6.99"/>
    <x v="400"/>
  </r>
  <r>
    <s v="SAL-00965"/>
    <x v="128"/>
    <x v="99"/>
    <x v="99"/>
    <s v="Salads"/>
    <x v="2"/>
    <x v="1"/>
    <x v="34"/>
    <n v="8.99"/>
    <x v="534"/>
  </r>
  <r>
    <s v="SAL-00966"/>
    <x v="128"/>
    <x v="40"/>
    <x v="40"/>
    <s v="Beverages"/>
    <x v="2"/>
    <x v="3"/>
    <x v="18"/>
    <n v="2.99"/>
    <x v="21"/>
  </r>
  <r>
    <s v="SAL-00967"/>
    <x v="128"/>
    <x v="12"/>
    <x v="12"/>
    <s v="Combo Meals"/>
    <x v="2"/>
    <x v="1"/>
    <x v="41"/>
    <n v="9.99"/>
    <x v="535"/>
  </r>
  <r>
    <s v="SAL-00968"/>
    <x v="128"/>
    <x v="17"/>
    <x v="17"/>
    <s v="Beverages"/>
    <x v="0"/>
    <x v="2"/>
    <x v="1"/>
    <n v="2.99"/>
    <x v="308"/>
  </r>
  <r>
    <s v="SAL-00969"/>
    <x v="128"/>
    <x v="190"/>
    <x v="190"/>
    <s v="Sauces &amp; Add-ons"/>
    <x v="0"/>
    <x v="0"/>
    <x v="29"/>
    <n v="0.5"/>
    <x v="536"/>
  </r>
  <r>
    <s v="SAL-00970"/>
    <x v="128"/>
    <x v="4"/>
    <x v="4"/>
    <s v="Beverages"/>
    <x v="1"/>
    <x v="2"/>
    <x v="41"/>
    <n v="1.99"/>
    <x v="508"/>
  </r>
  <r>
    <s v="SAL-00971"/>
    <x v="128"/>
    <x v="37"/>
    <x v="37"/>
    <s v="Sides"/>
    <x v="0"/>
    <x v="0"/>
    <x v="32"/>
    <n v="4.99"/>
    <x v="537"/>
  </r>
  <r>
    <s v="SAL-00972"/>
    <x v="128"/>
    <x v="4"/>
    <x v="4"/>
    <s v="Beverages"/>
    <x v="2"/>
    <x v="1"/>
    <x v="23"/>
    <n v="1.99"/>
    <x v="130"/>
  </r>
  <r>
    <s v="SAL-00973"/>
    <x v="128"/>
    <x v="26"/>
    <x v="26"/>
    <s v="Beverages"/>
    <x v="0"/>
    <x v="3"/>
    <x v="34"/>
    <n v="2.99"/>
    <x v="143"/>
  </r>
  <r>
    <s v="SAL-00974"/>
    <x v="128"/>
    <x v="102"/>
    <x v="102"/>
    <s v="Beverages"/>
    <x v="1"/>
    <x v="0"/>
    <x v="28"/>
    <n v="2.4900000000000002"/>
    <x v="538"/>
  </r>
  <r>
    <s v="SAL-00975"/>
    <x v="128"/>
    <x v="101"/>
    <x v="101"/>
    <s v="Beverages"/>
    <x v="0"/>
    <x v="2"/>
    <x v="30"/>
    <n v="1.99"/>
    <x v="364"/>
  </r>
  <r>
    <s v="SAL-00976"/>
    <x v="128"/>
    <x v="11"/>
    <x v="11"/>
    <s v="Desserts"/>
    <x v="0"/>
    <x v="3"/>
    <x v="51"/>
    <n v="5.99"/>
    <x v="539"/>
  </r>
  <r>
    <s v="SAL-00977"/>
    <x v="128"/>
    <x v="56"/>
    <x v="56"/>
    <s v="Beverages"/>
    <x v="2"/>
    <x v="1"/>
    <x v="42"/>
    <n v="2.99"/>
    <x v="90"/>
  </r>
  <r>
    <s v="SAL-00978"/>
    <x v="129"/>
    <x v="138"/>
    <x v="138"/>
    <s v="Breakfast"/>
    <x v="1"/>
    <x v="3"/>
    <x v="40"/>
    <n v="2.99"/>
    <x v="158"/>
  </r>
  <r>
    <s v="SAL-00979"/>
    <x v="129"/>
    <x v="41"/>
    <x v="41"/>
    <s v="Chicken"/>
    <x v="1"/>
    <x v="3"/>
    <x v="50"/>
    <n v="4.99"/>
    <x v="540"/>
  </r>
  <r>
    <s v="SAL-00980"/>
    <x v="129"/>
    <x v="33"/>
    <x v="33"/>
    <s v="Burgers"/>
    <x v="0"/>
    <x v="0"/>
    <x v="39"/>
    <n v="6.99"/>
    <x v="541"/>
  </r>
  <r>
    <s v="SAL-00981"/>
    <x v="129"/>
    <x v="57"/>
    <x v="57"/>
    <s v="Chicken"/>
    <x v="2"/>
    <x v="0"/>
    <x v="36"/>
    <n v="11.99"/>
    <x v="542"/>
  </r>
  <r>
    <s v="SAL-00982"/>
    <x v="129"/>
    <x v="64"/>
    <x v="64"/>
    <s v="Sides"/>
    <x v="2"/>
    <x v="2"/>
    <x v="52"/>
    <n v="3.99"/>
    <x v="543"/>
  </r>
  <r>
    <s v="SAL-00983"/>
    <x v="129"/>
    <x v="41"/>
    <x v="41"/>
    <s v="Chicken"/>
    <x v="2"/>
    <x v="1"/>
    <x v="23"/>
    <n v="4.99"/>
    <x v="439"/>
  </r>
  <r>
    <s v="SAL-00984"/>
    <x v="129"/>
    <x v="21"/>
    <x v="21"/>
    <s v="Desserts"/>
    <x v="0"/>
    <x v="2"/>
    <x v="44"/>
    <n v="2.99"/>
    <x v="323"/>
  </r>
  <r>
    <s v="SAL-00985"/>
    <x v="129"/>
    <x v="18"/>
    <x v="18"/>
    <s v="Breakfast"/>
    <x v="1"/>
    <x v="2"/>
    <x v="16"/>
    <n v="5.99"/>
    <x v="422"/>
  </r>
  <r>
    <s v="SAL-00986"/>
    <x v="130"/>
    <x v="178"/>
    <x v="178"/>
    <s v="Chicken"/>
    <x v="2"/>
    <x v="1"/>
    <x v="21"/>
    <n v="7.49"/>
    <x v="544"/>
  </r>
  <r>
    <s v="SAL-00987"/>
    <x v="130"/>
    <x v="4"/>
    <x v="4"/>
    <s v="Beverages"/>
    <x v="0"/>
    <x v="1"/>
    <x v="53"/>
    <n v="1.99"/>
    <x v="545"/>
  </r>
  <r>
    <s v="SAL-00988"/>
    <x v="130"/>
    <x v="147"/>
    <x v="147"/>
    <s v="Burgers"/>
    <x v="0"/>
    <x v="1"/>
    <x v="45"/>
    <n v="9.99"/>
    <x v="546"/>
  </r>
  <r>
    <s v="SAL-00989"/>
    <x v="130"/>
    <x v="93"/>
    <x v="93"/>
    <s v="Burgers"/>
    <x v="0"/>
    <x v="2"/>
    <x v="18"/>
    <n v="8.99"/>
    <x v="547"/>
  </r>
  <r>
    <s v="SAL-00990"/>
    <x v="130"/>
    <x v="20"/>
    <x v="20"/>
    <s v="Sides"/>
    <x v="2"/>
    <x v="0"/>
    <x v="20"/>
    <n v="4.99"/>
    <x v="548"/>
  </r>
  <r>
    <s v="SAL-00991"/>
    <x v="131"/>
    <x v="114"/>
    <x v="114"/>
    <s v="Burgers"/>
    <x v="1"/>
    <x v="1"/>
    <x v="23"/>
    <n v="7.99"/>
    <x v="224"/>
  </r>
  <r>
    <s v="SAL-00992"/>
    <x v="131"/>
    <x v="51"/>
    <x v="51"/>
    <s v="Combo Meals"/>
    <x v="0"/>
    <x v="3"/>
    <x v="54"/>
    <n v="12.99"/>
    <x v="549"/>
  </r>
  <r>
    <s v="SAL-00993"/>
    <x v="131"/>
    <x v="161"/>
    <x v="161"/>
    <s v="Breakfast"/>
    <x v="2"/>
    <x v="1"/>
    <x v="31"/>
    <n v="5.99"/>
    <x v="242"/>
  </r>
  <r>
    <s v="SAL-00994"/>
    <x v="131"/>
    <x v="42"/>
    <x v="42"/>
    <s v="Sides"/>
    <x v="2"/>
    <x v="3"/>
    <x v="3"/>
    <n v="4.49"/>
    <x v="550"/>
  </r>
  <r>
    <s v="SAL-00995"/>
    <x v="131"/>
    <x v="85"/>
    <x v="85"/>
    <s v="Kids Meals"/>
    <x v="2"/>
    <x v="1"/>
    <x v="48"/>
    <n v="6.49"/>
    <x v="245"/>
  </r>
  <r>
    <s v="SAL-00996"/>
    <x v="131"/>
    <x v="182"/>
    <x v="182"/>
    <s v="Kids Meals"/>
    <x v="2"/>
    <x v="3"/>
    <x v="27"/>
    <n v="5.99"/>
    <x v="286"/>
  </r>
  <r>
    <s v="SAL-00997"/>
    <x v="131"/>
    <x v="142"/>
    <x v="142"/>
    <s v="Breakfast"/>
    <x v="0"/>
    <x v="1"/>
    <x v="12"/>
    <n v="3.99"/>
    <x v="101"/>
  </r>
  <r>
    <s v="SAL-00998"/>
    <x v="131"/>
    <x v="178"/>
    <x v="178"/>
    <s v="Chicken"/>
    <x v="2"/>
    <x v="1"/>
    <x v="44"/>
    <n v="7.49"/>
    <x v="316"/>
  </r>
  <r>
    <s v="SAL-00999"/>
    <x v="131"/>
    <x v="163"/>
    <x v="163"/>
    <s v="Burgers"/>
    <x v="2"/>
    <x v="0"/>
    <x v="42"/>
    <n v="7.99"/>
    <x v="389"/>
  </r>
  <r>
    <s v="SAL-01000"/>
    <x v="132"/>
    <x v="87"/>
    <x v="87"/>
    <s v="Burgers"/>
    <x v="0"/>
    <x v="3"/>
    <x v="3"/>
    <n v="6.99"/>
    <x v="419"/>
  </r>
  <r>
    <s v="SAL-01001"/>
    <x v="132"/>
    <x v="169"/>
    <x v="169"/>
    <s v="Sides"/>
    <x v="2"/>
    <x v="1"/>
    <x v="12"/>
    <n v="3.99"/>
    <x v="101"/>
  </r>
  <r>
    <s v="SAL-01002"/>
    <x v="132"/>
    <x v="113"/>
    <x v="113"/>
    <s v="Salads"/>
    <x v="2"/>
    <x v="1"/>
    <x v="36"/>
    <n v="6.99"/>
    <x v="499"/>
  </r>
  <r>
    <s v="SAL-01003"/>
    <x v="132"/>
    <x v="110"/>
    <x v="110"/>
    <s v="Chicken"/>
    <x v="0"/>
    <x v="1"/>
    <x v="20"/>
    <n v="6.99"/>
    <x v="353"/>
  </r>
  <r>
    <s v="SAL-01004"/>
    <x v="132"/>
    <x v="83"/>
    <x v="83"/>
    <s v="Sides"/>
    <x v="2"/>
    <x v="0"/>
    <x v="14"/>
    <n v="3.99"/>
    <x v="447"/>
  </r>
  <r>
    <s v="SAL-01005"/>
    <x v="132"/>
    <x v="193"/>
    <x v="193"/>
    <s v="Salads"/>
    <x v="0"/>
    <x v="1"/>
    <x v="42"/>
    <n v="9.49"/>
    <x v="551"/>
  </r>
  <r>
    <s v="SAL-01006"/>
    <x v="132"/>
    <x v="169"/>
    <x v="169"/>
    <s v="Sides"/>
    <x v="2"/>
    <x v="3"/>
    <x v="9"/>
    <n v="3.99"/>
    <x v="44"/>
  </r>
  <r>
    <s v="SAL-01007"/>
    <x v="133"/>
    <x v="48"/>
    <x v="48"/>
    <s v="Beverages"/>
    <x v="1"/>
    <x v="0"/>
    <x v="33"/>
    <n v="3.99"/>
    <x v="362"/>
  </r>
  <r>
    <s v="SAL-01008"/>
    <x v="133"/>
    <x v="149"/>
    <x v="149"/>
    <s v="Sauces &amp; Add-ons"/>
    <x v="2"/>
    <x v="2"/>
    <x v="55"/>
    <n v="0.25"/>
    <x v="552"/>
  </r>
  <r>
    <s v="SAL-01009"/>
    <x v="133"/>
    <x v="98"/>
    <x v="98"/>
    <s v="Beverages"/>
    <x v="2"/>
    <x v="2"/>
    <x v="32"/>
    <n v="1.99"/>
    <x v="283"/>
  </r>
  <r>
    <s v="SAL-01010"/>
    <x v="133"/>
    <x v="175"/>
    <x v="175"/>
    <s v="Breakfast"/>
    <x v="1"/>
    <x v="2"/>
    <x v="55"/>
    <n v="4.99"/>
    <x v="553"/>
  </r>
  <r>
    <s v="SAL-01011"/>
    <x v="133"/>
    <x v="15"/>
    <x v="15"/>
    <s v="Burgers"/>
    <x v="2"/>
    <x v="1"/>
    <x v="26"/>
    <n v="5.99"/>
    <x v="554"/>
  </r>
  <r>
    <s v="SAL-01012"/>
    <x v="133"/>
    <x v="114"/>
    <x v="114"/>
    <s v="Burgers"/>
    <x v="0"/>
    <x v="2"/>
    <x v="54"/>
    <n v="7.99"/>
    <x v="555"/>
  </r>
  <r>
    <s v="SAL-01013"/>
    <x v="133"/>
    <x v="44"/>
    <x v="44"/>
    <s v="Breakfast"/>
    <x v="2"/>
    <x v="1"/>
    <x v="41"/>
    <n v="2.99"/>
    <x v="154"/>
  </r>
  <r>
    <s v="SAL-01014"/>
    <x v="133"/>
    <x v="172"/>
    <x v="172"/>
    <s v="Combo Meals"/>
    <x v="0"/>
    <x v="1"/>
    <x v="17"/>
    <n v="10.99"/>
    <x v="556"/>
  </r>
  <r>
    <s v="SAL-01015"/>
    <x v="134"/>
    <x v="121"/>
    <x v="121"/>
    <s v="Beverages"/>
    <x v="1"/>
    <x v="2"/>
    <x v="26"/>
    <n v="1.99"/>
    <x v="557"/>
  </r>
  <r>
    <s v="SAL-01016"/>
    <x v="134"/>
    <x v="24"/>
    <x v="24"/>
    <s v="Combo Meals"/>
    <x v="0"/>
    <x v="1"/>
    <x v="17"/>
    <n v="10.99"/>
    <x v="556"/>
  </r>
  <r>
    <s v="SAL-01017"/>
    <x v="134"/>
    <x v="159"/>
    <x v="159"/>
    <s v="Combo Meals"/>
    <x v="0"/>
    <x v="1"/>
    <x v="12"/>
    <n v="8.99"/>
    <x v="163"/>
  </r>
  <r>
    <s v="SAL-01018"/>
    <x v="134"/>
    <x v="177"/>
    <x v="177"/>
    <s v="Beverages"/>
    <x v="1"/>
    <x v="1"/>
    <x v="6"/>
    <n v="2.4900000000000002"/>
    <x v="558"/>
  </r>
  <r>
    <s v="SAL-01019"/>
    <x v="134"/>
    <x v="103"/>
    <x v="103"/>
    <s v="Desserts"/>
    <x v="1"/>
    <x v="1"/>
    <x v="23"/>
    <n v="5.99"/>
    <x v="559"/>
  </r>
  <r>
    <s v="SAL-01020"/>
    <x v="134"/>
    <x v="184"/>
    <x v="184"/>
    <s v="Beverages"/>
    <x v="1"/>
    <x v="3"/>
    <x v="26"/>
    <n v="2.99"/>
    <x v="54"/>
  </r>
  <r>
    <s v="SAL-01021"/>
    <x v="135"/>
    <x v="1"/>
    <x v="1"/>
    <s v="Kids Meals"/>
    <x v="2"/>
    <x v="1"/>
    <x v="56"/>
    <n v="5.99"/>
    <x v="560"/>
  </r>
  <r>
    <s v="SAL-01022"/>
    <x v="135"/>
    <x v="65"/>
    <x v="65"/>
    <s v="Desserts"/>
    <x v="0"/>
    <x v="3"/>
    <x v="57"/>
    <n v="3.49"/>
    <x v="561"/>
  </r>
  <r>
    <s v="SAL-01023"/>
    <x v="135"/>
    <x v="113"/>
    <x v="113"/>
    <s v="Salads"/>
    <x v="2"/>
    <x v="1"/>
    <x v="37"/>
    <n v="6.99"/>
    <x v="562"/>
  </r>
  <r>
    <s v="SAL-01024"/>
    <x v="135"/>
    <x v="2"/>
    <x v="2"/>
    <s v="Chicken"/>
    <x v="0"/>
    <x v="3"/>
    <x v="41"/>
    <n v="6.99"/>
    <x v="187"/>
  </r>
  <r>
    <s v="SAL-01025"/>
    <x v="135"/>
    <x v="76"/>
    <x v="76"/>
    <s v="Beverages"/>
    <x v="2"/>
    <x v="0"/>
    <x v="16"/>
    <n v="3.99"/>
    <x v="399"/>
  </r>
  <r>
    <s v="SAL-01026"/>
    <x v="136"/>
    <x v="166"/>
    <x v="166"/>
    <s v="Beverages"/>
    <x v="0"/>
    <x v="1"/>
    <x v="33"/>
    <n v="2.4900000000000002"/>
    <x v="563"/>
  </r>
  <r>
    <s v="SAL-01027"/>
    <x v="136"/>
    <x v="12"/>
    <x v="12"/>
    <s v="Combo Meals"/>
    <x v="2"/>
    <x v="1"/>
    <x v="29"/>
    <n v="9.99"/>
    <x v="45"/>
  </r>
  <r>
    <s v="SAL-01028"/>
    <x v="136"/>
    <x v="41"/>
    <x v="41"/>
    <s v="Chicken"/>
    <x v="0"/>
    <x v="1"/>
    <x v="17"/>
    <n v="4.99"/>
    <x v="191"/>
  </r>
  <r>
    <s v="SAL-01029"/>
    <x v="136"/>
    <x v="166"/>
    <x v="166"/>
    <s v="Beverages"/>
    <x v="2"/>
    <x v="3"/>
    <x v="52"/>
    <n v="2.4900000000000002"/>
    <x v="564"/>
  </r>
  <r>
    <s v="SAL-01030"/>
    <x v="136"/>
    <x v="93"/>
    <x v="93"/>
    <s v="Burgers"/>
    <x v="0"/>
    <x v="1"/>
    <x v="1"/>
    <n v="8.99"/>
    <x v="565"/>
  </r>
  <r>
    <s v="SAL-01031"/>
    <x v="136"/>
    <x v="130"/>
    <x v="130"/>
    <s v="Desserts"/>
    <x v="0"/>
    <x v="3"/>
    <x v="53"/>
    <n v="1.49"/>
    <x v="566"/>
  </r>
  <r>
    <s v="SAL-01032"/>
    <x v="136"/>
    <x v="48"/>
    <x v="48"/>
    <s v="Beverages"/>
    <x v="1"/>
    <x v="1"/>
    <x v="42"/>
    <n v="3.99"/>
    <x v="141"/>
  </r>
  <r>
    <s v="SAL-01033"/>
    <x v="136"/>
    <x v="156"/>
    <x v="156"/>
    <s v="Sides"/>
    <x v="2"/>
    <x v="1"/>
    <x v="21"/>
    <n v="3.99"/>
    <x v="57"/>
  </r>
  <r>
    <s v="SAL-01034"/>
    <x v="136"/>
    <x v="156"/>
    <x v="156"/>
    <s v="Sides"/>
    <x v="2"/>
    <x v="0"/>
    <x v="22"/>
    <n v="3.99"/>
    <x v="567"/>
  </r>
  <r>
    <s v="SAL-01035"/>
    <x v="137"/>
    <x v="50"/>
    <x v="50"/>
    <s v="Salads"/>
    <x v="0"/>
    <x v="1"/>
    <x v="27"/>
    <n v="6.99"/>
    <x v="140"/>
  </r>
  <r>
    <s v="SAL-01036"/>
    <x v="137"/>
    <x v="96"/>
    <x v="96"/>
    <s v="Breakfast"/>
    <x v="0"/>
    <x v="0"/>
    <x v="33"/>
    <n v="4.99"/>
    <x v="568"/>
  </r>
  <r>
    <s v="SAL-01037"/>
    <x v="137"/>
    <x v="9"/>
    <x v="9"/>
    <s v="Burgers"/>
    <x v="1"/>
    <x v="1"/>
    <x v="17"/>
    <n v="9.99"/>
    <x v="569"/>
  </r>
  <r>
    <s v="SAL-01038"/>
    <x v="137"/>
    <x v="98"/>
    <x v="98"/>
    <s v="Beverages"/>
    <x v="2"/>
    <x v="2"/>
    <x v="11"/>
    <n v="1.99"/>
    <x v="570"/>
  </r>
  <r>
    <s v="SAL-01039"/>
    <x v="137"/>
    <x v="119"/>
    <x v="119"/>
    <s v="Burgers"/>
    <x v="2"/>
    <x v="1"/>
    <x v="3"/>
    <n v="2.99"/>
    <x v="5"/>
  </r>
  <r>
    <s v="SAL-01040"/>
    <x v="137"/>
    <x v="74"/>
    <x v="74"/>
    <s v="Breakfast"/>
    <x v="2"/>
    <x v="3"/>
    <x v="46"/>
    <n v="4.99"/>
    <x v="185"/>
  </r>
  <r>
    <s v="SAL-01041"/>
    <x v="137"/>
    <x v="137"/>
    <x v="137"/>
    <s v="Burgers"/>
    <x v="0"/>
    <x v="0"/>
    <x v="23"/>
    <n v="8.99"/>
    <x v="91"/>
  </r>
  <r>
    <s v="SAL-01042"/>
    <x v="137"/>
    <x v="141"/>
    <x v="141"/>
    <s v="Burgers"/>
    <x v="2"/>
    <x v="3"/>
    <x v="41"/>
    <n v="8.49"/>
    <x v="409"/>
  </r>
  <r>
    <s v="SAL-01043"/>
    <x v="137"/>
    <x v="100"/>
    <x v="100"/>
    <s v="Sides"/>
    <x v="0"/>
    <x v="1"/>
    <x v="47"/>
    <n v="3.99"/>
    <x v="241"/>
  </r>
  <r>
    <s v="SAL-01044"/>
    <x v="137"/>
    <x v="134"/>
    <x v="134"/>
    <s v="Beverages"/>
    <x v="2"/>
    <x v="1"/>
    <x v="29"/>
    <n v="2.99"/>
    <x v="165"/>
  </r>
  <r>
    <s v="SAL-01045"/>
    <x v="137"/>
    <x v="46"/>
    <x v="46"/>
    <s v="Beverages"/>
    <x v="2"/>
    <x v="1"/>
    <x v="8"/>
    <n v="2.99"/>
    <x v="86"/>
  </r>
  <r>
    <s v="SAL-01046"/>
    <x v="138"/>
    <x v="27"/>
    <x v="27"/>
    <s v="Beverages"/>
    <x v="0"/>
    <x v="1"/>
    <x v="24"/>
    <n v="3.99"/>
    <x v="29"/>
  </r>
  <r>
    <s v="SAL-01047"/>
    <x v="138"/>
    <x v="63"/>
    <x v="63"/>
    <s v="Burgers"/>
    <x v="0"/>
    <x v="3"/>
    <x v="33"/>
    <n v="6.49"/>
    <x v="427"/>
  </r>
  <r>
    <s v="SAL-01048"/>
    <x v="138"/>
    <x v="157"/>
    <x v="157"/>
    <s v="Beverages"/>
    <x v="2"/>
    <x v="3"/>
    <x v="37"/>
    <n v="3.99"/>
    <x v="344"/>
  </r>
  <r>
    <s v="SAL-01049"/>
    <x v="138"/>
    <x v="177"/>
    <x v="177"/>
    <s v="Beverages"/>
    <x v="0"/>
    <x v="1"/>
    <x v="33"/>
    <n v="2.4900000000000002"/>
    <x v="563"/>
  </r>
  <r>
    <s v="SAL-01050"/>
    <x v="138"/>
    <x v="83"/>
    <x v="83"/>
    <s v="Sides"/>
    <x v="0"/>
    <x v="0"/>
    <x v="31"/>
    <n v="3.99"/>
    <x v="571"/>
  </r>
  <r>
    <s v="SAL-01051"/>
    <x v="138"/>
    <x v="76"/>
    <x v="76"/>
    <s v="Beverages"/>
    <x v="2"/>
    <x v="3"/>
    <x v="37"/>
    <n v="3.99"/>
    <x v="344"/>
  </r>
  <r>
    <s v="SAL-01052"/>
    <x v="138"/>
    <x v="37"/>
    <x v="37"/>
    <s v="Sides"/>
    <x v="2"/>
    <x v="2"/>
    <x v="14"/>
    <n v="4.99"/>
    <x v="226"/>
  </r>
  <r>
    <s v="SAL-01053"/>
    <x v="138"/>
    <x v="186"/>
    <x v="186"/>
    <s v="Chicken"/>
    <x v="1"/>
    <x v="1"/>
    <x v="6"/>
    <n v="5.99"/>
    <x v="572"/>
  </r>
  <r>
    <s v="SAL-01054"/>
    <x v="138"/>
    <x v="36"/>
    <x v="36"/>
    <s v="Chicken"/>
    <x v="2"/>
    <x v="2"/>
    <x v="4"/>
    <n v="2.99"/>
    <x v="28"/>
  </r>
  <r>
    <s v="SAL-01055"/>
    <x v="138"/>
    <x v="70"/>
    <x v="70"/>
    <s v="Salads"/>
    <x v="1"/>
    <x v="1"/>
    <x v="7"/>
    <n v="8.99"/>
    <x v="423"/>
  </r>
  <r>
    <s v="SAL-01056"/>
    <x v="139"/>
    <x v="157"/>
    <x v="157"/>
    <s v="Beverages"/>
    <x v="1"/>
    <x v="3"/>
    <x v="14"/>
    <n v="3.99"/>
    <x v="447"/>
  </r>
  <r>
    <s v="SAL-01057"/>
    <x v="139"/>
    <x v="85"/>
    <x v="85"/>
    <s v="Kids Meals"/>
    <x v="2"/>
    <x v="0"/>
    <x v="9"/>
    <n v="6.49"/>
    <x v="573"/>
  </r>
  <r>
    <s v="SAL-01058"/>
    <x v="139"/>
    <x v="152"/>
    <x v="152"/>
    <s v="Chicken"/>
    <x v="0"/>
    <x v="0"/>
    <x v="37"/>
    <n v="7.49"/>
    <x v="574"/>
  </r>
  <r>
    <s v="SAL-01059"/>
    <x v="139"/>
    <x v="57"/>
    <x v="57"/>
    <s v="Chicken"/>
    <x v="2"/>
    <x v="1"/>
    <x v="26"/>
    <n v="11.99"/>
    <x v="75"/>
  </r>
  <r>
    <s v="SAL-01060"/>
    <x v="140"/>
    <x v="103"/>
    <x v="103"/>
    <s v="Desserts"/>
    <x v="0"/>
    <x v="1"/>
    <x v="6"/>
    <n v="5.99"/>
    <x v="572"/>
  </r>
  <r>
    <s v="SAL-01061"/>
    <x v="140"/>
    <x v="122"/>
    <x v="122"/>
    <s v="Desserts"/>
    <x v="2"/>
    <x v="1"/>
    <x v="18"/>
    <n v="4.99"/>
    <x v="575"/>
  </r>
  <r>
    <s v="SAL-01062"/>
    <x v="140"/>
    <x v="123"/>
    <x v="123"/>
    <s v="Burgers"/>
    <x v="1"/>
    <x v="1"/>
    <x v="50"/>
    <n v="5.99"/>
    <x v="403"/>
  </r>
  <r>
    <s v="SAL-01063"/>
    <x v="140"/>
    <x v="68"/>
    <x v="68"/>
    <s v="Sides"/>
    <x v="0"/>
    <x v="1"/>
    <x v="20"/>
    <n v="4.49"/>
    <x v="576"/>
  </r>
  <r>
    <s v="SAL-01064"/>
    <x v="140"/>
    <x v="164"/>
    <x v="164"/>
    <s v="Desserts"/>
    <x v="2"/>
    <x v="1"/>
    <x v="54"/>
    <n v="5.99"/>
    <x v="577"/>
  </r>
  <r>
    <s v="SAL-01065"/>
    <x v="140"/>
    <x v="5"/>
    <x v="5"/>
    <s v="Beverages"/>
    <x v="1"/>
    <x v="3"/>
    <x v="6"/>
    <n v="2.99"/>
    <x v="313"/>
  </r>
  <r>
    <s v="SAL-01066"/>
    <x v="141"/>
    <x v="76"/>
    <x v="76"/>
    <s v="Beverages"/>
    <x v="0"/>
    <x v="1"/>
    <x v="32"/>
    <n v="3.99"/>
    <x v="229"/>
  </r>
  <r>
    <s v="SAL-01067"/>
    <x v="141"/>
    <x v="101"/>
    <x v="101"/>
    <s v="Beverages"/>
    <x v="2"/>
    <x v="1"/>
    <x v="17"/>
    <n v="1.99"/>
    <x v="471"/>
  </r>
  <r>
    <s v="SAL-01068"/>
    <x v="141"/>
    <x v="181"/>
    <x v="181"/>
    <s v="Sides"/>
    <x v="2"/>
    <x v="3"/>
    <x v="37"/>
    <n v="3.49"/>
    <x v="578"/>
  </r>
  <r>
    <s v="SAL-01069"/>
    <x v="141"/>
    <x v="134"/>
    <x v="134"/>
    <s v="Beverages"/>
    <x v="0"/>
    <x v="2"/>
    <x v="47"/>
    <n v="2.99"/>
    <x v="268"/>
  </r>
  <r>
    <s v="SAL-01070"/>
    <x v="141"/>
    <x v="118"/>
    <x v="118"/>
    <s v="Breakfast"/>
    <x v="2"/>
    <x v="0"/>
    <x v="17"/>
    <n v="4.99"/>
    <x v="191"/>
  </r>
  <r>
    <s v="SAL-01071"/>
    <x v="141"/>
    <x v="116"/>
    <x v="116"/>
    <s v="Chicken"/>
    <x v="1"/>
    <x v="1"/>
    <x v="2"/>
    <n v="6.99"/>
    <x v="2"/>
  </r>
  <r>
    <s v="SAL-01072"/>
    <x v="141"/>
    <x v="90"/>
    <x v="90"/>
    <s v="Burgers"/>
    <x v="0"/>
    <x v="1"/>
    <x v="24"/>
    <n v="8.99"/>
    <x v="341"/>
  </r>
  <r>
    <s v="SAL-01073"/>
    <x v="141"/>
    <x v="134"/>
    <x v="134"/>
    <s v="Beverages"/>
    <x v="0"/>
    <x v="2"/>
    <x v="16"/>
    <n v="2.99"/>
    <x v="18"/>
  </r>
  <r>
    <s v="SAL-01074"/>
    <x v="142"/>
    <x v="68"/>
    <x v="68"/>
    <s v="Sides"/>
    <x v="2"/>
    <x v="2"/>
    <x v="31"/>
    <n v="4.49"/>
    <x v="120"/>
  </r>
  <r>
    <s v="SAL-01075"/>
    <x v="142"/>
    <x v="29"/>
    <x v="29"/>
    <s v="Breakfast"/>
    <x v="2"/>
    <x v="3"/>
    <x v="7"/>
    <n v="3.99"/>
    <x v="34"/>
  </r>
  <r>
    <s v="SAL-01076"/>
    <x v="142"/>
    <x v="58"/>
    <x v="58"/>
    <s v="Burgers"/>
    <x v="1"/>
    <x v="1"/>
    <x v="16"/>
    <n v="8.49"/>
    <x v="579"/>
  </r>
  <r>
    <s v="SAL-01077"/>
    <x v="142"/>
    <x v="48"/>
    <x v="48"/>
    <s v="Beverages"/>
    <x v="1"/>
    <x v="1"/>
    <x v="7"/>
    <n v="3.99"/>
    <x v="34"/>
  </r>
  <r>
    <s v="SAL-01078"/>
    <x v="142"/>
    <x v="102"/>
    <x v="102"/>
    <s v="Beverages"/>
    <x v="1"/>
    <x v="2"/>
    <x v="37"/>
    <n v="2.4900000000000002"/>
    <x v="580"/>
  </r>
  <r>
    <s v="SAL-01079"/>
    <x v="142"/>
    <x v="114"/>
    <x v="114"/>
    <s v="Burgers"/>
    <x v="2"/>
    <x v="1"/>
    <x v="10"/>
    <n v="7.99"/>
    <x v="351"/>
  </r>
  <r>
    <s v="SAL-01080"/>
    <x v="142"/>
    <x v="184"/>
    <x v="184"/>
    <s v="Beverages"/>
    <x v="2"/>
    <x v="1"/>
    <x v="50"/>
    <n v="2.99"/>
    <x v="189"/>
  </r>
  <r>
    <s v="SAL-01081"/>
    <x v="142"/>
    <x v="180"/>
    <x v="180"/>
    <s v="Chicken"/>
    <x v="1"/>
    <x v="3"/>
    <x v="12"/>
    <n v="4.99"/>
    <x v="512"/>
  </r>
  <r>
    <s v="SAL-01082"/>
    <x v="142"/>
    <x v="51"/>
    <x v="51"/>
    <s v="Combo Meals"/>
    <x v="0"/>
    <x v="1"/>
    <x v="21"/>
    <n v="12.99"/>
    <x v="581"/>
  </r>
  <r>
    <s v="SAL-01083"/>
    <x v="142"/>
    <x v="147"/>
    <x v="147"/>
    <s v="Burgers"/>
    <x v="0"/>
    <x v="3"/>
    <x v="6"/>
    <n v="9.99"/>
    <x v="582"/>
  </r>
  <r>
    <s v="SAL-01084"/>
    <x v="142"/>
    <x v="102"/>
    <x v="102"/>
    <s v="Beverages"/>
    <x v="2"/>
    <x v="3"/>
    <x v="33"/>
    <n v="2.4900000000000002"/>
    <x v="563"/>
  </r>
  <r>
    <s v="SAL-01085"/>
    <x v="142"/>
    <x v="191"/>
    <x v="191"/>
    <s v="Sides"/>
    <x v="0"/>
    <x v="1"/>
    <x v="16"/>
    <n v="4.99"/>
    <x v="162"/>
  </r>
  <r>
    <s v="SAL-01086"/>
    <x v="142"/>
    <x v="194"/>
    <x v="194"/>
    <s v="Desserts"/>
    <x v="1"/>
    <x v="2"/>
    <x v="38"/>
    <n v="2.99"/>
    <x v="69"/>
  </r>
  <r>
    <s v="SAL-01087"/>
    <x v="142"/>
    <x v="11"/>
    <x v="11"/>
    <s v="Desserts"/>
    <x v="2"/>
    <x v="0"/>
    <x v="21"/>
    <n v="5.99"/>
    <x v="475"/>
  </r>
  <r>
    <s v="SAL-01088"/>
    <x v="142"/>
    <x v="84"/>
    <x v="84"/>
    <s v="Chicken"/>
    <x v="1"/>
    <x v="1"/>
    <x v="3"/>
    <n v="6.99"/>
    <x v="419"/>
  </r>
  <r>
    <s v="SAL-01089"/>
    <x v="142"/>
    <x v="110"/>
    <x v="110"/>
    <s v="Chicken"/>
    <x v="0"/>
    <x v="2"/>
    <x v="2"/>
    <n v="6.99"/>
    <x v="2"/>
  </r>
  <r>
    <s v="SAL-01090"/>
    <x v="143"/>
    <x v="74"/>
    <x v="74"/>
    <s v="Breakfast"/>
    <x v="2"/>
    <x v="0"/>
    <x v="29"/>
    <n v="4.99"/>
    <x v="382"/>
  </r>
  <r>
    <s v="SAL-01091"/>
    <x v="143"/>
    <x v="4"/>
    <x v="4"/>
    <s v="Beverages"/>
    <x v="1"/>
    <x v="1"/>
    <x v="1"/>
    <n v="1.99"/>
    <x v="583"/>
  </r>
  <r>
    <s v="SAL-01092"/>
    <x v="143"/>
    <x v="91"/>
    <x v="91"/>
    <s v="Sides"/>
    <x v="2"/>
    <x v="2"/>
    <x v="30"/>
    <n v="4.99"/>
    <x v="46"/>
  </r>
  <r>
    <s v="SAL-01093"/>
    <x v="143"/>
    <x v="48"/>
    <x v="48"/>
    <s v="Beverages"/>
    <x v="2"/>
    <x v="1"/>
    <x v="9"/>
    <n v="3.99"/>
    <x v="44"/>
  </r>
  <r>
    <s v="SAL-01094"/>
    <x v="143"/>
    <x v="82"/>
    <x v="82"/>
    <s v="Beverages"/>
    <x v="1"/>
    <x v="0"/>
    <x v="6"/>
    <n v="2.99"/>
    <x v="313"/>
  </r>
  <r>
    <s v="SAL-01095"/>
    <x v="143"/>
    <x v="138"/>
    <x v="138"/>
    <s v="Breakfast"/>
    <x v="0"/>
    <x v="0"/>
    <x v="19"/>
    <n v="2.99"/>
    <x v="231"/>
  </r>
  <r>
    <s v="SAL-01096"/>
    <x v="143"/>
    <x v="74"/>
    <x v="74"/>
    <s v="Breakfast"/>
    <x v="0"/>
    <x v="1"/>
    <x v="48"/>
    <n v="4.99"/>
    <x v="238"/>
  </r>
  <r>
    <s v="SAL-01097"/>
    <x v="144"/>
    <x v="155"/>
    <x v="155"/>
    <s v="Breakfast"/>
    <x v="0"/>
    <x v="1"/>
    <x v="49"/>
    <n v="4.99"/>
    <x v="206"/>
  </r>
  <r>
    <s v="SAL-01098"/>
    <x v="144"/>
    <x v="195"/>
    <x v="195"/>
    <s v="Breakfast"/>
    <x v="0"/>
    <x v="1"/>
    <x v="48"/>
    <n v="4.99"/>
    <x v="238"/>
  </r>
  <r>
    <s v="SAL-01099"/>
    <x v="144"/>
    <x v="42"/>
    <x v="42"/>
    <s v="Sides"/>
    <x v="2"/>
    <x v="3"/>
    <x v="31"/>
    <n v="4.49"/>
    <x v="120"/>
  </r>
  <r>
    <s v="SAL-01100"/>
    <x v="144"/>
    <x v="25"/>
    <x v="25"/>
    <s v="Chicken"/>
    <x v="0"/>
    <x v="1"/>
    <x v="29"/>
    <n v="6.99"/>
    <x v="322"/>
  </r>
  <r>
    <s v="SAL-01101"/>
    <x v="144"/>
    <x v="74"/>
    <x v="74"/>
    <s v="Breakfast"/>
    <x v="0"/>
    <x v="1"/>
    <x v="35"/>
    <n v="4.99"/>
    <x v="584"/>
  </r>
  <r>
    <s v="SAL-01102"/>
    <x v="145"/>
    <x v="137"/>
    <x v="137"/>
    <s v="Burgers"/>
    <x v="0"/>
    <x v="3"/>
    <x v="23"/>
    <n v="8.99"/>
    <x v="91"/>
  </r>
  <r>
    <s v="SAL-01103"/>
    <x v="145"/>
    <x v="159"/>
    <x v="159"/>
    <s v="Combo Meals"/>
    <x v="1"/>
    <x v="1"/>
    <x v="20"/>
    <n v="8.99"/>
    <x v="585"/>
  </r>
  <r>
    <s v="SAL-01104"/>
    <x v="145"/>
    <x v="173"/>
    <x v="173"/>
    <s v="Desserts"/>
    <x v="1"/>
    <x v="1"/>
    <x v="8"/>
    <n v="2.99"/>
    <x v="86"/>
  </r>
  <r>
    <s v="SAL-01105"/>
    <x v="145"/>
    <x v="114"/>
    <x v="114"/>
    <s v="Burgers"/>
    <x v="0"/>
    <x v="1"/>
    <x v="14"/>
    <n v="7.99"/>
    <x v="586"/>
  </r>
  <r>
    <s v="SAL-01106"/>
    <x v="145"/>
    <x v="191"/>
    <x v="191"/>
    <s v="Sides"/>
    <x v="2"/>
    <x v="2"/>
    <x v="26"/>
    <n v="4.99"/>
    <x v="39"/>
  </r>
  <r>
    <s v="SAL-01107"/>
    <x v="145"/>
    <x v="165"/>
    <x v="165"/>
    <s v="Breakfast"/>
    <x v="2"/>
    <x v="1"/>
    <x v="49"/>
    <n v="4.99"/>
    <x v="206"/>
  </r>
  <r>
    <s v="SAL-01108"/>
    <x v="145"/>
    <x v="58"/>
    <x v="58"/>
    <s v="Burgers"/>
    <x v="0"/>
    <x v="1"/>
    <x v="12"/>
    <n v="8.49"/>
    <x v="587"/>
  </r>
  <r>
    <s v="SAL-01109"/>
    <x v="145"/>
    <x v="153"/>
    <x v="153"/>
    <s v="Breakfast"/>
    <x v="2"/>
    <x v="1"/>
    <x v="36"/>
    <n v="4.99"/>
    <x v="147"/>
  </r>
  <r>
    <s v="SAL-01110"/>
    <x v="145"/>
    <x v="184"/>
    <x v="184"/>
    <s v="Beverages"/>
    <x v="0"/>
    <x v="1"/>
    <x v="33"/>
    <n v="2.99"/>
    <x v="263"/>
  </r>
  <r>
    <s v="SAL-01111"/>
    <x v="146"/>
    <x v="128"/>
    <x v="128"/>
    <s v="Sauces &amp; Add-ons"/>
    <x v="2"/>
    <x v="3"/>
    <x v="0"/>
    <n v="1.49"/>
    <x v="588"/>
  </r>
  <r>
    <s v="SAL-01112"/>
    <x v="146"/>
    <x v="19"/>
    <x v="19"/>
    <s v="Sides"/>
    <x v="1"/>
    <x v="2"/>
    <x v="23"/>
    <n v="2.99"/>
    <x v="63"/>
  </r>
  <r>
    <s v="SAL-01113"/>
    <x v="146"/>
    <x v="143"/>
    <x v="143"/>
    <s v="Burgers"/>
    <x v="2"/>
    <x v="1"/>
    <x v="44"/>
    <n v="8.49"/>
    <x v="589"/>
  </r>
  <r>
    <s v="SAL-01114"/>
    <x v="146"/>
    <x v="149"/>
    <x v="149"/>
    <s v="Sauces &amp; Add-ons"/>
    <x v="1"/>
    <x v="2"/>
    <x v="11"/>
    <n v="0.25"/>
    <x v="590"/>
  </r>
  <r>
    <s v="SAL-01115"/>
    <x v="146"/>
    <x v="46"/>
    <x v="46"/>
    <s v="Beverages"/>
    <x v="2"/>
    <x v="1"/>
    <x v="28"/>
    <n v="2.99"/>
    <x v="42"/>
  </r>
  <r>
    <s v="SAL-01116"/>
    <x v="146"/>
    <x v="60"/>
    <x v="60"/>
    <s v="Burgers"/>
    <x v="1"/>
    <x v="1"/>
    <x v="50"/>
    <n v="6.99"/>
    <x v="458"/>
  </r>
  <r>
    <s v="SAL-01117"/>
    <x v="146"/>
    <x v="102"/>
    <x v="102"/>
    <s v="Beverages"/>
    <x v="2"/>
    <x v="2"/>
    <x v="47"/>
    <n v="2.4900000000000002"/>
    <x v="122"/>
  </r>
  <r>
    <s v="SAL-01118"/>
    <x v="147"/>
    <x v="48"/>
    <x v="48"/>
    <s v="Beverages"/>
    <x v="1"/>
    <x v="2"/>
    <x v="26"/>
    <n v="3.99"/>
    <x v="92"/>
  </r>
  <r>
    <s v="SAL-01119"/>
    <x v="147"/>
    <x v="60"/>
    <x v="60"/>
    <s v="Burgers"/>
    <x v="0"/>
    <x v="3"/>
    <x v="17"/>
    <n v="6.99"/>
    <x v="181"/>
  </r>
  <r>
    <s v="SAL-01120"/>
    <x v="147"/>
    <x v="110"/>
    <x v="110"/>
    <s v="Chicken"/>
    <x v="0"/>
    <x v="0"/>
    <x v="46"/>
    <n v="6.99"/>
    <x v="533"/>
  </r>
  <r>
    <s v="SAL-01121"/>
    <x v="148"/>
    <x v="58"/>
    <x v="58"/>
    <s v="Burgers"/>
    <x v="0"/>
    <x v="2"/>
    <x v="47"/>
    <n v="8.49"/>
    <x v="506"/>
  </r>
  <r>
    <s v="SAL-01122"/>
    <x v="148"/>
    <x v="71"/>
    <x v="71"/>
    <s v="Beverages"/>
    <x v="0"/>
    <x v="3"/>
    <x v="22"/>
    <n v="1.99"/>
    <x v="318"/>
  </r>
  <r>
    <s v="SAL-01123"/>
    <x v="148"/>
    <x v="163"/>
    <x v="163"/>
    <s v="Burgers"/>
    <x v="0"/>
    <x v="1"/>
    <x v="23"/>
    <n v="7.99"/>
    <x v="224"/>
  </r>
  <r>
    <s v="SAL-01124"/>
    <x v="148"/>
    <x v="133"/>
    <x v="133"/>
    <s v="Beverages"/>
    <x v="0"/>
    <x v="1"/>
    <x v="33"/>
    <n v="2.99"/>
    <x v="263"/>
  </r>
  <r>
    <s v="SAL-01125"/>
    <x v="148"/>
    <x v="60"/>
    <x v="60"/>
    <s v="Burgers"/>
    <x v="1"/>
    <x v="2"/>
    <x v="43"/>
    <n v="6.99"/>
    <x v="339"/>
  </r>
  <r>
    <s v="SAL-01126"/>
    <x v="149"/>
    <x v="3"/>
    <x v="3"/>
    <s v="Sides"/>
    <x v="0"/>
    <x v="2"/>
    <x v="31"/>
    <n v="5.99"/>
    <x v="242"/>
  </r>
  <r>
    <s v="SAL-01127"/>
    <x v="149"/>
    <x v="16"/>
    <x v="16"/>
    <s v="Burgers"/>
    <x v="1"/>
    <x v="1"/>
    <x v="27"/>
    <n v="8.99"/>
    <x v="119"/>
  </r>
  <r>
    <s v="SAL-01128"/>
    <x v="149"/>
    <x v="30"/>
    <x v="30"/>
    <s v="Desserts"/>
    <x v="0"/>
    <x v="2"/>
    <x v="29"/>
    <n v="1.49"/>
    <x v="591"/>
  </r>
  <r>
    <s v="SAL-01129"/>
    <x v="149"/>
    <x v="77"/>
    <x v="77"/>
    <s v="Beverages"/>
    <x v="2"/>
    <x v="3"/>
    <x v="32"/>
    <n v="3.99"/>
    <x v="229"/>
  </r>
  <r>
    <s v="SAL-01130"/>
    <x v="149"/>
    <x v="62"/>
    <x v="62"/>
    <s v="Combo Meals"/>
    <x v="0"/>
    <x v="1"/>
    <x v="42"/>
    <n v="11.99"/>
    <x v="592"/>
  </r>
  <r>
    <s v="SAL-01131"/>
    <x v="149"/>
    <x v="13"/>
    <x v="13"/>
    <s v="Beverages"/>
    <x v="1"/>
    <x v="1"/>
    <x v="44"/>
    <n v="2.99"/>
    <x v="323"/>
  </r>
  <r>
    <s v="SAL-01132"/>
    <x v="150"/>
    <x v="172"/>
    <x v="172"/>
    <s v="Combo Meals"/>
    <x v="1"/>
    <x v="1"/>
    <x v="11"/>
    <n v="10.99"/>
    <x v="593"/>
  </r>
  <r>
    <s v="SAL-01133"/>
    <x v="150"/>
    <x v="28"/>
    <x v="28"/>
    <s v="Chicken"/>
    <x v="1"/>
    <x v="1"/>
    <x v="24"/>
    <n v="7.99"/>
    <x v="594"/>
  </r>
  <r>
    <s v="SAL-01134"/>
    <x v="150"/>
    <x v="125"/>
    <x v="125"/>
    <s v="Burgers"/>
    <x v="0"/>
    <x v="0"/>
    <x v="49"/>
    <n v="8.99"/>
    <x v="178"/>
  </r>
  <r>
    <s v="SAL-01135"/>
    <x v="150"/>
    <x v="179"/>
    <x v="179"/>
    <s v="Chicken"/>
    <x v="0"/>
    <x v="1"/>
    <x v="5"/>
    <n v="7.99"/>
    <x v="151"/>
  </r>
  <r>
    <s v="SAL-01136"/>
    <x v="150"/>
    <x v="28"/>
    <x v="28"/>
    <s v="Chicken"/>
    <x v="2"/>
    <x v="1"/>
    <x v="9"/>
    <n v="7.99"/>
    <x v="595"/>
  </r>
  <r>
    <s v="SAL-01137"/>
    <x v="150"/>
    <x v="124"/>
    <x v="124"/>
    <s v="Breakfast"/>
    <x v="0"/>
    <x v="1"/>
    <x v="38"/>
    <n v="4.99"/>
    <x v="299"/>
  </r>
  <r>
    <s v="SAL-01138"/>
    <x v="150"/>
    <x v="129"/>
    <x v="129"/>
    <s v="Desserts"/>
    <x v="2"/>
    <x v="0"/>
    <x v="37"/>
    <n v="1.49"/>
    <x v="596"/>
  </r>
  <r>
    <s v="SAL-01139"/>
    <x v="151"/>
    <x v="72"/>
    <x v="72"/>
    <s v="Burgers"/>
    <x v="0"/>
    <x v="1"/>
    <x v="29"/>
    <n v="6.99"/>
    <x v="322"/>
  </r>
  <r>
    <s v="SAL-01140"/>
    <x v="151"/>
    <x v="143"/>
    <x v="143"/>
    <s v="Burgers"/>
    <x v="0"/>
    <x v="1"/>
    <x v="21"/>
    <n v="8.49"/>
    <x v="468"/>
  </r>
  <r>
    <s v="SAL-01141"/>
    <x v="151"/>
    <x v="147"/>
    <x v="147"/>
    <s v="Burgers"/>
    <x v="2"/>
    <x v="1"/>
    <x v="15"/>
    <n v="9.99"/>
    <x v="597"/>
  </r>
  <r>
    <s v="SAL-01142"/>
    <x v="151"/>
    <x v="128"/>
    <x v="128"/>
    <s v="Sauces &amp; Add-ons"/>
    <x v="0"/>
    <x v="1"/>
    <x v="49"/>
    <n v="1.49"/>
    <x v="598"/>
  </r>
  <r>
    <s v="SAL-01143"/>
    <x v="151"/>
    <x v="10"/>
    <x v="10"/>
    <s v="Beverages"/>
    <x v="1"/>
    <x v="1"/>
    <x v="38"/>
    <n v="1.99"/>
    <x v="599"/>
  </r>
  <r>
    <s v="SAL-01144"/>
    <x v="151"/>
    <x v="92"/>
    <x v="92"/>
    <s v="Breakfast"/>
    <x v="0"/>
    <x v="1"/>
    <x v="43"/>
    <n v="6.99"/>
    <x v="339"/>
  </r>
  <r>
    <s v="SAL-01145"/>
    <x v="151"/>
    <x v="104"/>
    <x v="104"/>
    <s v="Breakfast"/>
    <x v="2"/>
    <x v="3"/>
    <x v="28"/>
    <n v="6.99"/>
    <x v="305"/>
  </r>
  <r>
    <s v="SAL-01146"/>
    <x v="151"/>
    <x v="63"/>
    <x v="63"/>
    <s v="Burgers"/>
    <x v="1"/>
    <x v="1"/>
    <x v="7"/>
    <n v="6.49"/>
    <x v="489"/>
  </r>
  <r>
    <s v="SAL-01147"/>
    <x v="151"/>
    <x v="45"/>
    <x v="45"/>
    <s v="Combo Meals"/>
    <x v="0"/>
    <x v="1"/>
    <x v="33"/>
    <n v="10.99"/>
    <x v="600"/>
  </r>
  <r>
    <s v="SAL-01148"/>
    <x v="151"/>
    <x v="45"/>
    <x v="45"/>
    <s v="Combo Meals"/>
    <x v="0"/>
    <x v="2"/>
    <x v="46"/>
    <n v="10.99"/>
    <x v="386"/>
  </r>
  <r>
    <s v="SAL-01149"/>
    <x v="152"/>
    <x v="75"/>
    <x v="75"/>
    <s v="Beverages"/>
    <x v="0"/>
    <x v="1"/>
    <x v="30"/>
    <n v="2.99"/>
    <x v="145"/>
  </r>
  <r>
    <s v="SAL-01150"/>
    <x v="152"/>
    <x v="39"/>
    <x v="39"/>
    <s v="Chicken"/>
    <x v="2"/>
    <x v="1"/>
    <x v="49"/>
    <n v="8.99"/>
    <x v="178"/>
  </r>
  <r>
    <s v="SAL-01151"/>
    <x v="152"/>
    <x v="44"/>
    <x v="44"/>
    <s v="Breakfast"/>
    <x v="1"/>
    <x v="2"/>
    <x v="42"/>
    <n v="2.99"/>
    <x v="90"/>
  </r>
  <r>
    <s v="SAL-01152"/>
    <x v="152"/>
    <x v="143"/>
    <x v="143"/>
    <s v="Burgers"/>
    <x v="0"/>
    <x v="1"/>
    <x v="58"/>
    <n v="8.49"/>
    <x v="601"/>
  </r>
  <r>
    <s v="SAL-01153"/>
    <x v="152"/>
    <x v="72"/>
    <x v="72"/>
    <s v="Burgers"/>
    <x v="2"/>
    <x v="0"/>
    <x v="37"/>
    <n v="6.99"/>
    <x v="562"/>
  </r>
  <r>
    <s v="SAL-01154"/>
    <x v="152"/>
    <x v="83"/>
    <x v="83"/>
    <s v="Sides"/>
    <x v="1"/>
    <x v="2"/>
    <x v="7"/>
    <n v="3.99"/>
    <x v="34"/>
  </r>
  <r>
    <s v="SAL-01155"/>
    <x v="153"/>
    <x v="58"/>
    <x v="58"/>
    <s v="Burgers"/>
    <x v="0"/>
    <x v="0"/>
    <x v="58"/>
    <n v="8.49"/>
    <x v="601"/>
  </r>
  <r>
    <s v="SAL-01156"/>
    <x v="153"/>
    <x v="10"/>
    <x v="10"/>
    <s v="Beverages"/>
    <x v="0"/>
    <x v="1"/>
    <x v="20"/>
    <n v="1.99"/>
    <x v="247"/>
  </r>
  <r>
    <s v="SAL-01157"/>
    <x v="153"/>
    <x v="0"/>
    <x v="0"/>
    <s v="Combo Meals"/>
    <x v="0"/>
    <x v="3"/>
    <x v="28"/>
    <n v="9.99"/>
    <x v="452"/>
  </r>
  <r>
    <s v="SAL-01158"/>
    <x v="153"/>
    <x v="141"/>
    <x v="141"/>
    <s v="Burgers"/>
    <x v="1"/>
    <x v="1"/>
    <x v="1"/>
    <n v="8.49"/>
    <x v="602"/>
  </r>
  <r>
    <s v="SAL-01159"/>
    <x v="153"/>
    <x v="94"/>
    <x v="94"/>
    <s v="Chicken"/>
    <x v="1"/>
    <x v="2"/>
    <x v="58"/>
    <n v="7.49"/>
    <x v="603"/>
  </r>
  <r>
    <s v="SAL-01160"/>
    <x v="153"/>
    <x v="176"/>
    <x v="176"/>
    <s v="Beverages"/>
    <x v="1"/>
    <x v="0"/>
    <x v="6"/>
    <n v="2.99"/>
    <x v="313"/>
  </r>
  <r>
    <s v="SAL-01161"/>
    <x v="153"/>
    <x v="124"/>
    <x v="124"/>
    <s v="Breakfast"/>
    <x v="2"/>
    <x v="2"/>
    <x v="59"/>
    <n v="4.99"/>
    <x v="604"/>
  </r>
  <r>
    <s v="SAL-01162"/>
    <x v="154"/>
    <x v="113"/>
    <x v="113"/>
    <s v="Salads"/>
    <x v="0"/>
    <x v="2"/>
    <x v="26"/>
    <n v="6.99"/>
    <x v="490"/>
  </r>
  <r>
    <s v="SAL-01163"/>
    <x v="154"/>
    <x v="171"/>
    <x v="171"/>
    <s v="Burgers"/>
    <x v="2"/>
    <x v="1"/>
    <x v="60"/>
    <n v="6.99"/>
    <x v="605"/>
  </r>
  <r>
    <s v="SAL-01164"/>
    <x v="154"/>
    <x v="48"/>
    <x v="48"/>
    <s v="Beverages"/>
    <x v="2"/>
    <x v="1"/>
    <x v="17"/>
    <n v="3.99"/>
    <x v="128"/>
  </r>
  <r>
    <s v="SAL-01165"/>
    <x v="154"/>
    <x v="95"/>
    <x v="95"/>
    <s v="Beverages"/>
    <x v="1"/>
    <x v="1"/>
    <x v="61"/>
    <n v="3.99"/>
    <x v="606"/>
  </r>
  <r>
    <s v="SAL-01166"/>
    <x v="154"/>
    <x v="68"/>
    <x v="68"/>
    <s v="Sides"/>
    <x v="2"/>
    <x v="3"/>
    <x v="28"/>
    <n v="4.49"/>
    <x v="47"/>
  </r>
  <r>
    <s v="SAL-01167"/>
    <x v="154"/>
    <x v="166"/>
    <x v="166"/>
    <s v="Beverages"/>
    <x v="0"/>
    <x v="2"/>
    <x v="38"/>
    <n v="2.4900000000000002"/>
    <x v="276"/>
  </r>
  <r>
    <s v="SAL-01168"/>
    <x v="154"/>
    <x v="155"/>
    <x v="155"/>
    <s v="Breakfast"/>
    <x v="2"/>
    <x v="1"/>
    <x v="1"/>
    <n v="4.99"/>
    <x v="157"/>
  </r>
  <r>
    <s v="SAL-01169"/>
    <x v="155"/>
    <x v="82"/>
    <x v="82"/>
    <s v="Beverages"/>
    <x v="0"/>
    <x v="0"/>
    <x v="1"/>
    <n v="2.99"/>
    <x v="308"/>
  </r>
  <r>
    <s v="SAL-01170"/>
    <x v="155"/>
    <x v="95"/>
    <x v="95"/>
    <s v="Beverages"/>
    <x v="2"/>
    <x v="3"/>
    <x v="44"/>
    <n v="3.99"/>
    <x v="385"/>
  </r>
  <r>
    <s v="SAL-01171"/>
    <x v="155"/>
    <x v="132"/>
    <x v="132"/>
    <s v="Kids Meals"/>
    <x v="0"/>
    <x v="3"/>
    <x v="20"/>
    <n v="5.99"/>
    <x v="425"/>
  </r>
  <r>
    <s v="SAL-01172"/>
    <x v="155"/>
    <x v="124"/>
    <x v="124"/>
    <s v="Breakfast"/>
    <x v="1"/>
    <x v="1"/>
    <x v="62"/>
    <n v="4.99"/>
    <x v="607"/>
  </r>
  <r>
    <s v="SAL-01173"/>
    <x v="155"/>
    <x v="174"/>
    <x v="174"/>
    <s v="Burgers"/>
    <x v="0"/>
    <x v="1"/>
    <x v="60"/>
    <n v="8.99"/>
    <x v="608"/>
  </r>
  <r>
    <s v="SAL-01174"/>
    <x v="155"/>
    <x v="23"/>
    <x v="23"/>
    <s v="Burgers"/>
    <x v="0"/>
    <x v="0"/>
    <x v="61"/>
    <n v="10.99"/>
    <x v="609"/>
  </r>
  <r>
    <s v="SAL-01175"/>
    <x v="155"/>
    <x v="86"/>
    <x v="86"/>
    <s v="Salads"/>
    <x v="0"/>
    <x v="2"/>
    <x v="32"/>
    <n v="9.49"/>
    <x v="610"/>
  </r>
  <r>
    <s v="SAL-01176"/>
    <x v="155"/>
    <x v="152"/>
    <x v="152"/>
    <s v="Chicken"/>
    <x v="1"/>
    <x v="2"/>
    <x v="1"/>
    <n v="7.49"/>
    <x v="611"/>
  </r>
  <r>
    <s v="SAL-01177"/>
    <x v="156"/>
    <x v="71"/>
    <x v="71"/>
    <s v="Beverages"/>
    <x v="2"/>
    <x v="1"/>
    <x v="12"/>
    <n v="1.99"/>
    <x v="164"/>
  </r>
  <r>
    <s v="SAL-01178"/>
    <x v="156"/>
    <x v="104"/>
    <x v="104"/>
    <s v="Breakfast"/>
    <x v="2"/>
    <x v="1"/>
    <x v="44"/>
    <n v="6.99"/>
    <x v="302"/>
  </r>
  <r>
    <s v="SAL-01179"/>
    <x v="156"/>
    <x v="20"/>
    <x v="20"/>
    <s v="Sides"/>
    <x v="2"/>
    <x v="1"/>
    <x v="3"/>
    <n v="4.99"/>
    <x v="612"/>
  </r>
  <r>
    <s v="SAL-01180"/>
    <x v="156"/>
    <x v="4"/>
    <x v="4"/>
    <s v="Beverages"/>
    <x v="2"/>
    <x v="2"/>
    <x v="47"/>
    <n v="1.99"/>
    <x v="220"/>
  </r>
  <r>
    <s v="SAL-01181"/>
    <x v="156"/>
    <x v="66"/>
    <x v="66"/>
    <s v="Sides"/>
    <x v="1"/>
    <x v="1"/>
    <x v="38"/>
    <n v="4.49"/>
    <x v="446"/>
  </r>
  <r>
    <s v="SAL-01182"/>
    <x v="156"/>
    <x v="90"/>
    <x v="90"/>
    <s v="Burgers"/>
    <x v="2"/>
    <x v="1"/>
    <x v="14"/>
    <n v="8.99"/>
    <x v="613"/>
  </r>
  <r>
    <s v="SAL-01183"/>
    <x v="156"/>
    <x v="192"/>
    <x v="192"/>
    <s v="Kids Meals"/>
    <x v="0"/>
    <x v="2"/>
    <x v="22"/>
    <n v="5.99"/>
    <x v="134"/>
  </r>
  <r>
    <s v="SAL-01184"/>
    <x v="157"/>
    <x v="168"/>
    <x v="168"/>
    <s v="Breakfast"/>
    <x v="0"/>
    <x v="1"/>
    <x v="32"/>
    <n v="2.4900000000000002"/>
    <x v="614"/>
  </r>
  <r>
    <s v="SAL-01185"/>
    <x v="157"/>
    <x v="103"/>
    <x v="103"/>
    <s v="Desserts"/>
    <x v="0"/>
    <x v="3"/>
    <x v="6"/>
    <n v="5.99"/>
    <x v="572"/>
  </r>
  <r>
    <s v="SAL-01186"/>
    <x v="157"/>
    <x v="143"/>
    <x v="143"/>
    <s v="Burgers"/>
    <x v="0"/>
    <x v="1"/>
    <x v="30"/>
    <n v="8.49"/>
    <x v="615"/>
  </r>
  <r>
    <s v="SAL-01187"/>
    <x v="157"/>
    <x v="74"/>
    <x v="74"/>
    <s v="Breakfast"/>
    <x v="1"/>
    <x v="3"/>
    <x v="13"/>
    <n v="4.99"/>
    <x v="421"/>
  </r>
  <r>
    <s v="SAL-01188"/>
    <x v="157"/>
    <x v="102"/>
    <x v="102"/>
    <s v="Beverages"/>
    <x v="2"/>
    <x v="0"/>
    <x v="14"/>
    <n v="2.4900000000000002"/>
    <x v="616"/>
  </r>
  <r>
    <s v="SAL-01189"/>
    <x v="157"/>
    <x v="57"/>
    <x v="57"/>
    <s v="Chicken"/>
    <x v="0"/>
    <x v="1"/>
    <x v="28"/>
    <n v="11.99"/>
    <x v="617"/>
  </r>
  <r>
    <s v="SAL-01190"/>
    <x v="157"/>
    <x v="98"/>
    <x v="98"/>
    <s v="Beverages"/>
    <x v="0"/>
    <x v="1"/>
    <x v="8"/>
    <n v="1.99"/>
    <x v="10"/>
  </r>
  <r>
    <s v="SAL-01191"/>
    <x v="157"/>
    <x v="196"/>
    <x v="196"/>
    <s v="Salads"/>
    <x v="0"/>
    <x v="3"/>
    <x v="14"/>
    <n v="8.99"/>
    <x v="613"/>
  </r>
  <r>
    <s v="SAL-01192"/>
    <x v="157"/>
    <x v="104"/>
    <x v="104"/>
    <s v="Breakfast"/>
    <x v="1"/>
    <x v="2"/>
    <x v="2"/>
    <n v="6.99"/>
    <x v="2"/>
  </r>
  <r>
    <s v="SAL-01193"/>
    <x v="158"/>
    <x v="118"/>
    <x v="118"/>
    <s v="Breakfast"/>
    <x v="2"/>
    <x v="2"/>
    <x v="48"/>
    <n v="4.99"/>
    <x v="238"/>
  </r>
  <r>
    <s v="SAL-01194"/>
    <x v="158"/>
    <x v="108"/>
    <x v="108"/>
    <s v="Sides"/>
    <x v="2"/>
    <x v="3"/>
    <x v="50"/>
    <n v="3.49"/>
    <x v="618"/>
  </r>
  <r>
    <s v="SAL-01195"/>
    <x v="158"/>
    <x v="184"/>
    <x v="184"/>
    <s v="Beverages"/>
    <x v="2"/>
    <x v="0"/>
    <x v="6"/>
    <n v="2.99"/>
    <x v="313"/>
  </r>
  <r>
    <s v="SAL-01196"/>
    <x v="158"/>
    <x v="151"/>
    <x v="151"/>
    <s v="Chicken"/>
    <x v="1"/>
    <x v="1"/>
    <x v="23"/>
    <n v="5.99"/>
    <x v="559"/>
  </r>
  <r>
    <s v="SAL-01197"/>
    <x v="159"/>
    <x v="191"/>
    <x v="191"/>
    <s v="Sides"/>
    <x v="1"/>
    <x v="3"/>
    <x v="23"/>
    <n v="4.99"/>
    <x v="439"/>
  </r>
  <r>
    <s v="SAL-01198"/>
    <x v="159"/>
    <x v="79"/>
    <x v="79"/>
    <s v="Chicken"/>
    <x v="2"/>
    <x v="1"/>
    <x v="7"/>
    <n v="2.99"/>
    <x v="20"/>
  </r>
  <r>
    <s v="SAL-01199"/>
    <x v="159"/>
    <x v="119"/>
    <x v="119"/>
    <s v="Burgers"/>
    <x v="0"/>
    <x v="2"/>
    <x v="7"/>
    <n v="2.99"/>
    <x v="20"/>
  </r>
  <r>
    <s v="SAL-01200"/>
    <x v="159"/>
    <x v="47"/>
    <x v="47"/>
    <s v="Burgers"/>
    <x v="2"/>
    <x v="1"/>
    <x v="39"/>
    <n v="2.99"/>
    <x v="432"/>
  </r>
  <r>
    <s v="SAL-01201"/>
    <x v="159"/>
    <x v="119"/>
    <x v="119"/>
    <s v="Burgers"/>
    <x v="0"/>
    <x v="2"/>
    <x v="34"/>
    <n v="2.99"/>
    <x v="143"/>
  </r>
  <r>
    <s v="SAL-01202"/>
    <x v="159"/>
    <x v="41"/>
    <x v="41"/>
    <s v="Chicken"/>
    <x v="2"/>
    <x v="1"/>
    <x v="49"/>
    <n v="4.99"/>
    <x v="206"/>
  </r>
  <r>
    <s v="SAL-01203"/>
    <x v="159"/>
    <x v="102"/>
    <x v="102"/>
    <s v="Beverages"/>
    <x v="0"/>
    <x v="3"/>
    <x v="44"/>
    <n v="2.4900000000000002"/>
    <x v="619"/>
  </r>
  <r>
    <s v="SAL-01204"/>
    <x v="160"/>
    <x v="186"/>
    <x v="186"/>
    <s v="Chicken"/>
    <x v="0"/>
    <x v="2"/>
    <x v="29"/>
    <n v="5.99"/>
    <x v="620"/>
  </r>
  <r>
    <s v="SAL-01205"/>
    <x v="160"/>
    <x v="104"/>
    <x v="104"/>
    <s v="Breakfast"/>
    <x v="0"/>
    <x v="1"/>
    <x v="18"/>
    <n v="6.99"/>
    <x v="85"/>
  </r>
  <r>
    <s v="SAL-01206"/>
    <x v="161"/>
    <x v="125"/>
    <x v="125"/>
    <s v="Burgers"/>
    <x v="0"/>
    <x v="3"/>
    <x v="17"/>
    <n v="8.99"/>
    <x v="109"/>
  </r>
  <r>
    <s v="SAL-01207"/>
    <x v="161"/>
    <x v="76"/>
    <x v="76"/>
    <s v="Beverages"/>
    <x v="0"/>
    <x v="1"/>
    <x v="43"/>
    <n v="3.99"/>
    <x v="208"/>
  </r>
  <r>
    <s v="SAL-01208"/>
    <x v="161"/>
    <x v="123"/>
    <x v="123"/>
    <s v="Burgers"/>
    <x v="2"/>
    <x v="3"/>
    <x v="7"/>
    <n v="5.99"/>
    <x v="227"/>
  </r>
  <r>
    <s v="SAL-01209"/>
    <x v="161"/>
    <x v="176"/>
    <x v="176"/>
    <s v="Beverages"/>
    <x v="1"/>
    <x v="0"/>
    <x v="22"/>
    <n v="2.99"/>
    <x v="266"/>
  </r>
  <r>
    <s v="SAL-01210"/>
    <x v="161"/>
    <x v="127"/>
    <x v="127"/>
    <s v="Breakfast"/>
    <x v="0"/>
    <x v="1"/>
    <x v="11"/>
    <n v="4.99"/>
    <x v="295"/>
  </r>
  <r>
    <s v="SAL-01211"/>
    <x v="162"/>
    <x v="173"/>
    <x v="173"/>
    <s v="Desserts"/>
    <x v="0"/>
    <x v="1"/>
    <x v="8"/>
    <n v="2.99"/>
    <x v="86"/>
  </r>
  <r>
    <s v="SAL-01212"/>
    <x v="162"/>
    <x v="87"/>
    <x v="87"/>
    <s v="Burgers"/>
    <x v="1"/>
    <x v="1"/>
    <x v="14"/>
    <n v="6.99"/>
    <x v="349"/>
  </r>
  <r>
    <s v="SAL-01213"/>
    <x v="162"/>
    <x v="43"/>
    <x v="43"/>
    <s v="Chicken"/>
    <x v="2"/>
    <x v="2"/>
    <x v="32"/>
    <n v="4.99"/>
    <x v="537"/>
  </r>
  <r>
    <s v="SAL-01214"/>
    <x v="162"/>
    <x v="68"/>
    <x v="68"/>
    <s v="Sides"/>
    <x v="1"/>
    <x v="3"/>
    <x v="5"/>
    <n v="4.49"/>
    <x v="404"/>
  </r>
  <r>
    <s v="SAL-01215"/>
    <x v="162"/>
    <x v="53"/>
    <x v="53"/>
    <s v="Beverages"/>
    <x v="0"/>
    <x v="0"/>
    <x v="49"/>
    <n v="2.99"/>
    <x v="213"/>
  </r>
  <r>
    <s v="SAL-01216"/>
    <x v="163"/>
    <x v="124"/>
    <x v="124"/>
    <s v="Breakfast"/>
    <x v="2"/>
    <x v="3"/>
    <x v="18"/>
    <n v="4.99"/>
    <x v="575"/>
  </r>
  <r>
    <s v="SAL-01217"/>
    <x v="163"/>
    <x v="73"/>
    <x v="73"/>
    <s v="Beverages"/>
    <x v="0"/>
    <x v="1"/>
    <x v="45"/>
    <n v="2.4900000000000002"/>
    <x v="621"/>
  </r>
  <r>
    <s v="SAL-01218"/>
    <x v="163"/>
    <x v="35"/>
    <x v="35"/>
    <s v="Desserts"/>
    <x v="2"/>
    <x v="2"/>
    <x v="8"/>
    <n v="4.99"/>
    <x v="110"/>
  </r>
  <r>
    <s v="SAL-01219"/>
    <x v="163"/>
    <x v="34"/>
    <x v="34"/>
    <s v="Desserts"/>
    <x v="2"/>
    <x v="1"/>
    <x v="35"/>
    <n v="4.99"/>
    <x v="584"/>
  </r>
  <r>
    <s v="SAL-01220"/>
    <x v="163"/>
    <x v="43"/>
    <x v="43"/>
    <s v="Chicken"/>
    <x v="0"/>
    <x v="1"/>
    <x v="40"/>
    <n v="4.99"/>
    <x v="521"/>
  </r>
  <r>
    <s v="SAL-01221"/>
    <x v="163"/>
    <x v="98"/>
    <x v="98"/>
    <s v="Beverages"/>
    <x v="0"/>
    <x v="1"/>
    <x v="13"/>
    <n v="1.99"/>
    <x v="15"/>
  </r>
  <r>
    <s v="SAL-01222"/>
    <x v="163"/>
    <x v="168"/>
    <x v="168"/>
    <s v="Breakfast"/>
    <x v="2"/>
    <x v="2"/>
    <x v="46"/>
    <n v="2.4900000000000002"/>
    <x v="352"/>
  </r>
  <r>
    <s v="SAL-01223"/>
    <x v="164"/>
    <x v="183"/>
    <x v="183"/>
    <s v="Salads"/>
    <x v="2"/>
    <x v="3"/>
    <x v="47"/>
    <n v="8.99"/>
    <x v="622"/>
  </r>
  <r>
    <s v="SAL-01224"/>
    <x v="164"/>
    <x v="186"/>
    <x v="186"/>
    <s v="Chicken"/>
    <x v="0"/>
    <x v="1"/>
    <x v="37"/>
    <n v="5.99"/>
    <x v="271"/>
  </r>
  <r>
    <s v="SAL-01225"/>
    <x v="164"/>
    <x v="115"/>
    <x v="115"/>
    <s v="Chicken"/>
    <x v="2"/>
    <x v="3"/>
    <x v="18"/>
    <n v="6.99"/>
    <x v="85"/>
  </r>
  <r>
    <s v="SAL-01226"/>
    <x v="164"/>
    <x v="73"/>
    <x v="73"/>
    <s v="Beverages"/>
    <x v="0"/>
    <x v="1"/>
    <x v="1"/>
    <n v="2.4900000000000002"/>
    <x v="623"/>
  </r>
  <r>
    <s v="SAL-01227"/>
    <x v="164"/>
    <x v="76"/>
    <x v="76"/>
    <s v="Beverages"/>
    <x v="0"/>
    <x v="1"/>
    <x v="26"/>
    <n v="3.99"/>
    <x v="92"/>
  </r>
  <r>
    <s v="SAL-01228"/>
    <x v="164"/>
    <x v="46"/>
    <x v="46"/>
    <s v="Beverages"/>
    <x v="0"/>
    <x v="1"/>
    <x v="6"/>
    <n v="2.99"/>
    <x v="313"/>
  </r>
  <r>
    <s v="SAL-01229"/>
    <x v="164"/>
    <x v="187"/>
    <x v="187"/>
    <s v="Breakfast"/>
    <x v="2"/>
    <x v="1"/>
    <x v="15"/>
    <n v="4.99"/>
    <x v="253"/>
  </r>
  <r>
    <s v="SAL-01230"/>
    <x v="164"/>
    <x v="121"/>
    <x v="121"/>
    <s v="Beverages"/>
    <x v="2"/>
    <x v="3"/>
    <x v="45"/>
    <n v="1.99"/>
    <x v="624"/>
  </r>
  <r>
    <s v="SAL-01231"/>
    <x v="165"/>
    <x v="151"/>
    <x v="151"/>
    <s v="Chicken"/>
    <x v="2"/>
    <x v="0"/>
    <x v="2"/>
    <n v="5.99"/>
    <x v="3"/>
  </r>
  <r>
    <s v="SAL-01232"/>
    <x v="165"/>
    <x v="123"/>
    <x v="123"/>
    <s v="Burgers"/>
    <x v="1"/>
    <x v="2"/>
    <x v="38"/>
    <n v="5.99"/>
    <x v="484"/>
  </r>
  <r>
    <s v="SAL-01233"/>
    <x v="165"/>
    <x v="69"/>
    <x v="69"/>
    <s v="Salads"/>
    <x v="0"/>
    <x v="3"/>
    <x v="38"/>
    <n v="9.49"/>
    <x v="625"/>
  </r>
  <r>
    <s v="SAL-01234"/>
    <x v="165"/>
    <x v="191"/>
    <x v="191"/>
    <s v="Sides"/>
    <x v="2"/>
    <x v="3"/>
    <x v="5"/>
    <n v="4.99"/>
    <x v="345"/>
  </r>
  <r>
    <s v="SAL-01235"/>
    <x v="165"/>
    <x v="180"/>
    <x v="180"/>
    <s v="Chicken"/>
    <x v="1"/>
    <x v="1"/>
    <x v="32"/>
    <n v="4.99"/>
    <x v="537"/>
  </r>
  <r>
    <s v="SAL-01236"/>
    <x v="165"/>
    <x v="125"/>
    <x v="125"/>
    <s v="Burgers"/>
    <x v="0"/>
    <x v="3"/>
    <x v="29"/>
    <n v="8.99"/>
    <x v="626"/>
  </r>
  <r>
    <s v="SAL-01237"/>
    <x v="166"/>
    <x v="53"/>
    <x v="53"/>
    <s v="Beverages"/>
    <x v="1"/>
    <x v="1"/>
    <x v="28"/>
    <n v="2.99"/>
    <x v="42"/>
  </r>
  <r>
    <s v="SAL-01238"/>
    <x v="166"/>
    <x v="133"/>
    <x v="133"/>
    <s v="Beverages"/>
    <x v="1"/>
    <x v="0"/>
    <x v="26"/>
    <n v="2.99"/>
    <x v="54"/>
  </r>
  <r>
    <s v="SAL-01239"/>
    <x v="166"/>
    <x v="137"/>
    <x v="137"/>
    <s v="Burgers"/>
    <x v="1"/>
    <x v="1"/>
    <x v="50"/>
    <n v="8.99"/>
    <x v="320"/>
  </r>
  <r>
    <s v="SAL-01240"/>
    <x v="166"/>
    <x v="175"/>
    <x v="175"/>
    <s v="Breakfast"/>
    <x v="0"/>
    <x v="1"/>
    <x v="34"/>
    <n v="4.99"/>
    <x v="376"/>
  </r>
  <r>
    <s v="SAL-01241"/>
    <x v="166"/>
    <x v="14"/>
    <x v="14"/>
    <s v="Combo Meals"/>
    <x v="1"/>
    <x v="2"/>
    <x v="13"/>
    <n v="7.99"/>
    <x v="627"/>
  </r>
  <r>
    <s v="SAL-01242"/>
    <x v="167"/>
    <x v="106"/>
    <x v="106"/>
    <s v="Sides"/>
    <x v="1"/>
    <x v="0"/>
    <x v="43"/>
    <n v="4.99"/>
    <x v="628"/>
  </r>
  <r>
    <s v="SAL-01243"/>
    <x v="167"/>
    <x v="31"/>
    <x v="31"/>
    <s v="Beverages"/>
    <x v="1"/>
    <x v="1"/>
    <x v="39"/>
    <n v="3.99"/>
    <x v="629"/>
  </r>
  <r>
    <s v="SAL-01244"/>
    <x v="167"/>
    <x v="186"/>
    <x v="186"/>
    <s v="Chicken"/>
    <x v="0"/>
    <x v="3"/>
    <x v="22"/>
    <n v="5.99"/>
    <x v="134"/>
  </r>
  <r>
    <s v="SAL-01245"/>
    <x v="167"/>
    <x v="153"/>
    <x v="153"/>
    <s v="Breakfast"/>
    <x v="0"/>
    <x v="2"/>
    <x v="45"/>
    <n v="4.99"/>
    <x v="630"/>
  </r>
  <r>
    <s v="SAL-01246"/>
    <x v="167"/>
    <x v="63"/>
    <x v="63"/>
    <s v="Burgers"/>
    <x v="2"/>
    <x v="1"/>
    <x v="36"/>
    <n v="6.49"/>
    <x v="156"/>
  </r>
  <r>
    <s v="SAL-01247"/>
    <x v="167"/>
    <x v="89"/>
    <x v="89"/>
    <s v="Sides"/>
    <x v="1"/>
    <x v="3"/>
    <x v="44"/>
    <n v="2.99"/>
    <x v="323"/>
  </r>
  <r>
    <s v="SAL-01248"/>
    <x v="167"/>
    <x v="117"/>
    <x v="117"/>
    <s v="Burgers"/>
    <x v="1"/>
    <x v="1"/>
    <x v="5"/>
    <n v="6.99"/>
    <x v="36"/>
  </r>
  <r>
    <s v="SAL-01249"/>
    <x v="167"/>
    <x v="6"/>
    <x v="6"/>
    <s v="Breakfast"/>
    <x v="0"/>
    <x v="1"/>
    <x v="32"/>
    <n v="3.99"/>
    <x v="229"/>
  </r>
  <r>
    <s v="SAL-01250"/>
    <x v="167"/>
    <x v="136"/>
    <x v="136"/>
    <s v="Breakfast"/>
    <x v="0"/>
    <x v="0"/>
    <x v="31"/>
    <n v="4.99"/>
    <x v="88"/>
  </r>
  <r>
    <s v="SAL-01251"/>
    <x v="168"/>
    <x v="143"/>
    <x v="143"/>
    <s v="Burgers"/>
    <x v="0"/>
    <x v="1"/>
    <x v="26"/>
    <n v="8.49"/>
    <x v="631"/>
  </r>
  <r>
    <s v="SAL-01252"/>
    <x v="168"/>
    <x v="78"/>
    <x v="78"/>
    <s v="Sauces &amp; Add-ons"/>
    <x v="2"/>
    <x v="0"/>
    <x v="21"/>
    <n v="0.25"/>
    <x v="632"/>
  </r>
  <r>
    <s v="SAL-01253"/>
    <x v="168"/>
    <x v="93"/>
    <x v="93"/>
    <s v="Burgers"/>
    <x v="1"/>
    <x v="1"/>
    <x v="1"/>
    <n v="8.99"/>
    <x v="565"/>
  </r>
  <r>
    <s v="SAL-01254"/>
    <x v="168"/>
    <x v="173"/>
    <x v="173"/>
    <s v="Desserts"/>
    <x v="2"/>
    <x v="0"/>
    <x v="21"/>
    <n v="2.99"/>
    <x v="24"/>
  </r>
  <r>
    <s v="SAL-01255"/>
    <x v="168"/>
    <x v="33"/>
    <x v="33"/>
    <s v="Burgers"/>
    <x v="2"/>
    <x v="0"/>
    <x v="0"/>
    <n v="6.99"/>
    <x v="60"/>
  </r>
  <r>
    <s v="SAL-01256"/>
    <x v="168"/>
    <x v="22"/>
    <x v="22"/>
    <s v="Beverages"/>
    <x v="0"/>
    <x v="3"/>
    <x v="6"/>
    <n v="2.99"/>
    <x v="313"/>
  </r>
  <r>
    <s v="SAL-01257"/>
    <x v="168"/>
    <x v="4"/>
    <x v="4"/>
    <s v="Beverages"/>
    <x v="2"/>
    <x v="1"/>
    <x v="44"/>
    <n v="1.99"/>
    <x v="117"/>
  </r>
  <r>
    <s v="SAL-01258"/>
    <x v="169"/>
    <x v="156"/>
    <x v="156"/>
    <s v="Sides"/>
    <x v="2"/>
    <x v="3"/>
    <x v="11"/>
    <n v="3.99"/>
    <x v="93"/>
  </r>
  <r>
    <s v="SAL-01259"/>
    <x v="169"/>
    <x v="141"/>
    <x v="141"/>
    <s v="Burgers"/>
    <x v="0"/>
    <x v="3"/>
    <x v="22"/>
    <n v="8.49"/>
    <x v="633"/>
  </r>
  <r>
    <s v="SAL-01260"/>
    <x v="169"/>
    <x v="112"/>
    <x v="112"/>
    <s v="Burgers"/>
    <x v="0"/>
    <x v="2"/>
    <x v="32"/>
    <n v="8.49"/>
    <x v="150"/>
  </r>
  <r>
    <s v="SAL-01261"/>
    <x v="169"/>
    <x v="176"/>
    <x v="176"/>
    <s v="Beverages"/>
    <x v="0"/>
    <x v="2"/>
    <x v="39"/>
    <n v="2.99"/>
    <x v="432"/>
  </r>
  <r>
    <s v="SAL-01262"/>
    <x v="169"/>
    <x v="93"/>
    <x v="93"/>
    <s v="Burgers"/>
    <x v="1"/>
    <x v="2"/>
    <x v="46"/>
    <n v="8.99"/>
    <x v="297"/>
  </r>
  <r>
    <s v="SAL-01263"/>
    <x v="169"/>
    <x v="142"/>
    <x v="142"/>
    <s v="Breakfast"/>
    <x v="1"/>
    <x v="3"/>
    <x v="21"/>
    <n v="3.99"/>
    <x v="57"/>
  </r>
  <r>
    <s v="SAL-01264"/>
    <x v="169"/>
    <x v="123"/>
    <x v="123"/>
    <s v="Burgers"/>
    <x v="0"/>
    <x v="1"/>
    <x v="10"/>
    <n v="5.99"/>
    <x v="161"/>
  </r>
  <r>
    <s v="SAL-01265"/>
    <x v="169"/>
    <x v="140"/>
    <x v="140"/>
    <s v="Breakfast"/>
    <x v="0"/>
    <x v="2"/>
    <x v="21"/>
    <n v="4.99"/>
    <x v="48"/>
  </r>
  <r>
    <s v="SAL-01266"/>
    <x v="170"/>
    <x v="5"/>
    <x v="5"/>
    <s v="Beverages"/>
    <x v="1"/>
    <x v="1"/>
    <x v="20"/>
    <n v="2.99"/>
    <x v="23"/>
  </r>
  <r>
    <s v="SAL-01267"/>
    <x v="170"/>
    <x v="75"/>
    <x v="75"/>
    <s v="Beverages"/>
    <x v="2"/>
    <x v="2"/>
    <x v="41"/>
    <n v="2.99"/>
    <x v="154"/>
  </r>
  <r>
    <s v="SAL-01268"/>
    <x v="170"/>
    <x v="42"/>
    <x v="42"/>
    <s v="Sides"/>
    <x v="0"/>
    <x v="1"/>
    <x v="1"/>
    <n v="4.49"/>
    <x v="634"/>
  </r>
  <r>
    <s v="SAL-01269"/>
    <x v="170"/>
    <x v="29"/>
    <x v="29"/>
    <s v="Breakfast"/>
    <x v="1"/>
    <x v="1"/>
    <x v="32"/>
    <n v="3.99"/>
    <x v="229"/>
  </r>
  <r>
    <s v="SAL-01270"/>
    <x v="170"/>
    <x v="13"/>
    <x v="13"/>
    <s v="Beverages"/>
    <x v="2"/>
    <x v="2"/>
    <x v="50"/>
    <n v="2.99"/>
    <x v="189"/>
  </r>
  <r>
    <s v="SAL-01271"/>
    <x v="170"/>
    <x v="60"/>
    <x v="60"/>
    <s v="Burgers"/>
    <x v="0"/>
    <x v="1"/>
    <x v="4"/>
    <n v="6.99"/>
    <x v="155"/>
  </r>
  <r>
    <s v="SAL-01272"/>
    <x v="170"/>
    <x v="119"/>
    <x v="119"/>
    <s v="Burgers"/>
    <x v="0"/>
    <x v="1"/>
    <x v="38"/>
    <n v="2.99"/>
    <x v="69"/>
  </r>
  <r>
    <s v="SAL-01273"/>
    <x v="170"/>
    <x v="19"/>
    <x v="19"/>
    <s v="Sides"/>
    <x v="0"/>
    <x v="3"/>
    <x v="50"/>
    <n v="2.99"/>
    <x v="189"/>
  </r>
  <r>
    <s v="SAL-01274"/>
    <x v="170"/>
    <x v="151"/>
    <x v="151"/>
    <s v="Chicken"/>
    <x v="0"/>
    <x v="1"/>
    <x v="29"/>
    <n v="5.99"/>
    <x v="620"/>
  </r>
  <r>
    <s v="SAL-01275"/>
    <x v="170"/>
    <x v="158"/>
    <x v="158"/>
    <s v="Salads"/>
    <x v="0"/>
    <x v="2"/>
    <x v="23"/>
    <n v="7.49"/>
    <x v="526"/>
  </r>
  <r>
    <s v="SAL-01276"/>
    <x v="170"/>
    <x v="78"/>
    <x v="78"/>
    <s v="Sauces &amp; Add-ons"/>
    <x v="0"/>
    <x v="2"/>
    <x v="36"/>
    <n v="0.25"/>
    <x v="635"/>
  </r>
  <r>
    <s v="SAL-01277"/>
    <x v="170"/>
    <x v="6"/>
    <x v="6"/>
    <s v="Breakfast"/>
    <x v="2"/>
    <x v="1"/>
    <x v="9"/>
    <n v="3.99"/>
    <x v="44"/>
  </r>
  <r>
    <s v="SAL-01278"/>
    <x v="170"/>
    <x v="51"/>
    <x v="51"/>
    <s v="Combo Meals"/>
    <x v="2"/>
    <x v="0"/>
    <x v="50"/>
    <n v="12.99"/>
    <x v="636"/>
  </r>
  <r>
    <s v="SAL-01279"/>
    <x v="171"/>
    <x v="176"/>
    <x v="176"/>
    <s v="Beverages"/>
    <x v="0"/>
    <x v="2"/>
    <x v="30"/>
    <n v="2.99"/>
    <x v="145"/>
  </r>
  <r>
    <s v="SAL-01280"/>
    <x v="171"/>
    <x v="21"/>
    <x v="21"/>
    <s v="Desserts"/>
    <x v="2"/>
    <x v="3"/>
    <x v="11"/>
    <n v="2.99"/>
    <x v="13"/>
  </r>
  <r>
    <s v="SAL-01281"/>
    <x v="171"/>
    <x v="72"/>
    <x v="72"/>
    <s v="Burgers"/>
    <x v="0"/>
    <x v="0"/>
    <x v="33"/>
    <n v="6.99"/>
    <x v="56"/>
  </r>
  <r>
    <s v="SAL-01282"/>
    <x v="171"/>
    <x v="88"/>
    <x v="88"/>
    <s v="Beverages"/>
    <x v="0"/>
    <x v="2"/>
    <x v="35"/>
    <n v="2.99"/>
    <x v="637"/>
  </r>
  <r>
    <s v="SAL-01283"/>
    <x v="171"/>
    <x v="100"/>
    <x v="100"/>
    <s v="Sides"/>
    <x v="0"/>
    <x v="0"/>
    <x v="48"/>
    <n v="3.99"/>
    <x v="278"/>
  </r>
  <r>
    <s v="SAL-01284"/>
    <x v="171"/>
    <x v="173"/>
    <x v="173"/>
    <s v="Desserts"/>
    <x v="0"/>
    <x v="1"/>
    <x v="5"/>
    <n v="2.99"/>
    <x v="412"/>
  </r>
  <r>
    <s v="SAL-01285"/>
    <x v="171"/>
    <x v="177"/>
    <x v="177"/>
    <s v="Beverages"/>
    <x v="0"/>
    <x v="2"/>
    <x v="5"/>
    <n v="2.4900000000000002"/>
    <x v="638"/>
  </r>
  <r>
    <s v="SAL-01286"/>
    <x v="171"/>
    <x v="126"/>
    <x v="126"/>
    <s v="Beverages"/>
    <x v="0"/>
    <x v="2"/>
    <x v="14"/>
    <n v="2.99"/>
    <x v="76"/>
  </r>
  <r>
    <s v="SAL-01287"/>
    <x v="171"/>
    <x v="98"/>
    <x v="98"/>
    <s v="Beverages"/>
    <x v="2"/>
    <x v="3"/>
    <x v="42"/>
    <n v="1.99"/>
    <x v="350"/>
  </r>
  <r>
    <s v="SAL-01288"/>
    <x v="172"/>
    <x v="134"/>
    <x v="134"/>
    <s v="Beverages"/>
    <x v="1"/>
    <x v="1"/>
    <x v="31"/>
    <n v="2.99"/>
    <x v="52"/>
  </r>
  <r>
    <s v="SAL-01289"/>
    <x v="172"/>
    <x v="122"/>
    <x v="122"/>
    <s v="Desserts"/>
    <x v="1"/>
    <x v="0"/>
    <x v="30"/>
    <n v="4.99"/>
    <x v="46"/>
  </r>
  <r>
    <s v="SAL-01290"/>
    <x v="172"/>
    <x v="96"/>
    <x v="96"/>
    <s v="Breakfast"/>
    <x v="1"/>
    <x v="3"/>
    <x v="34"/>
    <n v="4.99"/>
    <x v="376"/>
  </r>
  <r>
    <s v="SAL-01291"/>
    <x v="172"/>
    <x v="40"/>
    <x v="40"/>
    <s v="Beverages"/>
    <x v="1"/>
    <x v="2"/>
    <x v="13"/>
    <n v="2.99"/>
    <x v="98"/>
  </r>
  <r>
    <s v="SAL-01292"/>
    <x v="172"/>
    <x v="137"/>
    <x v="137"/>
    <s v="Burgers"/>
    <x v="0"/>
    <x v="1"/>
    <x v="28"/>
    <n v="8.99"/>
    <x v="170"/>
  </r>
  <r>
    <s v="SAL-01293"/>
    <x v="172"/>
    <x v="70"/>
    <x v="70"/>
    <s v="Salads"/>
    <x v="1"/>
    <x v="1"/>
    <x v="46"/>
    <n v="8.99"/>
    <x v="297"/>
  </r>
  <r>
    <s v="SAL-01294"/>
    <x v="172"/>
    <x v="186"/>
    <x v="186"/>
    <s v="Chicken"/>
    <x v="2"/>
    <x v="1"/>
    <x v="35"/>
    <n v="5.99"/>
    <x v="361"/>
  </r>
  <r>
    <s v="SAL-01295"/>
    <x v="173"/>
    <x v="49"/>
    <x v="49"/>
    <s v="Beverages"/>
    <x v="0"/>
    <x v="2"/>
    <x v="27"/>
    <n v="2.99"/>
    <x v="40"/>
  </r>
  <r>
    <s v="SAL-01296"/>
    <x v="173"/>
    <x v="93"/>
    <x v="93"/>
    <s v="Burgers"/>
    <x v="0"/>
    <x v="2"/>
    <x v="30"/>
    <n v="8.99"/>
    <x v="332"/>
  </r>
  <r>
    <s v="SAL-01297"/>
    <x v="173"/>
    <x v="130"/>
    <x v="130"/>
    <s v="Desserts"/>
    <x v="1"/>
    <x v="2"/>
    <x v="46"/>
    <n v="1.49"/>
    <x v="639"/>
  </r>
  <r>
    <s v="SAL-01298"/>
    <x v="173"/>
    <x v="109"/>
    <x v="109"/>
    <s v="Burgers"/>
    <x v="0"/>
    <x v="0"/>
    <x v="14"/>
    <n v="6.49"/>
    <x v="640"/>
  </r>
  <r>
    <s v="SAL-01299"/>
    <x v="173"/>
    <x v="167"/>
    <x v="167"/>
    <s v="Breakfast"/>
    <x v="0"/>
    <x v="3"/>
    <x v="46"/>
    <n v="7.99"/>
    <x v="641"/>
  </r>
  <r>
    <s v="SAL-01300"/>
    <x v="174"/>
    <x v="163"/>
    <x v="163"/>
    <s v="Burgers"/>
    <x v="1"/>
    <x v="3"/>
    <x v="36"/>
    <n v="7.99"/>
    <x v="304"/>
  </r>
  <r>
    <s v="SAL-01301"/>
    <x v="174"/>
    <x v="56"/>
    <x v="56"/>
    <s v="Beverages"/>
    <x v="2"/>
    <x v="3"/>
    <x v="38"/>
    <n v="2.99"/>
    <x v="69"/>
  </r>
  <r>
    <s v="SAL-01302"/>
    <x v="174"/>
    <x v="66"/>
    <x v="66"/>
    <s v="Sides"/>
    <x v="0"/>
    <x v="1"/>
    <x v="37"/>
    <n v="4.49"/>
    <x v="529"/>
  </r>
  <r>
    <s v="SAL-01303"/>
    <x v="174"/>
    <x v="74"/>
    <x v="74"/>
    <s v="Breakfast"/>
    <x v="1"/>
    <x v="3"/>
    <x v="31"/>
    <n v="4.99"/>
    <x v="88"/>
  </r>
  <r>
    <s v="SAL-01304"/>
    <x v="174"/>
    <x v="22"/>
    <x v="22"/>
    <s v="Beverages"/>
    <x v="1"/>
    <x v="1"/>
    <x v="23"/>
    <n v="2.99"/>
    <x v="63"/>
  </r>
  <r>
    <s v="SAL-01305"/>
    <x v="175"/>
    <x v="162"/>
    <x v="162"/>
    <s v="Sides"/>
    <x v="0"/>
    <x v="2"/>
    <x v="2"/>
    <n v="2.99"/>
    <x v="108"/>
  </r>
  <r>
    <s v="SAL-01306"/>
    <x v="175"/>
    <x v="41"/>
    <x v="41"/>
    <s v="Chicken"/>
    <x v="0"/>
    <x v="1"/>
    <x v="28"/>
    <n v="4.99"/>
    <x v="201"/>
  </r>
  <r>
    <s v="SAL-01307"/>
    <x v="175"/>
    <x v="125"/>
    <x v="125"/>
    <s v="Burgers"/>
    <x v="2"/>
    <x v="1"/>
    <x v="2"/>
    <n v="8.99"/>
    <x v="205"/>
  </r>
  <r>
    <s v="SAL-01308"/>
    <x v="175"/>
    <x v="14"/>
    <x v="14"/>
    <s v="Combo Meals"/>
    <x v="2"/>
    <x v="1"/>
    <x v="39"/>
    <n v="7.99"/>
    <x v="642"/>
  </r>
  <r>
    <s v="SAL-01309"/>
    <x v="175"/>
    <x v="66"/>
    <x v="66"/>
    <s v="Sides"/>
    <x v="0"/>
    <x v="2"/>
    <x v="14"/>
    <n v="4.49"/>
    <x v="643"/>
  </r>
  <r>
    <s v="SAL-01310"/>
    <x v="176"/>
    <x v="78"/>
    <x v="78"/>
    <s v="Sauces &amp; Add-ons"/>
    <x v="0"/>
    <x v="0"/>
    <x v="18"/>
    <n v="0.25"/>
    <x v="644"/>
  </r>
  <r>
    <s v="SAL-01311"/>
    <x v="176"/>
    <x v="35"/>
    <x v="35"/>
    <s v="Desserts"/>
    <x v="0"/>
    <x v="3"/>
    <x v="41"/>
    <n v="4.99"/>
    <x v="645"/>
  </r>
  <r>
    <s v="SAL-01312"/>
    <x v="176"/>
    <x v="181"/>
    <x v="181"/>
    <s v="Sides"/>
    <x v="0"/>
    <x v="1"/>
    <x v="27"/>
    <n v="3.49"/>
    <x v="646"/>
  </r>
  <r>
    <s v="SAL-01313"/>
    <x v="176"/>
    <x v="155"/>
    <x v="155"/>
    <s v="Breakfast"/>
    <x v="2"/>
    <x v="1"/>
    <x v="26"/>
    <n v="4.99"/>
    <x v="39"/>
  </r>
  <r>
    <s v="SAL-01314"/>
    <x v="176"/>
    <x v="108"/>
    <x v="108"/>
    <s v="Sides"/>
    <x v="2"/>
    <x v="2"/>
    <x v="10"/>
    <n v="3.49"/>
    <x v="504"/>
  </r>
  <r>
    <s v="SAL-01315"/>
    <x v="176"/>
    <x v="45"/>
    <x v="45"/>
    <s v="Combo Meals"/>
    <x v="0"/>
    <x v="1"/>
    <x v="43"/>
    <n v="10.99"/>
    <x v="647"/>
  </r>
  <r>
    <s v="SAL-01316"/>
    <x v="176"/>
    <x v="163"/>
    <x v="163"/>
    <s v="Burgers"/>
    <x v="0"/>
    <x v="3"/>
    <x v="46"/>
    <n v="7.99"/>
    <x v="641"/>
  </r>
  <r>
    <s v="SAL-01317"/>
    <x v="176"/>
    <x v="89"/>
    <x v="89"/>
    <s v="Sides"/>
    <x v="1"/>
    <x v="2"/>
    <x v="16"/>
    <n v="2.99"/>
    <x v="18"/>
  </r>
  <r>
    <s v="SAL-01318"/>
    <x v="176"/>
    <x v="9"/>
    <x v="9"/>
    <s v="Burgers"/>
    <x v="0"/>
    <x v="2"/>
    <x v="45"/>
    <n v="9.99"/>
    <x v="546"/>
  </r>
  <r>
    <s v="SAL-01319"/>
    <x v="176"/>
    <x v="73"/>
    <x v="73"/>
    <s v="Beverages"/>
    <x v="2"/>
    <x v="3"/>
    <x v="18"/>
    <n v="2.4900000000000002"/>
    <x v="648"/>
  </r>
  <r>
    <s v="SAL-01320"/>
    <x v="176"/>
    <x v="77"/>
    <x v="77"/>
    <s v="Beverages"/>
    <x v="2"/>
    <x v="2"/>
    <x v="15"/>
    <n v="3.99"/>
    <x v="100"/>
  </r>
  <r>
    <s v="SAL-01321"/>
    <x v="176"/>
    <x v="113"/>
    <x v="113"/>
    <s v="Salads"/>
    <x v="0"/>
    <x v="2"/>
    <x v="15"/>
    <n v="6.99"/>
    <x v="169"/>
  </r>
  <r>
    <s v="SAL-01322"/>
    <x v="177"/>
    <x v="46"/>
    <x v="46"/>
    <s v="Beverages"/>
    <x v="2"/>
    <x v="0"/>
    <x v="2"/>
    <n v="2.99"/>
    <x v="108"/>
  </r>
  <r>
    <s v="SAL-01323"/>
    <x v="177"/>
    <x v="61"/>
    <x v="61"/>
    <s v="Burgers"/>
    <x v="2"/>
    <x v="1"/>
    <x v="41"/>
    <n v="6.49"/>
    <x v="74"/>
  </r>
  <r>
    <s v="SAL-01324"/>
    <x v="177"/>
    <x v="181"/>
    <x v="181"/>
    <s v="Sides"/>
    <x v="0"/>
    <x v="3"/>
    <x v="41"/>
    <n v="3.49"/>
    <x v="649"/>
  </r>
  <r>
    <s v="SAL-01325"/>
    <x v="177"/>
    <x v="162"/>
    <x v="162"/>
    <s v="Sides"/>
    <x v="0"/>
    <x v="0"/>
    <x v="45"/>
    <n v="2.99"/>
    <x v="203"/>
  </r>
  <r>
    <s v="SAL-01326"/>
    <x v="177"/>
    <x v="4"/>
    <x v="4"/>
    <s v="Beverages"/>
    <x v="0"/>
    <x v="0"/>
    <x v="28"/>
    <n v="1.99"/>
    <x v="650"/>
  </r>
  <r>
    <s v="SAL-01327"/>
    <x v="177"/>
    <x v="184"/>
    <x v="184"/>
    <s v="Beverages"/>
    <x v="0"/>
    <x v="1"/>
    <x v="43"/>
    <n v="2.99"/>
    <x v="440"/>
  </r>
  <r>
    <s v="SAL-01328"/>
    <x v="177"/>
    <x v="11"/>
    <x v="11"/>
    <s v="Desserts"/>
    <x v="2"/>
    <x v="1"/>
    <x v="18"/>
    <n v="5.99"/>
    <x v="118"/>
  </r>
  <r>
    <s v="SAL-01329"/>
    <x v="177"/>
    <x v="54"/>
    <x v="54"/>
    <s v="Chicken"/>
    <x v="0"/>
    <x v="1"/>
    <x v="24"/>
    <n v="7.49"/>
    <x v="651"/>
  </r>
  <r>
    <s v="SAL-01330"/>
    <x v="177"/>
    <x v="19"/>
    <x v="19"/>
    <s v="Sides"/>
    <x v="2"/>
    <x v="1"/>
    <x v="10"/>
    <n v="2.99"/>
    <x v="59"/>
  </r>
  <r>
    <s v="SAL-01331"/>
    <x v="177"/>
    <x v="49"/>
    <x v="49"/>
    <s v="Beverages"/>
    <x v="0"/>
    <x v="2"/>
    <x v="0"/>
    <n v="2.99"/>
    <x v="50"/>
  </r>
  <r>
    <s v="SAL-01332"/>
    <x v="177"/>
    <x v="31"/>
    <x v="31"/>
    <s v="Beverages"/>
    <x v="1"/>
    <x v="1"/>
    <x v="14"/>
    <n v="3.99"/>
    <x v="447"/>
  </r>
  <r>
    <s v="SAL-01333"/>
    <x v="177"/>
    <x v="82"/>
    <x v="82"/>
    <s v="Beverages"/>
    <x v="0"/>
    <x v="2"/>
    <x v="7"/>
    <n v="2.99"/>
    <x v="20"/>
  </r>
  <r>
    <s v="SAL-01334"/>
    <x v="178"/>
    <x v="33"/>
    <x v="33"/>
    <s v="Burgers"/>
    <x v="2"/>
    <x v="1"/>
    <x v="25"/>
    <n v="6.99"/>
    <x v="652"/>
  </r>
  <r>
    <s v="SAL-01335"/>
    <x v="178"/>
    <x v="118"/>
    <x v="118"/>
    <s v="Breakfast"/>
    <x v="2"/>
    <x v="3"/>
    <x v="50"/>
    <n v="4.99"/>
    <x v="540"/>
  </r>
  <r>
    <s v="SAL-01336"/>
    <x v="178"/>
    <x v="16"/>
    <x v="16"/>
    <s v="Burgers"/>
    <x v="0"/>
    <x v="1"/>
    <x v="47"/>
    <n v="8.99"/>
    <x v="622"/>
  </r>
  <r>
    <s v="SAL-01337"/>
    <x v="178"/>
    <x v="75"/>
    <x v="75"/>
    <s v="Beverages"/>
    <x v="2"/>
    <x v="3"/>
    <x v="50"/>
    <n v="2.99"/>
    <x v="189"/>
  </r>
  <r>
    <s v="SAL-01338"/>
    <x v="178"/>
    <x v="114"/>
    <x v="114"/>
    <s v="Burgers"/>
    <x v="0"/>
    <x v="1"/>
    <x v="0"/>
    <n v="7.99"/>
    <x v="653"/>
  </r>
  <r>
    <s v="SAL-01339"/>
    <x v="179"/>
    <x v="133"/>
    <x v="133"/>
    <s v="Beverages"/>
    <x v="2"/>
    <x v="2"/>
    <x v="32"/>
    <n v="2.99"/>
    <x v="55"/>
  </r>
  <r>
    <s v="SAL-01340"/>
    <x v="179"/>
    <x v="45"/>
    <x v="45"/>
    <s v="Combo Meals"/>
    <x v="1"/>
    <x v="0"/>
    <x v="0"/>
    <n v="10.99"/>
    <x v="654"/>
  </r>
  <r>
    <s v="SAL-01341"/>
    <x v="179"/>
    <x v="10"/>
    <x v="10"/>
    <s v="Beverages"/>
    <x v="2"/>
    <x v="3"/>
    <x v="35"/>
    <n v="1.99"/>
    <x v="655"/>
  </r>
  <r>
    <s v="SAL-01342"/>
    <x v="179"/>
    <x v="107"/>
    <x v="107"/>
    <s v="Chicken"/>
    <x v="1"/>
    <x v="1"/>
    <x v="27"/>
    <n v="5.99"/>
    <x v="286"/>
  </r>
  <r>
    <s v="SAL-01343"/>
    <x v="179"/>
    <x v="77"/>
    <x v="77"/>
    <s v="Beverages"/>
    <x v="1"/>
    <x v="3"/>
    <x v="32"/>
    <n v="3.99"/>
    <x v="229"/>
  </r>
  <r>
    <s v="SAL-01344"/>
    <x v="180"/>
    <x v="184"/>
    <x v="184"/>
    <s v="Beverages"/>
    <x v="0"/>
    <x v="0"/>
    <x v="21"/>
    <n v="2.99"/>
    <x v="24"/>
  </r>
  <r>
    <s v="SAL-01345"/>
    <x v="180"/>
    <x v="147"/>
    <x v="147"/>
    <s v="Burgers"/>
    <x v="1"/>
    <x v="1"/>
    <x v="37"/>
    <n v="9.99"/>
    <x v="656"/>
  </r>
  <r>
    <s v="SAL-01346"/>
    <x v="180"/>
    <x v="13"/>
    <x v="13"/>
    <s v="Beverages"/>
    <x v="0"/>
    <x v="2"/>
    <x v="4"/>
    <n v="2.99"/>
    <x v="28"/>
  </r>
  <r>
    <s v="SAL-01347"/>
    <x v="180"/>
    <x v="88"/>
    <x v="88"/>
    <s v="Beverages"/>
    <x v="2"/>
    <x v="1"/>
    <x v="28"/>
    <n v="2.99"/>
    <x v="42"/>
  </r>
  <r>
    <s v="SAL-01348"/>
    <x v="180"/>
    <x v="22"/>
    <x v="22"/>
    <s v="Beverages"/>
    <x v="1"/>
    <x v="2"/>
    <x v="45"/>
    <n v="2.99"/>
    <x v="203"/>
  </r>
  <r>
    <s v="SAL-01349"/>
    <x v="180"/>
    <x v="79"/>
    <x v="79"/>
    <s v="Chicken"/>
    <x v="0"/>
    <x v="3"/>
    <x v="46"/>
    <n v="2.99"/>
    <x v="438"/>
  </r>
  <r>
    <s v="SAL-01350"/>
    <x v="180"/>
    <x v="180"/>
    <x v="180"/>
    <s v="Chicken"/>
    <x v="0"/>
    <x v="2"/>
    <x v="9"/>
    <n v="4.99"/>
    <x v="380"/>
  </r>
  <r>
    <s v="SAL-01351"/>
    <x v="180"/>
    <x v="171"/>
    <x v="171"/>
    <s v="Burgers"/>
    <x v="0"/>
    <x v="1"/>
    <x v="26"/>
    <n v="6.99"/>
    <x v="490"/>
  </r>
  <r>
    <s v="SAL-01352"/>
    <x v="180"/>
    <x v="124"/>
    <x v="124"/>
    <s v="Breakfast"/>
    <x v="2"/>
    <x v="1"/>
    <x v="6"/>
    <n v="4.99"/>
    <x v="8"/>
  </r>
  <r>
    <s v="SAL-01353"/>
    <x v="180"/>
    <x v="143"/>
    <x v="143"/>
    <s v="Burgers"/>
    <x v="0"/>
    <x v="1"/>
    <x v="47"/>
    <n v="8.49"/>
    <x v="506"/>
  </r>
  <r>
    <s v="SAL-01354"/>
    <x v="180"/>
    <x v="26"/>
    <x v="26"/>
    <s v="Beverages"/>
    <x v="1"/>
    <x v="1"/>
    <x v="49"/>
    <n v="2.99"/>
    <x v="213"/>
  </r>
  <r>
    <s v="SAL-01355"/>
    <x v="180"/>
    <x v="31"/>
    <x v="31"/>
    <s v="Beverages"/>
    <x v="2"/>
    <x v="3"/>
    <x v="13"/>
    <n v="3.99"/>
    <x v="317"/>
  </r>
  <r>
    <s v="SAL-01356"/>
    <x v="180"/>
    <x v="116"/>
    <x v="116"/>
    <s v="Chicken"/>
    <x v="0"/>
    <x v="0"/>
    <x v="8"/>
    <n v="6.99"/>
    <x v="657"/>
  </r>
  <r>
    <s v="SAL-01357"/>
    <x v="180"/>
    <x v="12"/>
    <x v="12"/>
    <s v="Combo Meals"/>
    <x v="0"/>
    <x v="2"/>
    <x v="23"/>
    <n v="9.99"/>
    <x v="658"/>
  </r>
  <r>
    <s v="SAL-01358"/>
    <x v="180"/>
    <x v="66"/>
    <x v="66"/>
    <s v="Sides"/>
    <x v="2"/>
    <x v="3"/>
    <x v="48"/>
    <n v="4.49"/>
    <x v="659"/>
  </r>
  <r>
    <s v="SAL-01359"/>
    <x v="180"/>
    <x v="171"/>
    <x v="171"/>
    <s v="Burgers"/>
    <x v="1"/>
    <x v="0"/>
    <x v="47"/>
    <n v="6.99"/>
    <x v="530"/>
  </r>
  <r>
    <s v="SAL-01360"/>
    <x v="180"/>
    <x v="48"/>
    <x v="48"/>
    <s v="Beverages"/>
    <x v="1"/>
    <x v="2"/>
    <x v="13"/>
    <n v="3.99"/>
    <x v="317"/>
  </r>
  <r>
    <s v="SAL-01361"/>
    <x v="181"/>
    <x v="2"/>
    <x v="2"/>
    <s v="Chicken"/>
    <x v="0"/>
    <x v="1"/>
    <x v="47"/>
    <n v="6.99"/>
    <x v="530"/>
  </r>
  <r>
    <s v="SAL-01362"/>
    <x v="181"/>
    <x v="4"/>
    <x v="4"/>
    <s v="Beverages"/>
    <x v="0"/>
    <x v="1"/>
    <x v="13"/>
    <n v="1.99"/>
    <x v="15"/>
  </r>
  <r>
    <s v="SAL-01363"/>
    <x v="181"/>
    <x v="29"/>
    <x v="29"/>
    <s v="Breakfast"/>
    <x v="1"/>
    <x v="0"/>
    <x v="43"/>
    <n v="3.99"/>
    <x v="208"/>
  </r>
  <r>
    <s v="SAL-01364"/>
    <x v="181"/>
    <x v="133"/>
    <x v="133"/>
    <s v="Beverages"/>
    <x v="1"/>
    <x v="1"/>
    <x v="8"/>
    <n v="2.99"/>
    <x v="86"/>
  </r>
  <r>
    <s v="SAL-01365"/>
    <x v="181"/>
    <x v="57"/>
    <x v="57"/>
    <s v="Chicken"/>
    <x v="2"/>
    <x v="1"/>
    <x v="19"/>
    <n v="11.99"/>
    <x v="347"/>
  </r>
  <r>
    <s v="SAL-01366"/>
    <x v="181"/>
    <x v="197"/>
    <x v="197"/>
    <s v="Sauces &amp; Add-ons"/>
    <x v="2"/>
    <x v="1"/>
    <x v="9"/>
    <n v="0.5"/>
    <x v="522"/>
  </r>
  <r>
    <s v="SAL-01367"/>
    <x v="181"/>
    <x v="64"/>
    <x v="64"/>
    <s v="Sides"/>
    <x v="0"/>
    <x v="1"/>
    <x v="6"/>
    <n v="3.99"/>
    <x v="660"/>
  </r>
  <r>
    <s v="SAL-01368"/>
    <x v="181"/>
    <x v="170"/>
    <x v="170"/>
    <s v="Desserts"/>
    <x v="0"/>
    <x v="1"/>
    <x v="13"/>
    <n v="4.49"/>
    <x v="661"/>
  </r>
  <r>
    <s v="SAL-01369"/>
    <x v="182"/>
    <x v="182"/>
    <x v="182"/>
    <s v="Kids Meals"/>
    <x v="2"/>
    <x v="3"/>
    <x v="22"/>
    <n v="5.99"/>
    <x v="134"/>
  </r>
  <r>
    <s v="SAL-01370"/>
    <x v="182"/>
    <x v="106"/>
    <x v="106"/>
    <s v="Sides"/>
    <x v="0"/>
    <x v="1"/>
    <x v="24"/>
    <n v="4.99"/>
    <x v="337"/>
  </r>
  <r>
    <s v="SAL-01371"/>
    <x v="182"/>
    <x v="125"/>
    <x v="125"/>
    <s v="Burgers"/>
    <x v="1"/>
    <x v="1"/>
    <x v="38"/>
    <n v="8.99"/>
    <x v="662"/>
  </r>
  <r>
    <s v="SAL-01372"/>
    <x v="182"/>
    <x v="67"/>
    <x v="67"/>
    <s v="Burgers"/>
    <x v="1"/>
    <x v="1"/>
    <x v="48"/>
    <n v="3.99"/>
    <x v="278"/>
  </r>
  <r>
    <s v="SAL-01373"/>
    <x v="182"/>
    <x v="48"/>
    <x v="48"/>
    <s v="Beverages"/>
    <x v="1"/>
    <x v="1"/>
    <x v="2"/>
    <n v="3.99"/>
    <x v="132"/>
  </r>
  <r>
    <s v="SAL-01374"/>
    <x v="182"/>
    <x v="113"/>
    <x v="113"/>
    <s v="Salads"/>
    <x v="2"/>
    <x v="1"/>
    <x v="18"/>
    <n v="6.99"/>
    <x v="85"/>
  </r>
  <r>
    <s v="SAL-01375"/>
    <x v="182"/>
    <x v="98"/>
    <x v="98"/>
    <s v="Beverages"/>
    <x v="2"/>
    <x v="3"/>
    <x v="1"/>
    <n v="1.99"/>
    <x v="583"/>
  </r>
  <r>
    <s v="SAL-01376"/>
    <x v="182"/>
    <x v="156"/>
    <x v="156"/>
    <s v="Sides"/>
    <x v="1"/>
    <x v="1"/>
    <x v="7"/>
    <n v="3.99"/>
    <x v="34"/>
  </r>
  <r>
    <s v="SAL-01377"/>
    <x v="183"/>
    <x v="165"/>
    <x v="165"/>
    <s v="Breakfast"/>
    <x v="1"/>
    <x v="1"/>
    <x v="37"/>
    <n v="4.99"/>
    <x v="284"/>
  </r>
  <r>
    <s v="SAL-01378"/>
    <x v="183"/>
    <x v="108"/>
    <x v="108"/>
    <s v="Sides"/>
    <x v="1"/>
    <x v="1"/>
    <x v="42"/>
    <n v="3.49"/>
    <x v="388"/>
  </r>
  <r>
    <s v="SAL-01379"/>
    <x v="183"/>
    <x v="12"/>
    <x v="12"/>
    <s v="Combo Meals"/>
    <x v="2"/>
    <x v="2"/>
    <x v="12"/>
    <n v="9.99"/>
    <x v="663"/>
  </r>
  <r>
    <s v="SAL-01380"/>
    <x v="183"/>
    <x v="77"/>
    <x v="77"/>
    <s v="Beverages"/>
    <x v="0"/>
    <x v="3"/>
    <x v="37"/>
    <n v="3.99"/>
    <x v="344"/>
  </r>
  <r>
    <s v="SAL-01381"/>
    <x v="183"/>
    <x v="48"/>
    <x v="48"/>
    <s v="Beverages"/>
    <x v="1"/>
    <x v="3"/>
    <x v="17"/>
    <n v="3.99"/>
    <x v="128"/>
  </r>
  <r>
    <s v="SAL-01382"/>
    <x v="184"/>
    <x v="72"/>
    <x v="72"/>
    <s v="Burgers"/>
    <x v="1"/>
    <x v="1"/>
    <x v="12"/>
    <n v="6.99"/>
    <x v="478"/>
  </r>
  <r>
    <s v="SAL-01383"/>
    <x v="184"/>
    <x v="191"/>
    <x v="191"/>
    <s v="Sides"/>
    <x v="0"/>
    <x v="1"/>
    <x v="8"/>
    <n v="4.99"/>
    <x v="110"/>
  </r>
  <r>
    <s v="SAL-01384"/>
    <x v="184"/>
    <x v="93"/>
    <x v="93"/>
    <s v="Burgers"/>
    <x v="2"/>
    <x v="1"/>
    <x v="13"/>
    <n v="8.99"/>
    <x v="239"/>
  </r>
  <r>
    <s v="SAL-01385"/>
    <x v="184"/>
    <x v="171"/>
    <x v="171"/>
    <s v="Burgers"/>
    <x v="1"/>
    <x v="2"/>
    <x v="7"/>
    <n v="6.99"/>
    <x v="200"/>
  </r>
  <r>
    <s v="SAL-01386"/>
    <x v="184"/>
    <x v="135"/>
    <x v="135"/>
    <s v="Desserts"/>
    <x v="0"/>
    <x v="1"/>
    <x v="9"/>
    <n v="1.49"/>
    <x v="664"/>
  </r>
  <r>
    <s v="SAL-01387"/>
    <x v="184"/>
    <x v="4"/>
    <x v="4"/>
    <s v="Beverages"/>
    <x v="1"/>
    <x v="3"/>
    <x v="15"/>
    <n v="1.99"/>
    <x v="665"/>
  </r>
  <r>
    <s v="SAL-01388"/>
    <x v="185"/>
    <x v="157"/>
    <x v="157"/>
    <s v="Beverages"/>
    <x v="2"/>
    <x v="2"/>
    <x v="34"/>
    <n v="3.99"/>
    <x v="81"/>
  </r>
  <r>
    <s v="SAL-01389"/>
    <x v="185"/>
    <x v="89"/>
    <x v="89"/>
    <s v="Sides"/>
    <x v="1"/>
    <x v="3"/>
    <x v="11"/>
    <n v="2.99"/>
    <x v="13"/>
  </r>
  <r>
    <s v="SAL-01390"/>
    <x v="185"/>
    <x v="188"/>
    <x v="188"/>
    <s v="Chicken"/>
    <x v="0"/>
    <x v="3"/>
    <x v="28"/>
    <n v="5.99"/>
    <x v="97"/>
  </r>
  <r>
    <s v="SAL-01391"/>
    <x v="185"/>
    <x v="87"/>
    <x v="87"/>
    <s v="Burgers"/>
    <x v="0"/>
    <x v="3"/>
    <x v="17"/>
    <n v="6.99"/>
    <x v="181"/>
  </r>
  <r>
    <s v="SAL-01392"/>
    <x v="185"/>
    <x v="67"/>
    <x v="67"/>
    <s v="Burgers"/>
    <x v="0"/>
    <x v="1"/>
    <x v="17"/>
    <n v="3.99"/>
    <x v="128"/>
  </r>
  <r>
    <s v="SAL-01393"/>
    <x v="185"/>
    <x v="13"/>
    <x v="13"/>
    <s v="Beverages"/>
    <x v="0"/>
    <x v="1"/>
    <x v="22"/>
    <n v="2.99"/>
    <x v="266"/>
  </r>
  <r>
    <s v="SAL-01394"/>
    <x v="185"/>
    <x v="77"/>
    <x v="77"/>
    <s v="Beverages"/>
    <x v="0"/>
    <x v="3"/>
    <x v="31"/>
    <n v="3.99"/>
    <x v="571"/>
  </r>
  <r>
    <s v="SAL-01395"/>
    <x v="186"/>
    <x v="5"/>
    <x v="5"/>
    <s v="Beverages"/>
    <x v="1"/>
    <x v="0"/>
    <x v="35"/>
    <n v="2.99"/>
    <x v="637"/>
  </r>
  <r>
    <s v="SAL-01396"/>
    <x v="186"/>
    <x v="173"/>
    <x v="173"/>
    <s v="Desserts"/>
    <x v="2"/>
    <x v="0"/>
    <x v="44"/>
    <n v="2.99"/>
    <x v="323"/>
  </r>
  <r>
    <s v="SAL-01397"/>
    <x v="186"/>
    <x v="75"/>
    <x v="75"/>
    <s v="Beverages"/>
    <x v="0"/>
    <x v="1"/>
    <x v="37"/>
    <n v="2.99"/>
    <x v="104"/>
  </r>
  <r>
    <s v="SAL-01398"/>
    <x v="186"/>
    <x v="138"/>
    <x v="138"/>
    <s v="Breakfast"/>
    <x v="1"/>
    <x v="3"/>
    <x v="2"/>
    <n v="2.99"/>
    <x v="108"/>
  </r>
  <r>
    <s v="SAL-01399"/>
    <x v="186"/>
    <x v="52"/>
    <x v="52"/>
    <s v="Chicken"/>
    <x v="0"/>
    <x v="0"/>
    <x v="13"/>
    <n v="11.99"/>
    <x v="666"/>
  </r>
  <r>
    <s v="SAL-01400"/>
    <x v="186"/>
    <x v="43"/>
    <x v="43"/>
    <s v="Chicken"/>
    <x v="2"/>
    <x v="3"/>
    <x v="19"/>
    <n v="4.99"/>
    <x v="22"/>
  </r>
  <r>
    <s v="SAL-01401"/>
    <x v="186"/>
    <x v="177"/>
    <x v="177"/>
    <s v="Beverages"/>
    <x v="2"/>
    <x v="1"/>
    <x v="5"/>
    <n v="2.4900000000000002"/>
    <x v="638"/>
  </r>
  <r>
    <s v="SAL-01402"/>
    <x v="187"/>
    <x v="9"/>
    <x v="9"/>
    <s v="Burgers"/>
    <x v="0"/>
    <x v="1"/>
    <x v="18"/>
    <n v="9.99"/>
    <x v="667"/>
  </r>
  <r>
    <s v="SAL-01403"/>
    <x v="187"/>
    <x v="195"/>
    <x v="195"/>
    <s v="Breakfast"/>
    <x v="2"/>
    <x v="1"/>
    <x v="15"/>
    <n v="4.99"/>
    <x v="253"/>
  </r>
  <r>
    <s v="SAL-01404"/>
    <x v="187"/>
    <x v="100"/>
    <x v="100"/>
    <s v="Sides"/>
    <x v="1"/>
    <x v="3"/>
    <x v="19"/>
    <n v="3.99"/>
    <x v="437"/>
  </r>
  <r>
    <s v="SAL-01405"/>
    <x v="187"/>
    <x v="22"/>
    <x v="22"/>
    <s v="Beverages"/>
    <x v="1"/>
    <x v="2"/>
    <x v="43"/>
    <n v="2.99"/>
    <x v="440"/>
  </r>
  <r>
    <s v="SAL-01406"/>
    <x v="187"/>
    <x v="168"/>
    <x v="168"/>
    <s v="Breakfast"/>
    <x v="0"/>
    <x v="0"/>
    <x v="25"/>
    <n v="2.4900000000000002"/>
    <x v="370"/>
  </r>
  <r>
    <s v="SAL-01407"/>
    <x v="187"/>
    <x v="191"/>
    <x v="191"/>
    <s v="Sides"/>
    <x v="0"/>
    <x v="1"/>
    <x v="45"/>
    <n v="4.99"/>
    <x v="630"/>
  </r>
  <r>
    <s v="SAL-01408"/>
    <x v="187"/>
    <x v="137"/>
    <x v="137"/>
    <s v="Burgers"/>
    <x v="0"/>
    <x v="1"/>
    <x v="27"/>
    <n v="8.99"/>
    <x v="119"/>
  </r>
  <r>
    <s v="SAL-01409"/>
    <x v="187"/>
    <x v="108"/>
    <x v="108"/>
    <s v="Sides"/>
    <x v="0"/>
    <x v="1"/>
    <x v="8"/>
    <n v="3.49"/>
    <x v="668"/>
  </r>
  <r>
    <s v="SAL-01410"/>
    <x v="188"/>
    <x v="100"/>
    <x v="100"/>
    <s v="Sides"/>
    <x v="0"/>
    <x v="1"/>
    <x v="23"/>
    <n v="3.99"/>
    <x v="669"/>
  </r>
  <r>
    <s v="SAL-01411"/>
    <x v="188"/>
    <x v="149"/>
    <x v="149"/>
    <s v="Sauces &amp; Add-ons"/>
    <x v="2"/>
    <x v="2"/>
    <x v="12"/>
    <n v="0.25"/>
    <x v="670"/>
  </r>
  <r>
    <s v="SAL-01412"/>
    <x v="188"/>
    <x v="57"/>
    <x v="57"/>
    <s v="Chicken"/>
    <x v="2"/>
    <x v="1"/>
    <x v="24"/>
    <n v="11.99"/>
    <x v="671"/>
  </r>
  <r>
    <s v="SAL-01413"/>
    <x v="188"/>
    <x v="8"/>
    <x v="8"/>
    <s v="Desserts"/>
    <x v="2"/>
    <x v="3"/>
    <x v="11"/>
    <n v="4.99"/>
    <x v="295"/>
  </r>
  <r>
    <s v="SAL-01414"/>
    <x v="188"/>
    <x v="43"/>
    <x v="43"/>
    <s v="Chicken"/>
    <x v="0"/>
    <x v="1"/>
    <x v="4"/>
    <n v="4.99"/>
    <x v="38"/>
  </r>
  <r>
    <s v="SAL-01415"/>
    <x v="188"/>
    <x v="22"/>
    <x v="22"/>
    <s v="Beverages"/>
    <x v="2"/>
    <x v="3"/>
    <x v="9"/>
    <n v="2.99"/>
    <x v="261"/>
  </r>
  <r>
    <s v="SAL-01416"/>
    <x v="188"/>
    <x v="176"/>
    <x v="176"/>
    <s v="Beverages"/>
    <x v="0"/>
    <x v="1"/>
    <x v="36"/>
    <n v="2.99"/>
    <x v="111"/>
  </r>
  <r>
    <s v="SAL-01417"/>
    <x v="188"/>
    <x v="71"/>
    <x v="71"/>
    <s v="Beverages"/>
    <x v="0"/>
    <x v="2"/>
    <x v="0"/>
    <n v="1.99"/>
    <x v="672"/>
  </r>
  <r>
    <s v="SAL-01418"/>
    <x v="188"/>
    <x v="47"/>
    <x v="47"/>
    <s v="Burgers"/>
    <x v="1"/>
    <x v="0"/>
    <x v="32"/>
    <n v="2.99"/>
    <x v="55"/>
  </r>
  <r>
    <s v="SAL-01419"/>
    <x v="188"/>
    <x v="12"/>
    <x v="12"/>
    <s v="Combo Meals"/>
    <x v="0"/>
    <x v="1"/>
    <x v="0"/>
    <n v="9.99"/>
    <x v="0"/>
  </r>
  <r>
    <s v="SAL-01420"/>
    <x v="188"/>
    <x v="88"/>
    <x v="88"/>
    <s v="Beverages"/>
    <x v="0"/>
    <x v="2"/>
    <x v="39"/>
    <n v="2.99"/>
    <x v="432"/>
  </r>
  <r>
    <s v="SAL-01421"/>
    <x v="189"/>
    <x v="48"/>
    <x v="48"/>
    <s v="Beverages"/>
    <x v="2"/>
    <x v="1"/>
    <x v="40"/>
    <n v="3.99"/>
    <x v="188"/>
  </r>
  <r>
    <s v="SAL-01422"/>
    <x v="189"/>
    <x v="52"/>
    <x v="52"/>
    <s v="Chicken"/>
    <x v="2"/>
    <x v="1"/>
    <x v="26"/>
    <n v="11.99"/>
    <x v="75"/>
  </r>
  <r>
    <s v="SAL-01423"/>
    <x v="189"/>
    <x v="125"/>
    <x v="125"/>
    <s v="Burgers"/>
    <x v="0"/>
    <x v="2"/>
    <x v="31"/>
    <n v="8.99"/>
    <x v="218"/>
  </r>
  <r>
    <s v="SAL-01424"/>
    <x v="189"/>
    <x v="134"/>
    <x v="134"/>
    <s v="Beverages"/>
    <x v="2"/>
    <x v="0"/>
    <x v="34"/>
    <n v="2.99"/>
    <x v="143"/>
  </r>
  <r>
    <s v="SAL-01425"/>
    <x v="190"/>
    <x v="96"/>
    <x v="96"/>
    <s v="Breakfast"/>
    <x v="0"/>
    <x v="2"/>
    <x v="2"/>
    <n v="4.99"/>
    <x v="129"/>
  </r>
  <r>
    <s v="SAL-01426"/>
    <x v="190"/>
    <x v="192"/>
    <x v="192"/>
    <s v="Kids Meals"/>
    <x v="0"/>
    <x v="3"/>
    <x v="18"/>
    <n v="5.99"/>
    <x v="118"/>
  </r>
  <r>
    <s v="SAL-01427"/>
    <x v="190"/>
    <x v="179"/>
    <x v="179"/>
    <s v="Chicken"/>
    <x v="0"/>
    <x v="1"/>
    <x v="44"/>
    <n v="7.99"/>
    <x v="405"/>
  </r>
  <r>
    <s v="SAL-01428"/>
    <x v="190"/>
    <x v="110"/>
    <x v="110"/>
    <s v="Chicken"/>
    <x v="0"/>
    <x v="2"/>
    <x v="24"/>
    <n v="6.99"/>
    <x v="126"/>
  </r>
  <r>
    <s v="SAL-01429"/>
    <x v="190"/>
    <x v="27"/>
    <x v="27"/>
    <s v="Beverages"/>
    <x v="1"/>
    <x v="1"/>
    <x v="2"/>
    <n v="3.99"/>
    <x v="132"/>
  </r>
  <r>
    <s v="SAL-01430"/>
    <x v="190"/>
    <x v="195"/>
    <x v="195"/>
    <s v="Breakfast"/>
    <x v="0"/>
    <x v="1"/>
    <x v="49"/>
    <n v="4.99"/>
    <x v="206"/>
  </r>
  <r>
    <s v="SAL-01431"/>
    <x v="190"/>
    <x v="91"/>
    <x v="91"/>
    <s v="Sides"/>
    <x v="0"/>
    <x v="1"/>
    <x v="7"/>
    <n v="4.99"/>
    <x v="474"/>
  </r>
  <r>
    <s v="SAL-01432"/>
    <x v="190"/>
    <x v="48"/>
    <x v="48"/>
    <s v="Beverages"/>
    <x v="2"/>
    <x v="2"/>
    <x v="22"/>
    <n v="3.99"/>
    <x v="567"/>
  </r>
  <r>
    <s v="SAL-01433"/>
    <x v="190"/>
    <x v="98"/>
    <x v="98"/>
    <s v="Beverages"/>
    <x v="0"/>
    <x v="1"/>
    <x v="27"/>
    <n v="1.99"/>
    <x v="673"/>
  </r>
  <r>
    <s v="SAL-01434"/>
    <x v="191"/>
    <x v="110"/>
    <x v="110"/>
    <s v="Chicken"/>
    <x v="0"/>
    <x v="1"/>
    <x v="20"/>
    <n v="6.99"/>
    <x v="353"/>
  </r>
  <r>
    <s v="SAL-01435"/>
    <x v="191"/>
    <x v="18"/>
    <x v="18"/>
    <s v="Breakfast"/>
    <x v="0"/>
    <x v="2"/>
    <x v="4"/>
    <n v="5.99"/>
    <x v="30"/>
  </r>
  <r>
    <s v="SAL-01436"/>
    <x v="191"/>
    <x v="29"/>
    <x v="29"/>
    <s v="Breakfast"/>
    <x v="0"/>
    <x v="2"/>
    <x v="7"/>
    <n v="3.99"/>
    <x v="34"/>
  </r>
  <r>
    <s v="SAL-01437"/>
    <x v="191"/>
    <x v="142"/>
    <x v="142"/>
    <s v="Breakfast"/>
    <x v="2"/>
    <x v="0"/>
    <x v="11"/>
    <n v="3.99"/>
    <x v="93"/>
  </r>
  <r>
    <s v="SAL-01438"/>
    <x v="191"/>
    <x v="157"/>
    <x v="157"/>
    <s v="Beverages"/>
    <x v="0"/>
    <x v="1"/>
    <x v="19"/>
    <n v="3.99"/>
    <x v="437"/>
  </r>
  <r>
    <s v="SAL-01439"/>
    <x v="191"/>
    <x v="162"/>
    <x v="162"/>
    <s v="Sides"/>
    <x v="1"/>
    <x v="2"/>
    <x v="48"/>
    <n v="2.99"/>
    <x v="509"/>
  </r>
  <r>
    <s v="SAL-01440"/>
    <x v="191"/>
    <x v="63"/>
    <x v="63"/>
    <s v="Burgers"/>
    <x v="0"/>
    <x v="1"/>
    <x v="50"/>
    <n v="6.49"/>
    <x v="217"/>
  </r>
  <r>
    <s v="SAL-01441"/>
    <x v="191"/>
    <x v="76"/>
    <x v="76"/>
    <s v="Beverages"/>
    <x v="1"/>
    <x v="1"/>
    <x v="50"/>
    <n v="3.99"/>
    <x v="193"/>
  </r>
  <r>
    <s v="SAL-01442"/>
    <x v="191"/>
    <x v="162"/>
    <x v="162"/>
    <s v="Sides"/>
    <x v="0"/>
    <x v="1"/>
    <x v="16"/>
    <n v="2.99"/>
    <x v="18"/>
  </r>
  <r>
    <s v="SAL-01443"/>
    <x v="191"/>
    <x v="188"/>
    <x v="188"/>
    <s v="Chicken"/>
    <x v="0"/>
    <x v="3"/>
    <x v="37"/>
    <n v="5.99"/>
    <x v="271"/>
  </r>
  <r>
    <s v="SAL-01444"/>
    <x v="192"/>
    <x v="120"/>
    <x v="120"/>
    <s v="Burgers"/>
    <x v="2"/>
    <x v="0"/>
    <x v="42"/>
    <n v="6.49"/>
    <x v="77"/>
  </r>
  <r>
    <s v="SAL-01445"/>
    <x v="192"/>
    <x v="114"/>
    <x v="114"/>
    <s v="Burgers"/>
    <x v="0"/>
    <x v="2"/>
    <x v="33"/>
    <n v="7.99"/>
    <x v="674"/>
  </r>
  <r>
    <s v="SAL-01446"/>
    <x v="192"/>
    <x v="24"/>
    <x v="24"/>
    <s v="Combo Meals"/>
    <x v="0"/>
    <x v="1"/>
    <x v="10"/>
    <n v="10.99"/>
    <x v="274"/>
  </r>
  <r>
    <s v="SAL-01447"/>
    <x v="192"/>
    <x v="66"/>
    <x v="66"/>
    <s v="Sides"/>
    <x v="0"/>
    <x v="0"/>
    <x v="5"/>
    <n v="4.49"/>
    <x v="404"/>
  </r>
  <r>
    <s v="SAL-01448"/>
    <x v="192"/>
    <x v="77"/>
    <x v="77"/>
    <s v="Beverages"/>
    <x v="2"/>
    <x v="2"/>
    <x v="1"/>
    <n v="3.99"/>
    <x v="496"/>
  </r>
  <r>
    <s v="SAL-01449"/>
    <x v="192"/>
    <x v="10"/>
    <x v="10"/>
    <s v="Beverages"/>
    <x v="2"/>
    <x v="0"/>
    <x v="34"/>
    <n v="1.99"/>
    <x v="58"/>
  </r>
  <r>
    <s v="SAL-01450"/>
    <x v="192"/>
    <x v="186"/>
    <x v="186"/>
    <s v="Chicken"/>
    <x v="1"/>
    <x v="3"/>
    <x v="0"/>
    <n v="5.99"/>
    <x v="222"/>
  </r>
  <r>
    <s v="SAL-01451"/>
    <x v="193"/>
    <x v="29"/>
    <x v="29"/>
    <s v="Breakfast"/>
    <x v="1"/>
    <x v="0"/>
    <x v="13"/>
    <n v="3.99"/>
    <x v="317"/>
  </r>
  <r>
    <s v="SAL-01452"/>
    <x v="193"/>
    <x v="23"/>
    <x v="23"/>
    <s v="Burgers"/>
    <x v="1"/>
    <x v="3"/>
    <x v="29"/>
    <n v="10.99"/>
    <x v="402"/>
  </r>
  <r>
    <s v="SAL-01453"/>
    <x v="193"/>
    <x v="19"/>
    <x v="19"/>
    <s v="Sides"/>
    <x v="1"/>
    <x v="1"/>
    <x v="50"/>
    <n v="2.99"/>
    <x v="189"/>
  </r>
  <r>
    <s v="SAL-01454"/>
    <x v="193"/>
    <x v="110"/>
    <x v="110"/>
    <s v="Chicken"/>
    <x v="1"/>
    <x v="1"/>
    <x v="18"/>
    <n v="6.99"/>
    <x v="85"/>
  </r>
  <r>
    <s v="SAL-01455"/>
    <x v="193"/>
    <x v="150"/>
    <x v="150"/>
    <s v="Desserts"/>
    <x v="0"/>
    <x v="1"/>
    <x v="0"/>
    <n v="5.99"/>
    <x v="222"/>
  </r>
  <r>
    <s v="SAL-01456"/>
    <x v="193"/>
    <x v="112"/>
    <x v="112"/>
    <s v="Burgers"/>
    <x v="2"/>
    <x v="3"/>
    <x v="5"/>
    <n v="8.49"/>
    <x v="675"/>
  </r>
  <r>
    <s v="SAL-01457"/>
    <x v="194"/>
    <x v="60"/>
    <x v="60"/>
    <s v="Burgers"/>
    <x v="0"/>
    <x v="2"/>
    <x v="16"/>
    <n v="6.99"/>
    <x v="400"/>
  </r>
  <r>
    <s v="SAL-01458"/>
    <x v="194"/>
    <x v="113"/>
    <x v="113"/>
    <s v="Salads"/>
    <x v="1"/>
    <x v="1"/>
    <x v="43"/>
    <n v="6.99"/>
    <x v="339"/>
  </r>
  <r>
    <s v="SAL-01459"/>
    <x v="194"/>
    <x v="132"/>
    <x v="132"/>
    <s v="Kids Meals"/>
    <x v="1"/>
    <x v="2"/>
    <x v="30"/>
    <n v="5.99"/>
    <x v="173"/>
  </r>
  <r>
    <s v="SAL-01460"/>
    <x v="194"/>
    <x v="98"/>
    <x v="98"/>
    <s v="Beverages"/>
    <x v="0"/>
    <x v="1"/>
    <x v="15"/>
    <n v="1.99"/>
    <x v="665"/>
  </r>
  <r>
    <s v="SAL-01461"/>
    <x v="194"/>
    <x v="38"/>
    <x v="38"/>
    <s v="Salads"/>
    <x v="1"/>
    <x v="3"/>
    <x v="21"/>
    <n v="7.49"/>
    <x v="544"/>
  </r>
  <r>
    <s v="SAL-01462"/>
    <x v="194"/>
    <x v="88"/>
    <x v="88"/>
    <s v="Beverages"/>
    <x v="2"/>
    <x v="2"/>
    <x v="1"/>
    <n v="2.99"/>
    <x v="308"/>
  </r>
  <r>
    <s v="SAL-01463"/>
    <x v="194"/>
    <x v="75"/>
    <x v="75"/>
    <s v="Beverages"/>
    <x v="1"/>
    <x v="1"/>
    <x v="39"/>
    <n v="2.99"/>
    <x v="432"/>
  </r>
  <r>
    <s v="SAL-01464"/>
    <x v="194"/>
    <x v="193"/>
    <x v="193"/>
    <s v="Salads"/>
    <x v="0"/>
    <x v="2"/>
    <x v="11"/>
    <n v="9.49"/>
    <x v="676"/>
  </r>
  <r>
    <s v="SAL-01465"/>
    <x v="195"/>
    <x v="26"/>
    <x v="26"/>
    <s v="Beverages"/>
    <x v="0"/>
    <x v="0"/>
    <x v="37"/>
    <n v="2.99"/>
    <x v="104"/>
  </r>
  <r>
    <s v="SAL-01466"/>
    <x v="195"/>
    <x v="17"/>
    <x v="17"/>
    <s v="Beverages"/>
    <x v="0"/>
    <x v="1"/>
    <x v="3"/>
    <n v="2.99"/>
    <x v="5"/>
  </r>
  <r>
    <s v="SAL-01467"/>
    <x v="195"/>
    <x v="124"/>
    <x v="124"/>
    <s v="Breakfast"/>
    <x v="1"/>
    <x v="3"/>
    <x v="38"/>
    <n v="4.99"/>
    <x v="299"/>
  </r>
  <r>
    <s v="SAL-01468"/>
    <x v="195"/>
    <x v="63"/>
    <x v="63"/>
    <s v="Burgers"/>
    <x v="1"/>
    <x v="3"/>
    <x v="13"/>
    <n v="6.49"/>
    <x v="677"/>
  </r>
  <r>
    <s v="SAL-01469"/>
    <x v="195"/>
    <x v="154"/>
    <x v="154"/>
    <s v="Kids Meals"/>
    <x v="0"/>
    <x v="1"/>
    <x v="48"/>
    <n v="6.49"/>
    <x v="245"/>
  </r>
  <r>
    <s v="SAL-01470"/>
    <x v="195"/>
    <x v="42"/>
    <x v="42"/>
    <s v="Sides"/>
    <x v="0"/>
    <x v="0"/>
    <x v="37"/>
    <n v="4.49"/>
    <x v="529"/>
  </r>
  <r>
    <s v="SAL-01471"/>
    <x v="195"/>
    <x v="179"/>
    <x v="179"/>
    <s v="Chicken"/>
    <x v="0"/>
    <x v="3"/>
    <x v="8"/>
    <n v="7.99"/>
    <x v="678"/>
  </r>
  <r>
    <s v="SAL-01472"/>
    <x v="196"/>
    <x v="86"/>
    <x v="86"/>
    <s v="Salads"/>
    <x v="1"/>
    <x v="3"/>
    <x v="13"/>
    <n v="9.49"/>
    <x v="679"/>
  </r>
  <r>
    <s v="SAL-01473"/>
    <x v="196"/>
    <x v="121"/>
    <x v="121"/>
    <s v="Beverages"/>
    <x v="0"/>
    <x v="1"/>
    <x v="40"/>
    <n v="1.99"/>
    <x v="182"/>
  </r>
  <r>
    <s v="SAL-01474"/>
    <x v="196"/>
    <x v="1"/>
    <x v="1"/>
    <s v="Kids Meals"/>
    <x v="2"/>
    <x v="1"/>
    <x v="34"/>
    <n v="5.99"/>
    <x v="315"/>
  </r>
  <r>
    <s v="SAL-01475"/>
    <x v="196"/>
    <x v="137"/>
    <x v="137"/>
    <s v="Burgers"/>
    <x v="2"/>
    <x v="2"/>
    <x v="19"/>
    <n v="8.99"/>
    <x v="175"/>
  </r>
  <r>
    <s v="SAL-01476"/>
    <x v="196"/>
    <x v="177"/>
    <x v="177"/>
    <s v="Beverages"/>
    <x v="0"/>
    <x v="3"/>
    <x v="33"/>
    <n v="2.4900000000000002"/>
    <x v="563"/>
  </r>
  <r>
    <s v="SAL-01477"/>
    <x v="196"/>
    <x v="117"/>
    <x v="117"/>
    <s v="Burgers"/>
    <x v="1"/>
    <x v="1"/>
    <x v="34"/>
    <n v="6.99"/>
    <x v="102"/>
  </r>
  <r>
    <s v="SAL-01478"/>
    <x v="196"/>
    <x v="58"/>
    <x v="58"/>
    <s v="Burgers"/>
    <x v="2"/>
    <x v="3"/>
    <x v="23"/>
    <n v="8.49"/>
    <x v="479"/>
  </r>
  <r>
    <s v="SAL-01479"/>
    <x v="197"/>
    <x v="41"/>
    <x v="41"/>
    <s v="Chicken"/>
    <x v="1"/>
    <x v="1"/>
    <x v="7"/>
    <n v="4.99"/>
    <x v="474"/>
  </r>
  <r>
    <s v="SAL-01480"/>
    <x v="197"/>
    <x v="171"/>
    <x v="171"/>
    <s v="Burgers"/>
    <x v="0"/>
    <x v="2"/>
    <x v="47"/>
    <n v="6.99"/>
    <x v="530"/>
  </r>
  <r>
    <s v="SAL-01481"/>
    <x v="198"/>
    <x v="83"/>
    <x v="83"/>
    <s v="Sides"/>
    <x v="0"/>
    <x v="3"/>
    <x v="27"/>
    <n v="3.99"/>
    <x v="407"/>
  </r>
  <r>
    <s v="SAL-01482"/>
    <x v="198"/>
    <x v="102"/>
    <x v="102"/>
    <s v="Beverages"/>
    <x v="1"/>
    <x v="3"/>
    <x v="5"/>
    <n v="2.4900000000000002"/>
    <x v="638"/>
  </r>
  <r>
    <s v="SAL-01483"/>
    <x v="198"/>
    <x v="94"/>
    <x v="94"/>
    <s v="Chicken"/>
    <x v="1"/>
    <x v="1"/>
    <x v="43"/>
    <n v="7.49"/>
    <x v="680"/>
  </r>
  <r>
    <s v="SAL-01484"/>
    <x v="198"/>
    <x v="22"/>
    <x v="22"/>
    <s v="Beverages"/>
    <x v="0"/>
    <x v="1"/>
    <x v="26"/>
    <n v="2.99"/>
    <x v="54"/>
  </r>
  <r>
    <s v="SAL-01485"/>
    <x v="198"/>
    <x v="73"/>
    <x v="73"/>
    <s v="Beverages"/>
    <x v="2"/>
    <x v="1"/>
    <x v="0"/>
    <n v="2.4900000000000002"/>
    <x v="681"/>
  </r>
  <r>
    <s v="SAL-01486"/>
    <x v="198"/>
    <x v="68"/>
    <x v="68"/>
    <s v="Sides"/>
    <x v="2"/>
    <x v="3"/>
    <x v="50"/>
    <n v="4.49"/>
    <x v="682"/>
  </r>
  <r>
    <s v="SAL-01487"/>
    <x v="198"/>
    <x v="188"/>
    <x v="188"/>
    <s v="Chicken"/>
    <x v="0"/>
    <x v="3"/>
    <x v="29"/>
    <n v="5.99"/>
    <x v="620"/>
  </r>
  <r>
    <s v="SAL-01488"/>
    <x v="199"/>
    <x v="83"/>
    <x v="83"/>
    <s v="Sides"/>
    <x v="2"/>
    <x v="1"/>
    <x v="18"/>
    <n v="3.99"/>
    <x v="272"/>
  </r>
  <r>
    <s v="SAL-01489"/>
    <x v="199"/>
    <x v="107"/>
    <x v="107"/>
    <s v="Chicken"/>
    <x v="0"/>
    <x v="1"/>
    <x v="24"/>
    <n v="5.99"/>
    <x v="683"/>
  </r>
  <r>
    <s v="SAL-01490"/>
    <x v="199"/>
    <x v="40"/>
    <x v="40"/>
    <s v="Beverages"/>
    <x v="1"/>
    <x v="1"/>
    <x v="14"/>
    <n v="2.99"/>
    <x v="76"/>
  </r>
  <r>
    <s v="SAL-01491"/>
    <x v="199"/>
    <x v="15"/>
    <x v="15"/>
    <s v="Burgers"/>
    <x v="2"/>
    <x v="1"/>
    <x v="30"/>
    <n v="5.99"/>
    <x v="173"/>
  </r>
  <r>
    <s v="SAL-01492"/>
    <x v="199"/>
    <x v="63"/>
    <x v="63"/>
    <s v="Burgers"/>
    <x v="1"/>
    <x v="0"/>
    <x v="50"/>
    <n v="6.49"/>
    <x v="217"/>
  </r>
  <r>
    <s v="SAL-01493"/>
    <x v="199"/>
    <x v="121"/>
    <x v="121"/>
    <s v="Beverages"/>
    <x v="0"/>
    <x v="1"/>
    <x v="44"/>
    <n v="1.99"/>
    <x v="117"/>
  </r>
  <r>
    <s v="SAL-01494"/>
    <x v="199"/>
    <x v="131"/>
    <x v="131"/>
    <s v="Sides"/>
    <x v="0"/>
    <x v="3"/>
    <x v="31"/>
    <n v="3.49"/>
    <x v="368"/>
  </r>
  <r>
    <s v="SAL-01495"/>
    <x v="200"/>
    <x v="75"/>
    <x v="75"/>
    <s v="Beverages"/>
    <x v="0"/>
    <x v="1"/>
    <x v="22"/>
    <n v="2.99"/>
    <x v="266"/>
  </r>
  <r>
    <s v="SAL-01496"/>
    <x v="200"/>
    <x v="91"/>
    <x v="91"/>
    <s v="Sides"/>
    <x v="0"/>
    <x v="3"/>
    <x v="35"/>
    <n v="4.99"/>
    <x v="584"/>
  </r>
  <r>
    <s v="SAL-01497"/>
    <x v="200"/>
    <x v="181"/>
    <x v="181"/>
    <s v="Sides"/>
    <x v="2"/>
    <x v="2"/>
    <x v="35"/>
    <n v="3.49"/>
    <x v="684"/>
  </r>
  <r>
    <s v="SAL-01498"/>
    <x v="200"/>
    <x v="46"/>
    <x v="46"/>
    <s v="Beverages"/>
    <x v="1"/>
    <x v="0"/>
    <x v="11"/>
    <n v="2.99"/>
    <x v="13"/>
  </r>
  <r>
    <s v="SAL-01499"/>
    <x v="200"/>
    <x v="15"/>
    <x v="15"/>
    <s v="Burgers"/>
    <x v="0"/>
    <x v="1"/>
    <x v="16"/>
    <n v="5.99"/>
    <x v="422"/>
  </r>
  <r>
    <s v="SAL-01500"/>
    <x v="201"/>
    <x v="116"/>
    <x v="116"/>
    <s v="Chicken"/>
    <x v="1"/>
    <x v="2"/>
    <x v="8"/>
    <n v="6.99"/>
    <x v="657"/>
  </r>
  <r>
    <s v="SAL-01501"/>
    <x v="201"/>
    <x v="76"/>
    <x v="76"/>
    <s v="Beverages"/>
    <x v="1"/>
    <x v="2"/>
    <x v="3"/>
    <n v="3.99"/>
    <x v="32"/>
  </r>
  <r>
    <s v="SAL-01502"/>
    <x v="201"/>
    <x v="37"/>
    <x v="37"/>
    <s v="Sides"/>
    <x v="2"/>
    <x v="3"/>
    <x v="2"/>
    <n v="4.99"/>
    <x v="129"/>
  </r>
  <r>
    <s v="SAL-01503"/>
    <x v="201"/>
    <x v="32"/>
    <x v="32"/>
    <s v="Sauces &amp; Add-ons"/>
    <x v="1"/>
    <x v="1"/>
    <x v="27"/>
    <n v="0.5"/>
    <x v="685"/>
  </r>
  <r>
    <s v="SAL-01504"/>
    <x v="201"/>
    <x v="42"/>
    <x v="42"/>
    <s v="Sides"/>
    <x v="2"/>
    <x v="3"/>
    <x v="50"/>
    <n v="4.49"/>
    <x v="682"/>
  </r>
  <r>
    <s v="SAL-01505"/>
    <x v="201"/>
    <x v="67"/>
    <x v="67"/>
    <s v="Burgers"/>
    <x v="2"/>
    <x v="3"/>
    <x v="31"/>
    <n v="3.99"/>
    <x v="571"/>
  </r>
  <r>
    <s v="SAL-01506"/>
    <x v="201"/>
    <x v="16"/>
    <x v="16"/>
    <s v="Burgers"/>
    <x v="2"/>
    <x v="2"/>
    <x v="7"/>
    <n v="8.99"/>
    <x v="423"/>
  </r>
  <r>
    <s v="SAL-01507"/>
    <x v="201"/>
    <x v="22"/>
    <x v="22"/>
    <s v="Beverages"/>
    <x v="1"/>
    <x v="2"/>
    <x v="4"/>
    <n v="2.99"/>
    <x v="28"/>
  </r>
  <r>
    <s v="SAL-01508"/>
    <x v="202"/>
    <x v="45"/>
    <x v="45"/>
    <s v="Combo Meals"/>
    <x v="0"/>
    <x v="1"/>
    <x v="18"/>
    <n v="10.99"/>
    <x v="686"/>
  </r>
  <r>
    <s v="SAL-01509"/>
    <x v="202"/>
    <x v="119"/>
    <x v="119"/>
    <s v="Burgers"/>
    <x v="0"/>
    <x v="0"/>
    <x v="11"/>
    <n v="2.99"/>
    <x v="13"/>
  </r>
  <r>
    <s v="SAL-01510"/>
    <x v="202"/>
    <x v="172"/>
    <x v="172"/>
    <s v="Combo Meals"/>
    <x v="1"/>
    <x v="2"/>
    <x v="38"/>
    <n v="10.99"/>
    <x v="687"/>
  </r>
  <r>
    <s v="SAL-01511"/>
    <x v="202"/>
    <x v="86"/>
    <x v="86"/>
    <s v="Salads"/>
    <x v="2"/>
    <x v="1"/>
    <x v="1"/>
    <n v="9.49"/>
    <x v="688"/>
  </r>
  <r>
    <s v="SAL-01512"/>
    <x v="202"/>
    <x v="63"/>
    <x v="63"/>
    <s v="Burgers"/>
    <x v="2"/>
    <x v="2"/>
    <x v="19"/>
    <n v="6.49"/>
    <x v="689"/>
  </r>
  <r>
    <s v="SAL-01513"/>
    <x v="202"/>
    <x v="17"/>
    <x v="17"/>
    <s v="Beverages"/>
    <x v="1"/>
    <x v="1"/>
    <x v="23"/>
    <n v="2.99"/>
    <x v="63"/>
  </r>
  <r>
    <s v="SAL-01514"/>
    <x v="203"/>
    <x v="40"/>
    <x v="40"/>
    <s v="Beverages"/>
    <x v="1"/>
    <x v="1"/>
    <x v="30"/>
    <n v="2.99"/>
    <x v="145"/>
  </r>
  <r>
    <s v="SAL-01515"/>
    <x v="203"/>
    <x v="32"/>
    <x v="32"/>
    <s v="Sauces &amp; Add-ons"/>
    <x v="1"/>
    <x v="1"/>
    <x v="41"/>
    <n v="0.5"/>
    <x v="690"/>
  </r>
  <r>
    <s v="SAL-01516"/>
    <x v="204"/>
    <x v="52"/>
    <x v="52"/>
    <s v="Chicken"/>
    <x v="2"/>
    <x v="1"/>
    <x v="42"/>
    <n v="11.99"/>
    <x v="592"/>
  </r>
  <r>
    <s v="SAL-01517"/>
    <x v="204"/>
    <x v="60"/>
    <x v="60"/>
    <s v="Burgers"/>
    <x v="0"/>
    <x v="3"/>
    <x v="30"/>
    <n v="6.99"/>
    <x v="246"/>
  </r>
  <r>
    <s v="SAL-01518"/>
    <x v="204"/>
    <x v="176"/>
    <x v="176"/>
    <s v="Beverages"/>
    <x v="0"/>
    <x v="1"/>
    <x v="28"/>
    <n v="2.99"/>
    <x v="42"/>
  </r>
  <r>
    <s v="SAL-01519"/>
    <x v="204"/>
    <x v="25"/>
    <x v="25"/>
    <s v="Chicken"/>
    <x v="2"/>
    <x v="2"/>
    <x v="50"/>
    <n v="6.99"/>
    <x v="458"/>
  </r>
  <r>
    <s v="SAL-01520"/>
    <x v="204"/>
    <x v="161"/>
    <x v="161"/>
    <s v="Breakfast"/>
    <x v="1"/>
    <x v="1"/>
    <x v="45"/>
    <n v="5.99"/>
    <x v="428"/>
  </r>
  <r>
    <s v="SAL-01521"/>
    <x v="204"/>
    <x v="148"/>
    <x v="148"/>
    <s v="Kids Meals"/>
    <x v="2"/>
    <x v="1"/>
    <x v="25"/>
    <n v="5.99"/>
    <x v="392"/>
  </r>
  <r>
    <s v="SAL-01522"/>
    <x v="204"/>
    <x v="61"/>
    <x v="61"/>
    <s v="Burgers"/>
    <x v="0"/>
    <x v="3"/>
    <x v="49"/>
    <n v="6.49"/>
    <x v="691"/>
  </r>
  <r>
    <s v="SAL-01523"/>
    <x v="205"/>
    <x v="137"/>
    <x v="137"/>
    <s v="Burgers"/>
    <x v="0"/>
    <x v="1"/>
    <x v="10"/>
    <n v="8.99"/>
    <x v="360"/>
  </r>
  <r>
    <s v="SAL-01524"/>
    <x v="205"/>
    <x v="55"/>
    <x v="55"/>
    <s v="Desserts"/>
    <x v="2"/>
    <x v="1"/>
    <x v="23"/>
    <n v="3.49"/>
    <x v="692"/>
  </r>
  <r>
    <s v="SAL-01525"/>
    <x v="205"/>
    <x v="89"/>
    <x v="89"/>
    <s v="Sides"/>
    <x v="2"/>
    <x v="0"/>
    <x v="45"/>
    <n v="2.99"/>
    <x v="203"/>
  </r>
  <r>
    <s v="SAL-01526"/>
    <x v="205"/>
    <x v="58"/>
    <x v="58"/>
    <s v="Burgers"/>
    <x v="0"/>
    <x v="1"/>
    <x v="36"/>
    <n v="8.49"/>
    <x v="172"/>
  </r>
  <r>
    <s v="SAL-01527"/>
    <x v="205"/>
    <x v="102"/>
    <x v="102"/>
    <s v="Beverages"/>
    <x v="2"/>
    <x v="1"/>
    <x v="49"/>
    <n v="2.4900000000000002"/>
    <x v="168"/>
  </r>
  <r>
    <s v="SAL-01528"/>
    <x v="205"/>
    <x v="101"/>
    <x v="101"/>
    <s v="Beverages"/>
    <x v="2"/>
    <x v="0"/>
    <x v="5"/>
    <n v="1.99"/>
    <x v="693"/>
  </r>
  <r>
    <s v="SAL-01529"/>
    <x v="205"/>
    <x v="112"/>
    <x v="112"/>
    <s v="Burgers"/>
    <x v="1"/>
    <x v="0"/>
    <x v="45"/>
    <n v="8.49"/>
    <x v="694"/>
  </r>
  <r>
    <s v="SAL-01530"/>
    <x v="205"/>
    <x v="57"/>
    <x v="57"/>
    <s v="Chicken"/>
    <x v="0"/>
    <x v="1"/>
    <x v="19"/>
    <n v="11.99"/>
    <x v="347"/>
  </r>
  <r>
    <s v="SAL-01531"/>
    <x v="205"/>
    <x v="172"/>
    <x v="172"/>
    <s v="Combo Meals"/>
    <x v="0"/>
    <x v="2"/>
    <x v="30"/>
    <n v="10.99"/>
    <x v="487"/>
  </r>
  <r>
    <s v="SAL-01532"/>
    <x v="206"/>
    <x v="58"/>
    <x v="58"/>
    <s v="Burgers"/>
    <x v="1"/>
    <x v="2"/>
    <x v="42"/>
    <n v="8.49"/>
    <x v="397"/>
  </r>
  <r>
    <s v="SAL-01533"/>
    <x v="206"/>
    <x v="64"/>
    <x v="64"/>
    <s v="Sides"/>
    <x v="0"/>
    <x v="1"/>
    <x v="28"/>
    <n v="3.99"/>
    <x v="429"/>
  </r>
  <r>
    <s v="SAL-01534"/>
    <x v="206"/>
    <x v="197"/>
    <x v="197"/>
    <s v="Sauces &amp; Add-ons"/>
    <x v="0"/>
    <x v="2"/>
    <x v="31"/>
    <n v="0.5"/>
    <x v="695"/>
  </r>
  <r>
    <s v="SAL-01535"/>
    <x v="206"/>
    <x v="48"/>
    <x v="48"/>
    <s v="Beverages"/>
    <x v="2"/>
    <x v="2"/>
    <x v="23"/>
    <n v="3.99"/>
    <x v="669"/>
  </r>
  <r>
    <s v="SAL-01536"/>
    <x v="206"/>
    <x v="125"/>
    <x v="125"/>
    <s v="Burgers"/>
    <x v="0"/>
    <x v="1"/>
    <x v="41"/>
    <n v="8.99"/>
    <x v="383"/>
  </r>
  <r>
    <s v="SAL-01537"/>
    <x v="206"/>
    <x v="116"/>
    <x v="116"/>
    <s v="Chicken"/>
    <x v="0"/>
    <x v="0"/>
    <x v="40"/>
    <n v="6.99"/>
    <x v="696"/>
  </r>
  <r>
    <s v="SAL-01538"/>
    <x v="207"/>
    <x v="88"/>
    <x v="88"/>
    <s v="Beverages"/>
    <x v="1"/>
    <x v="2"/>
    <x v="3"/>
    <n v="2.99"/>
    <x v="5"/>
  </r>
  <r>
    <s v="SAL-01539"/>
    <x v="207"/>
    <x v="52"/>
    <x v="52"/>
    <s v="Chicken"/>
    <x v="2"/>
    <x v="1"/>
    <x v="24"/>
    <n v="11.99"/>
    <x v="671"/>
  </r>
  <r>
    <s v="SAL-01540"/>
    <x v="207"/>
    <x v="76"/>
    <x v="76"/>
    <s v="Beverages"/>
    <x v="2"/>
    <x v="1"/>
    <x v="11"/>
    <n v="3.99"/>
    <x v="93"/>
  </r>
  <r>
    <s v="SAL-01541"/>
    <x v="207"/>
    <x v="180"/>
    <x v="180"/>
    <s v="Chicken"/>
    <x v="0"/>
    <x v="1"/>
    <x v="34"/>
    <n v="4.99"/>
    <x v="376"/>
  </r>
  <r>
    <s v="SAL-01542"/>
    <x v="207"/>
    <x v="95"/>
    <x v="95"/>
    <s v="Beverages"/>
    <x v="0"/>
    <x v="2"/>
    <x v="27"/>
    <n v="3.99"/>
    <x v="407"/>
  </r>
  <r>
    <s v="SAL-01543"/>
    <x v="207"/>
    <x v="16"/>
    <x v="16"/>
    <s v="Burgers"/>
    <x v="2"/>
    <x v="2"/>
    <x v="28"/>
    <n v="8.99"/>
    <x v="170"/>
  </r>
  <r>
    <s v="SAL-01544"/>
    <x v="208"/>
    <x v="58"/>
    <x v="58"/>
    <s v="Burgers"/>
    <x v="1"/>
    <x v="2"/>
    <x v="20"/>
    <n v="8.49"/>
    <x v="697"/>
  </r>
  <r>
    <s v="SAL-01545"/>
    <x v="208"/>
    <x v="161"/>
    <x v="161"/>
    <s v="Breakfast"/>
    <x v="2"/>
    <x v="1"/>
    <x v="42"/>
    <n v="5.99"/>
    <x v="698"/>
  </r>
  <r>
    <s v="SAL-01546"/>
    <x v="208"/>
    <x v="136"/>
    <x v="136"/>
    <s v="Breakfast"/>
    <x v="0"/>
    <x v="2"/>
    <x v="12"/>
    <n v="4.99"/>
    <x v="512"/>
  </r>
  <r>
    <s v="SAL-01547"/>
    <x v="208"/>
    <x v="53"/>
    <x v="53"/>
    <s v="Beverages"/>
    <x v="0"/>
    <x v="1"/>
    <x v="50"/>
    <n v="2.99"/>
    <x v="189"/>
  </r>
  <r>
    <s v="SAL-01548"/>
    <x v="208"/>
    <x v="93"/>
    <x v="93"/>
    <s v="Burgers"/>
    <x v="2"/>
    <x v="1"/>
    <x v="43"/>
    <n v="8.99"/>
    <x v="699"/>
  </r>
  <r>
    <s v="SAL-01549"/>
    <x v="209"/>
    <x v="109"/>
    <x v="109"/>
    <s v="Burgers"/>
    <x v="0"/>
    <x v="1"/>
    <x v="8"/>
    <n v="6.49"/>
    <x v="700"/>
  </r>
  <r>
    <s v="SAL-01550"/>
    <x v="209"/>
    <x v="152"/>
    <x v="152"/>
    <s v="Chicken"/>
    <x v="1"/>
    <x v="1"/>
    <x v="14"/>
    <n v="7.49"/>
    <x v="701"/>
  </r>
  <r>
    <s v="SAL-01551"/>
    <x v="209"/>
    <x v="76"/>
    <x v="76"/>
    <s v="Beverages"/>
    <x v="0"/>
    <x v="1"/>
    <x v="9"/>
    <n v="3.99"/>
    <x v="44"/>
  </r>
  <r>
    <s v="SAL-01552"/>
    <x v="209"/>
    <x v="75"/>
    <x v="75"/>
    <s v="Beverages"/>
    <x v="2"/>
    <x v="1"/>
    <x v="19"/>
    <n v="2.99"/>
    <x v="231"/>
  </r>
  <r>
    <s v="SAL-01553"/>
    <x v="209"/>
    <x v="127"/>
    <x v="127"/>
    <s v="Breakfast"/>
    <x v="1"/>
    <x v="1"/>
    <x v="34"/>
    <n v="4.99"/>
    <x v="376"/>
  </r>
  <r>
    <s v="SAL-01554"/>
    <x v="209"/>
    <x v="47"/>
    <x v="47"/>
    <s v="Burgers"/>
    <x v="0"/>
    <x v="1"/>
    <x v="12"/>
    <n v="2.99"/>
    <x v="133"/>
  </r>
  <r>
    <s v="SAL-01555"/>
    <x v="209"/>
    <x v="44"/>
    <x v="44"/>
    <s v="Breakfast"/>
    <x v="2"/>
    <x v="1"/>
    <x v="41"/>
    <n v="2.99"/>
    <x v="154"/>
  </r>
  <r>
    <s v="SAL-01556"/>
    <x v="209"/>
    <x v="25"/>
    <x v="25"/>
    <s v="Chicken"/>
    <x v="0"/>
    <x v="0"/>
    <x v="34"/>
    <n v="6.99"/>
    <x v="102"/>
  </r>
  <r>
    <s v="SAL-01557"/>
    <x v="210"/>
    <x v="171"/>
    <x v="171"/>
    <s v="Burgers"/>
    <x v="2"/>
    <x v="0"/>
    <x v="34"/>
    <n v="6.99"/>
    <x v="102"/>
  </r>
  <r>
    <s v="SAL-01558"/>
    <x v="210"/>
    <x v="109"/>
    <x v="109"/>
    <s v="Burgers"/>
    <x v="0"/>
    <x v="1"/>
    <x v="48"/>
    <n v="6.49"/>
    <x v="245"/>
  </r>
  <r>
    <s v="SAL-01559"/>
    <x v="210"/>
    <x v="80"/>
    <x v="80"/>
    <s v="Desserts"/>
    <x v="1"/>
    <x v="3"/>
    <x v="31"/>
    <n v="4.49"/>
    <x v="120"/>
  </r>
  <r>
    <s v="SAL-01560"/>
    <x v="210"/>
    <x v="71"/>
    <x v="71"/>
    <s v="Beverages"/>
    <x v="1"/>
    <x v="1"/>
    <x v="3"/>
    <n v="1.99"/>
    <x v="4"/>
  </r>
  <r>
    <s v="SAL-01561"/>
    <x v="210"/>
    <x v="106"/>
    <x v="106"/>
    <s v="Sides"/>
    <x v="2"/>
    <x v="2"/>
    <x v="20"/>
    <n v="4.99"/>
    <x v="548"/>
  </r>
  <r>
    <s v="SAL-01562"/>
    <x v="210"/>
    <x v="33"/>
    <x v="33"/>
    <s v="Burgers"/>
    <x v="1"/>
    <x v="2"/>
    <x v="0"/>
    <n v="6.99"/>
    <x v="60"/>
  </r>
  <r>
    <s v="SAL-01563"/>
    <x v="210"/>
    <x v="167"/>
    <x v="167"/>
    <s v="Breakfast"/>
    <x v="2"/>
    <x v="2"/>
    <x v="14"/>
    <n v="7.99"/>
    <x v="586"/>
  </r>
  <r>
    <s v="SAL-01564"/>
    <x v="210"/>
    <x v="192"/>
    <x v="192"/>
    <s v="Kids Meals"/>
    <x v="2"/>
    <x v="2"/>
    <x v="5"/>
    <n v="5.99"/>
    <x v="301"/>
  </r>
  <r>
    <s v="SAL-01565"/>
    <x v="210"/>
    <x v="27"/>
    <x v="27"/>
    <s v="Beverages"/>
    <x v="0"/>
    <x v="1"/>
    <x v="40"/>
    <n v="3.99"/>
    <x v="188"/>
  </r>
  <r>
    <s v="SAL-01566"/>
    <x v="210"/>
    <x v="16"/>
    <x v="16"/>
    <s v="Burgers"/>
    <x v="0"/>
    <x v="1"/>
    <x v="9"/>
    <n v="8.99"/>
    <x v="514"/>
  </r>
  <r>
    <s v="SAL-01567"/>
    <x v="211"/>
    <x v="31"/>
    <x v="31"/>
    <s v="Beverages"/>
    <x v="1"/>
    <x v="0"/>
    <x v="18"/>
    <n v="3.99"/>
    <x v="272"/>
  </r>
  <r>
    <s v="SAL-01568"/>
    <x v="211"/>
    <x v="87"/>
    <x v="87"/>
    <s v="Burgers"/>
    <x v="2"/>
    <x v="2"/>
    <x v="43"/>
    <n v="6.99"/>
    <x v="339"/>
  </r>
  <r>
    <s v="SAL-01569"/>
    <x v="211"/>
    <x v="36"/>
    <x v="36"/>
    <s v="Chicken"/>
    <x v="0"/>
    <x v="1"/>
    <x v="20"/>
    <n v="2.99"/>
    <x v="23"/>
  </r>
  <r>
    <s v="SAL-01570"/>
    <x v="212"/>
    <x v="198"/>
    <x v="198"/>
    <s v="Salads"/>
    <x v="2"/>
    <x v="1"/>
    <x v="12"/>
    <n v="8.99"/>
    <x v="163"/>
  </r>
  <r>
    <s v="SAL-01571"/>
    <x v="212"/>
    <x v="70"/>
    <x v="70"/>
    <s v="Salads"/>
    <x v="0"/>
    <x v="1"/>
    <x v="16"/>
    <n v="8.99"/>
    <x v="702"/>
  </r>
  <r>
    <s v="SAL-01572"/>
    <x v="212"/>
    <x v="107"/>
    <x v="107"/>
    <s v="Chicken"/>
    <x v="0"/>
    <x v="1"/>
    <x v="37"/>
    <n v="5.99"/>
    <x v="271"/>
  </r>
  <r>
    <s v="SAL-01573"/>
    <x v="212"/>
    <x v="82"/>
    <x v="82"/>
    <s v="Beverages"/>
    <x v="2"/>
    <x v="1"/>
    <x v="40"/>
    <n v="2.99"/>
    <x v="158"/>
  </r>
  <r>
    <s v="SAL-01574"/>
    <x v="212"/>
    <x v="139"/>
    <x v="139"/>
    <s v="Combo Meals"/>
    <x v="0"/>
    <x v="1"/>
    <x v="12"/>
    <n v="8.99"/>
    <x v="163"/>
  </r>
  <r>
    <s v="SAL-01575"/>
    <x v="212"/>
    <x v="4"/>
    <x v="4"/>
    <s v="Beverages"/>
    <x v="2"/>
    <x v="1"/>
    <x v="45"/>
    <n v="1.99"/>
    <x v="624"/>
  </r>
  <r>
    <s v="SAL-01576"/>
    <x v="212"/>
    <x v="4"/>
    <x v="4"/>
    <s v="Beverages"/>
    <x v="1"/>
    <x v="0"/>
    <x v="5"/>
    <n v="1.99"/>
    <x v="693"/>
  </r>
  <r>
    <s v="SAL-01577"/>
    <x v="212"/>
    <x v="23"/>
    <x v="23"/>
    <s v="Burgers"/>
    <x v="0"/>
    <x v="1"/>
    <x v="31"/>
    <n v="10.99"/>
    <x v="703"/>
  </r>
  <r>
    <s v="SAL-01578"/>
    <x v="212"/>
    <x v="107"/>
    <x v="107"/>
    <s v="Chicken"/>
    <x v="0"/>
    <x v="3"/>
    <x v="42"/>
    <n v="5.99"/>
    <x v="698"/>
  </r>
  <r>
    <s v="SAL-01579"/>
    <x v="212"/>
    <x v="27"/>
    <x v="27"/>
    <s v="Beverages"/>
    <x v="1"/>
    <x v="0"/>
    <x v="36"/>
    <n v="3.99"/>
    <x v="99"/>
  </r>
  <r>
    <s v="SAL-01580"/>
    <x v="212"/>
    <x v="93"/>
    <x v="93"/>
    <s v="Burgers"/>
    <x v="1"/>
    <x v="2"/>
    <x v="46"/>
    <n v="8.99"/>
    <x v="297"/>
  </r>
  <r>
    <s v="SAL-01581"/>
    <x v="212"/>
    <x v="118"/>
    <x v="118"/>
    <s v="Breakfast"/>
    <x v="1"/>
    <x v="0"/>
    <x v="17"/>
    <n v="4.99"/>
    <x v="191"/>
  </r>
  <r>
    <s v="SAL-01582"/>
    <x v="213"/>
    <x v="2"/>
    <x v="2"/>
    <s v="Chicken"/>
    <x v="0"/>
    <x v="2"/>
    <x v="34"/>
    <n v="6.99"/>
    <x v="102"/>
  </r>
  <r>
    <s v="SAL-01583"/>
    <x v="213"/>
    <x v="64"/>
    <x v="64"/>
    <s v="Sides"/>
    <x v="2"/>
    <x v="1"/>
    <x v="37"/>
    <n v="3.99"/>
    <x v="344"/>
  </r>
  <r>
    <s v="SAL-01584"/>
    <x v="213"/>
    <x v="99"/>
    <x v="99"/>
    <s v="Salads"/>
    <x v="2"/>
    <x v="3"/>
    <x v="13"/>
    <n v="8.99"/>
    <x v="239"/>
  </r>
  <r>
    <s v="SAL-01585"/>
    <x v="213"/>
    <x v="50"/>
    <x v="50"/>
    <s v="Salads"/>
    <x v="2"/>
    <x v="1"/>
    <x v="38"/>
    <n v="6.99"/>
    <x v="153"/>
  </r>
  <r>
    <s v="SAL-01586"/>
    <x v="213"/>
    <x v="15"/>
    <x v="15"/>
    <s v="Burgers"/>
    <x v="0"/>
    <x v="3"/>
    <x v="21"/>
    <n v="5.99"/>
    <x v="475"/>
  </r>
  <r>
    <s v="SAL-01587"/>
    <x v="214"/>
    <x v="26"/>
    <x v="26"/>
    <s v="Beverages"/>
    <x v="0"/>
    <x v="1"/>
    <x v="3"/>
    <n v="2.99"/>
    <x v="5"/>
  </r>
  <r>
    <s v="SAL-01588"/>
    <x v="214"/>
    <x v="40"/>
    <x v="40"/>
    <s v="Beverages"/>
    <x v="2"/>
    <x v="0"/>
    <x v="8"/>
    <n v="2.99"/>
    <x v="86"/>
  </r>
  <r>
    <s v="SAL-01589"/>
    <x v="214"/>
    <x v="95"/>
    <x v="95"/>
    <s v="Beverages"/>
    <x v="1"/>
    <x v="1"/>
    <x v="19"/>
    <n v="3.99"/>
    <x v="437"/>
  </r>
  <r>
    <s v="SAL-01590"/>
    <x v="215"/>
    <x v="170"/>
    <x v="170"/>
    <s v="Desserts"/>
    <x v="1"/>
    <x v="2"/>
    <x v="22"/>
    <n v="4.49"/>
    <x v="704"/>
  </r>
  <r>
    <s v="SAL-01591"/>
    <x v="215"/>
    <x v="51"/>
    <x v="51"/>
    <s v="Combo Meals"/>
    <x v="1"/>
    <x v="3"/>
    <x v="19"/>
    <n v="12.99"/>
    <x v="705"/>
  </r>
  <r>
    <s v="SAL-01592"/>
    <x v="215"/>
    <x v="65"/>
    <x v="65"/>
    <s v="Desserts"/>
    <x v="1"/>
    <x v="2"/>
    <x v="13"/>
    <n v="3.49"/>
    <x v="103"/>
  </r>
  <r>
    <s v="SAL-01593"/>
    <x v="215"/>
    <x v="19"/>
    <x v="19"/>
    <s v="Sides"/>
    <x v="0"/>
    <x v="0"/>
    <x v="3"/>
    <n v="2.99"/>
    <x v="5"/>
  </r>
  <r>
    <s v="SAL-01594"/>
    <x v="215"/>
    <x v="57"/>
    <x v="57"/>
    <s v="Chicken"/>
    <x v="1"/>
    <x v="1"/>
    <x v="1"/>
    <n v="11.99"/>
    <x v="396"/>
  </r>
  <r>
    <s v="SAL-01595"/>
    <x v="215"/>
    <x v="10"/>
    <x v="10"/>
    <s v="Beverages"/>
    <x v="0"/>
    <x v="1"/>
    <x v="10"/>
    <n v="1.99"/>
    <x v="390"/>
  </r>
  <r>
    <s v="SAL-01596"/>
    <x v="216"/>
    <x v="137"/>
    <x v="137"/>
    <s v="Burgers"/>
    <x v="2"/>
    <x v="1"/>
    <x v="10"/>
    <n v="8.99"/>
    <x v="360"/>
  </r>
  <r>
    <s v="SAL-01597"/>
    <x v="216"/>
    <x v="109"/>
    <x v="109"/>
    <s v="Burgers"/>
    <x v="1"/>
    <x v="0"/>
    <x v="43"/>
    <n v="6.49"/>
    <x v="379"/>
  </r>
  <r>
    <s v="SAL-01598"/>
    <x v="216"/>
    <x v="188"/>
    <x v="188"/>
    <s v="Chicken"/>
    <x v="2"/>
    <x v="1"/>
    <x v="39"/>
    <n v="5.99"/>
    <x v="70"/>
  </r>
  <r>
    <s v="SAL-01599"/>
    <x v="216"/>
    <x v="184"/>
    <x v="184"/>
    <s v="Beverages"/>
    <x v="1"/>
    <x v="1"/>
    <x v="29"/>
    <n v="2.99"/>
    <x v="165"/>
  </r>
  <r>
    <s v="SAL-01600"/>
    <x v="216"/>
    <x v="25"/>
    <x v="25"/>
    <s v="Chicken"/>
    <x v="0"/>
    <x v="2"/>
    <x v="15"/>
    <n v="6.99"/>
    <x v="169"/>
  </r>
  <r>
    <s v="SAL-01601"/>
    <x v="216"/>
    <x v="153"/>
    <x v="153"/>
    <s v="Breakfast"/>
    <x v="0"/>
    <x v="2"/>
    <x v="39"/>
    <n v="4.99"/>
    <x v="516"/>
  </r>
  <r>
    <s v="SAL-01602"/>
    <x v="216"/>
    <x v="74"/>
    <x v="74"/>
    <s v="Breakfast"/>
    <x v="1"/>
    <x v="3"/>
    <x v="4"/>
    <n v="4.99"/>
    <x v="38"/>
  </r>
  <r>
    <s v="SAL-01603"/>
    <x v="216"/>
    <x v="11"/>
    <x v="11"/>
    <s v="Desserts"/>
    <x v="2"/>
    <x v="2"/>
    <x v="37"/>
    <n v="5.99"/>
    <x v="271"/>
  </r>
  <r>
    <s v="SAL-01604"/>
    <x v="217"/>
    <x v="28"/>
    <x v="28"/>
    <s v="Chicken"/>
    <x v="1"/>
    <x v="1"/>
    <x v="5"/>
    <n v="7.99"/>
    <x v="151"/>
  </r>
  <r>
    <s v="SAL-01605"/>
    <x v="217"/>
    <x v="25"/>
    <x v="25"/>
    <s v="Chicken"/>
    <x v="2"/>
    <x v="1"/>
    <x v="18"/>
    <n v="6.99"/>
    <x v="85"/>
  </r>
  <r>
    <s v="SAL-01606"/>
    <x v="217"/>
    <x v="43"/>
    <x v="43"/>
    <s v="Chicken"/>
    <x v="0"/>
    <x v="1"/>
    <x v="42"/>
    <n v="4.99"/>
    <x v="198"/>
  </r>
  <r>
    <s v="SAL-01607"/>
    <x v="217"/>
    <x v="24"/>
    <x v="24"/>
    <s v="Combo Meals"/>
    <x v="1"/>
    <x v="3"/>
    <x v="31"/>
    <n v="10.99"/>
    <x v="703"/>
  </r>
  <r>
    <s v="SAL-01608"/>
    <x v="218"/>
    <x v="123"/>
    <x v="123"/>
    <s v="Burgers"/>
    <x v="2"/>
    <x v="3"/>
    <x v="33"/>
    <n v="5.99"/>
    <x v="706"/>
  </r>
  <r>
    <s v="SAL-01609"/>
    <x v="218"/>
    <x v="102"/>
    <x v="102"/>
    <s v="Beverages"/>
    <x v="1"/>
    <x v="0"/>
    <x v="18"/>
    <n v="2.4900000000000002"/>
    <x v="648"/>
  </r>
  <r>
    <s v="SAL-01610"/>
    <x v="218"/>
    <x v="14"/>
    <x v="14"/>
    <s v="Combo Meals"/>
    <x v="0"/>
    <x v="1"/>
    <x v="36"/>
    <n v="7.99"/>
    <x v="304"/>
  </r>
  <r>
    <s v="SAL-01611"/>
    <x v="218"/>
    <x v="10"/>
    <x v="10"/>
    <s v="Beverages"/>
    <x v="2"/>
    <x v="0"/>
    <x v="50"/>
    <n v="1.99"/>
    <x v="707"/>
  </r>
  <r>
    <s v="SAL-01612"/>
    <x v="218"/>
    <x v="180"/>
    <x v="180"/>
    <s v="Chicken"/>
    <x v="0"/>
    <x v="1"/>
    <x v="14"/>
    <n v="4.99"/>
    <x v="226"/>
  </r>
  <r>
    <s v="SAL-01613"/>
    <x v="218"/>
    <x v="149"/>
    <x v="149"/>
    <s v="Sauces &amp; Add-ons"/>
    <x v="2"/>
    <x v="2"/>
    <x v="32"/>
    <n v="0.25"/>
    <x v="708"/>
  </r>
  <r>
    <s v="SAL-01614"/>
    <x v="218"/>
    <x v="18"/>
    <x v="18"/>
    <s v="Breakfast"/>
    <x v="2"/>
    <x v="1"/>
    <x v="2"/>
    <n v="5.99"/>
    <x v="3"/>
  </r>
  <r>
    <s v="SAL-01615"/>
    <x v="219"/>
    <x v="140"/>
    <x v="140"/>
    <s v="Breakfast"/>
    <x v="1"/>
    <x v="3"/>
    <x v="31"/>
    <n v="4.99"/>
    <x v="88"/>
  </r>
  <r>
    <s v="SAL-01616"/>
    <x v="219"/>
    <x v="8"/>
    <x v="8"/>
    <s v="Desserts"/>
    <x v="0"/>
    <x v="2"/>
    <x v="36"/>
    <n v="4.99"/>
    <x v="147"/>
  </r>
  <r>
    <s v="SAL-01617"/>
    <x v="219"/>
    <x v="179"/>
    <x v="179"/>
    <s v="Chicken"/>
    <x v="0"/>
    <x v="2"/>
    <x v="8"/>
    <n v="7.99"/>
    <x v="678"/>
  </r>
  <r>
    <s v="SAL-01618"/>
    <x v="219"/>
    <x v="7"/>
    <x v="7"/>
    <s v="Sauces &amp; Add-ons"/>
    <x v="1"/>
    <x v="2"/>
    <x v="17"/>
    <n v="0.5"/>
    <x v="709"/>
  </r>
  <r>
    <s v="SAL-01619"/>
    <x v="219"/>
    <x v="3"/>
    <x v="3"/>
    <s v="Sides"/>
    <x v="0"/>
    <x v="2"/>
    <x v="6"/>
    <n v="5.99"/>
    <x v="572"/>
  </r>
  <r>
    <s v="SAL-01620"/>
    <x v="219"/>
    <x v="94"/>
    <x v="94"/>
    <s v="Chicken"/>
    <x v="0"/>
    <x v="2"/>
    <x v="27"/>
    <n v="7.49"/>
    <x v="503"/>
  </r>
  <r>
    <s v="SAL-01621"/>
    <x v="219"/>
    <x v="19"/>
    <x v="19"/>
    <s v="Sides"/>
    <x v="1"/>
    <x v="1"/>
    <x v="24"/>
    <n v="2.99"/>
    <x v="49"/>
  </r>
  <r>
    <s v="SAL-01622"/>
    <x v="219"/>
    <x v="28"/>
    <x v="28"/>
    <s v="Chicken"/>
    <x v="2"/>
    <x v="0"/>
    <x v="38"/>
    <n v="7.99"/>
    <x v="710"/>
  </r>
  <r>
    <s v="SAL-01623"/>
    <x v="219"/>
    <x v="63"/>
    <x v="63"/>
    <s v="Burgers"/>
    <x v="1"/>
    <x v="2"/>
    <x v="21"/>
    <n v="6.49"/>
    <x v="334"/>
  </r>
  <r>
    <s v="SAL-01624"/>
    <x v="219"/>
    <x v="31"/>
    <x v="31"/>
    <s v="Beverages"/>
    <x v="2"/>
    <x v="1"/>
    <x v="6"/>
    <n v="3.99"/>
    <x v="660"/>
  </r>
  <r>
    <s v="SAL-01625"/>
    <x v="220"/>
    <x v="20"/>
    <x v="20"/>
    <s v="Sides"/>
    <x v="1"/>
    <x v="0"/>
    <x v="20"/>
    <n v="4.99"/>
    <x v="548"/>
  </r>
  <r>
    <s v="SAL-01626"/>
    <x v="220"/>
    <x v="126"/>
    <x v="126"/>
    <s v="Beverages"/>
    <x v="1"/>
    <x v="3"/>
    <x v="25"/>
    <n v="2.99"/>
    <x v="374"/>
  </r>
  <r>
    <s v="SAL-01627"/>
    <x v="220"/>
    <x v="197"/>
    <x v="197"/>
    <s v="Sauces &amp; Add-ons"/>
    <x v="1"/>
    <x v="1"/>
    <x v="46"/>
    <n v="0.5"/>
    <x v="711"/>
  </r>
  <r>
    <s v="SAL-01628"/>
    <x v="220"/>
    <x v="23"/>
    <x v="23"/>
    <s v="Burgers"/>
    <x v="0"/>
    <x v="2"/>
    <x v="12"/>
    <n v="10.99"/>
    <x v="712"/>
  </r>
  <r>
    <s v="SAL-01629"/>
    <x v="220"/>
    <x v="71"/>
    <x v="71"/>
    <s v="Beverages"/>
    <x v="1"/>
    <x v="1"/>
    <x v="27"/>
    <n v="1.99"/>
    <x v="673"/>
  </r>
  <r>
    <s v="SAL-01630"/>
    <x v="220"/>
    <x v="94"/>
    <x v="94"/>
    <s v="Chicken"/>
    <x v="0"/>
    <x v="1"/>
    <x v="22"/>
    <n v="7.49"/>
    <x v="113"/>
  </r>
  <r>
    <s v="SAL-01631"/>
    <x v="221"/>
    <x v="53"/>
    <x v="53"/>
    <s v="Beverages"/>
    <x v="0"/>
    <x v="1"/>
    <x v="47"/>
    <n v="2.99"/>
    <x v="268"/>
  </r>
  <r>
    <s v="SAL-01632"/>
    <x v="221"/>
    <x v="115"/>
    <x v="115"/>
    <s v="Chicken"/>
    <x v="0"/>
    <x v="1"/>
    <x v="2"/>
    <n v="6.99"/>
    <x v="2"/>
  </r>
  <r>
    <s v="SAL-01633"/>
    <x v="221"/>
    <x v="188"/>
    <x v="188"/>
    <s v="Chicken"/>
    <x v="2"/>
    <x v="1"/>
    <x v="24"/>
    <n v="5.99"/>
    <x v="683"/>
  </r>
  <r>
    <s v="SAL-01634"/>
    <x v="221"/>
    <x v="77"/>
    <x v="77"/>
    <s v="Beverages"/>
    <x v="1"/>
    <x v="0"/>
    <x v="15"/>
    <n v="3.99"/>
    <x v="100"/>
  </r>
  <r>
    <s v="SAL-01635"/>
    <x v="221"/>
    <x v="126"/>
    <x v="126"/>
    <s v="Beverages"/>
    <x v="1"/>
    <x v="1"/>
    <x v="32"/>
    <n v="2.99"/>
    <x v="55"/>
  </r>
  <r>
    <s v="SAL-01636"/>
    <x v="221"/>
    <x v="113"/>
    <x v="113"/>
    <s v="Salads"/>
    <x v="0"/>
    <x v="1"/>
    <x v="48"/>
    <n v="6.99"/>
    <x v="146"/>
  </r>
  <r>
    <s v="SAL-01637"/>
    <x v="221"/>
    <x v="161"/>
    <x v="161"/>
    <s v="Breakfast"/>
    <x v="0"/>
    <x v="3"/>
    <x v="49"/>
    <n v="5.99"/>
    <x v="519"/>
  </r>
  <r>
    <s v="SAL-01638"/>
    <x v="221"/>
    <x v="89"/>
    <x v="89"/>
    <s v="Sides"/>
    <x v="0"/>
    <x v="2"/>
    <x v="15"/>
    <n v="2.99"/>
    <x v="363"/>
  </r>
  <r>
    <s v="SAL-01639"/>
    <x v="222"/>
    <x v="56"/>
    <x v="56"/>
    <s v="Beverages"/>
    <x v="1"/>
    <x v="0"/>
    <x v="0"/>
    <n v="2.99"/>
    <x v="50"/>
  </r>
  <r>
    <s v="SAL-01640"/>
    <x v="222"/>
    <x v="75"/>
    <x v="75"/>
    <s v="Beverages"/>
    <x v="1"/>
    <x v="0"/>
    <x v="19"/>
    <n v="2.99"/>
    <x v="231"/>
  </r>
  <r>
    <s v="SAL-01641"/>
    <x v="222"/>
    <x v="171"/>
    <x v="171"/>
    <s v="Burgers"/>
    <x v="2"/>
    <x v="1"/>
    <x v="17"/>
    <n v="6.99"/>
    <x v="181"/>
  </r>
  <r>
    <s v="SAL-01642"/>
    <x v="222"/>
    <x v="176"/>
    <x v="176"/>
    <s v="Beverages"/>
    <x v="1"/>
    <x v="2"/>
    <x v="21"/>
    <n v="2.99"/>
    <x v="24"/>
  </r>
  <r>
    <s v="SAL-01643"/>
    <x v="222"/>
    <x v="48"/>
    <x v="48"/>
    <s v="Beverages"/>
    <x v="2"/>
    <x v="2"/>
    <x v="28"/>
    <n v="3.99"/>
    <x v="429"/>
  </r>
  <r>
    <s v="SAL-01644"/>
    <x v="222"/>
    <x v="21"/>
    <x v="21"/>
    <s v="Desserts"/>
    <x v="2"/>
    <x v="3"/>
    <x v="39"/>
    <n v="2.99"/>
    <x v="432"/>
  </r>
  <r>
    <s v="SAL-01645"/>
    <x v="223"/>
    <x v="57"/>
    <x v="57"/>
    <s v="Chicken"/>
    <x v="2"/>
    <x v="2"/>
    <x v="50"/>
    <n v="11.99"/>
    <x v="713"/>
  </r>
  <r>
    <s v="SAL-01646"/>
    <x v="223"/>
    <x v="134"/>
    <x v="134"/>
    <s v="Beverages"/>
    <x v="0"/>
    <x v="1"/>
    <x v="27"/>
    <n v="2.99"/>
    <x v="40"/>
  </r>
  <r>
    <s v="SAL-01647"/>
    <x v="223"/>
    <x v="150"/>
    <x v="150"/>
    <s v="Desserts"/>
    <x v="0"/>
    <x v="1"/>
    <x v="16"/>
    <n v="5.99"/>
    <x v="422"/>
  </r>
  <r>
    <s v="SAL-01648"/>
    <x v="223"/>
    <x v="175"/>
    <x v="175"/>
    <s v="Breakfast"/>
    <x v="1"/>
    <x v="2"/>
    <x v="18"/>
    <n v="4.99"/>
    <x v="575"/>
  </r>
  <r>
    <s v="SAL-01649"/>
    <x v="223"/>
    <x v="12"/>
    <x v="12"/>
    <s v="Combo Meals"/>
    <x v="0"/>
    <x v="1"/>
    <x v="31"/>
    <n v="9.99"/>
    <x v="714"/>
  </r>
  <r>
    <s v="SAL-01650"/>
    <x v="223"/>
    <x v="90"/>
    <x v="90"/>
    <s v="Burgers"/>
    <x v="0"/>
    <x v="2"/>
    <x v="32"/>
    <n v="8.99"/>
    <x v="325"/>
  </r>
  <r>
    <s v="SAL-01651"/>
    <x v="223"/>
    <x v="14"/>
    <x v="14"/>
    <s v="Combo Meals"/>
    <x v="0"/>
    <x v="1"/>
    <x v="46"/>
    <n v="7.99"/>
    <x v="641"/>
  </r>
  <r>
    <s v="SAL-01652"/>
    <x v="223"/>
    <x v="29"/>
    <x v="29"/>
    <s v="Breakfast"/>
    <x v="1"/>
    <x v="1"/>
    <x v="17"/>
    <n v="3.99"/>
    <x v="128"/>
  </r>
  <r>
    <s v="SAL-01653"/>
    <x v="224"/>
    <x v="56"/>
    <x v="56"/>
    <s v="Beverages"/>
    <x v="2"/>
    <x v="1"/>
    <x v="11"/>
    <n v="2.99"/>
    <x v="13"/>
  </r>
  <r>
    <s v="SAL-01654"/>
    <x v="224"/>
    <x v="6"/>
    <x v="6"/>
    <s v="Breakfast"/>
    <x v="2"/>
    <x v="2"/>
    <x v="44"/>
    <n v="3.99"/>
    <x v="385"/>
  </r>
  <r>
    <s v="SAL-01655"/>
    <x v="224"/>
    <x v="12"/>
    <x v="12"/>
    <s v="Combo Meals"/>
    <x v="2"/>
    <x v="2"/>
    <x v="49"/>
    <n v="9.99"/>
    <x v="715"/>
  </r>
  <r>
    <s v="SAL-01656"/>
    <x v="224"/>
    <x v="175"/>
    <x v="175"/>
    <s v="Breakfast"/>
    <x v="2"/>
    <x v="1"/>
    <x v="37"/>
    <n v="4.99"/>
    <x v="284"/>
  </r>
  <r>
    <s v="SAL-01657"/>
    <x v="224"/>
    <x v="22"/>
    <x v="22"/>
    <s v="Beverages"/>
    <x v="1"/>
    <x v="3"/>
    <x v="11"/>
    <n v="2.99"/>
    <x v="13"/>
  </r>
  <r>
    <s v="SAL-01658"/>
    <x v="224"/>
    <x v="73"/>
    <x v="73"/>
    <s v="Beverages"/>
    <x v="2"/>
    <x v="1"/>
    <x v="22"/>
    <n v="2.4900000000000002"/>
    <x v="223"/>
  </r>
  <r>
    <s v="SAL-01659"/>
    <x v="224"/>
    <x v="147"/>
    <x v="147"/>
    <s v="Burgers"/>
    <x v="1"/>
    <x v="1"/>
    <x v="2"/>
    <n v="9.99"/>
    <x v="53"/>
  </r>
  <r>
    <s v="SAL-01660"/>
    <x v="224"/>
    <x v="8"/>
    <x v="8"/>
    <s v="Desserts"/>
    <x v="1"/>
    <x v="0"/>
    <x v="4"/>
    <n v="4.99"/>
    <x v="38"/>
  </r>
  <r>
    <s v="SAL-01661"/>
    <x v="224"/>
    <x v="38"/>
    <x v="38"/>
    <s v="Salads"/>
    <x v="2"/>
    <x v="2"/>
    <x v="29"/>
    <n v="7.49"/>
    <x v="306"/>
  </r>
  <r>
    <s v="SAL-01662"/>
    <x v="225"/>
    <x v="41"/>
    <x v="41"/>
    <s v="Chicken"/>
    <x v="2"/>
    <x v="1"/>
    <x v="50"/>
    <n v="4.99"/>
    <x v="540"/>
  </r>
  <r>
    <s v="SAL-01663"/>
    <x v="225"/>
    <x v="138"/>
    <x v="138"/>
    <s v="Breakfast"/>
    <x v="1"/>
    <x v="3"/>
    <x v="27"/>
    <n v="2.99"/>
    <x v="40"/>
  </r>
  <r>
    <s v="SAL-01664"/>
    <x v="225"/>
    <x v="112"/>
    <x v="112"/>
    <s v="Burgers"/>
    <x v="0"/>
    <x v="3"/>
    <x v="3"/>
    <n v="8.49"/>
    <x v="716"/>
  </r>
  <r>
    <s v="SAL-01665"/>
    <x v="225"/>
    <x v="143"/>
    <x v="143"/>
    <s v="Burgers"/>
    <x v="0"/>
    <x v="1"/>
    <x v="3"/>
    <n v="8.49"/>
    <x v="716"/>
  </r>
  <r>
    <s v="SAL-01666"/>
    <x v="225"/>
    <x v="181"/>
    <x v="181"/>
    <s v="Sides"/>
    <x v="0"/>
    <x v="3"/>
    <x v="9"/>
    <n v="3.49"/>
    <x v="717"/>
  </r>
  <r>
    <s v="SAL-01667"/>
    <x v="225"/>
    <x v="142"/>
    <x v="142"/>
    <s v="Breakfast"/>
    <x v="2"/>
    <x v="1"/>
    <x v="35"/>
    <n v="3.99"/>
    <x v="384"/>
  </r>
  <r>
    <s v="SAL-01668"/>
    <x v="226"/>
    <x v="186"/>
    <x v="186"/>
    <s v="Chicken"/>
    <x v="0"/>
    <x v="2"/>
    <x v="14"/>
    <n v="5.99"/>
    <x v="16"/>
  </r>
  <r>
    <s v="SAL-01669"/>
    <x v="226"/>
    <x v="163"/>
    <x v="163"/>
    <s v="Burgers"/>
    <x v="0"/>
    <x v="1"/>
    <x v="16"/>
    <n v="7.99"/>
    <x v="410"/>
  </r>
  <r>
    <s v="SAL-01670"/>
    <x v="226"/>
    <x v="53"/>
    <x v="53"/>
    <s v="Beverages"/>
    <x v="1"/>
    <x v="0"/>
    <x v="6"/>
    <n v="2.99"/>
    <x v="313"/>
  </r>
  <r>
    <s v="SAL-01671"/>
    <x v="226"/>
    <x v="177"/>
    <x v="177"/>
    <s v="Beverages"/>
    <x v="2"/>
    <x v="1"/>
    <x v="14"/>
    <n v="2.4900000000000002"/>
    <x v="616"/>
  </r>
  <r>
    <s v="SAL-01672"/>
    <x v="226"/>
    <x v="120"/>
    <x v="120"/>
    <s v="Burgers"/>
    <x v="1"/>
    <x v="3"/>
    <x v="36"/>
    <n v="6.49"/>
    <x v="156"/>
  </r>
  <r>
    <s v="SAL-01673"/>
    <x v="226"/>
    <x v="106"/>
    <x v="106"/>
    <s v="Sides"/>
    <x v="0"/>
    <x v="1"/>
    <x v="10"/>
    <n v="4.99"/>
    <x v="176"/>
  </r>
  <r>
    <s v="SAL-01674"/>
    <x v="226"/>
    <x v="42"/>
    <x v="42"/>
    <s v="Sides"/>
    <x v="0"/>
    <x v="3"/>
    <x v="49"/>
    <n v="4.49"/>
    <x v="718"/>
  </r>
  <r>
    <s v="SAL-01675"/>
    <x v="227"/>
    <x v="128"/>
    <x v="128"/>
    <s v="Sauces &amp; Add-ons"/>
    <x v="1"/>
    <x v="1"/>
    <x v="17"/>
    <n v="1.49"/>
    <x v="192"/>
  </r>
  <r>
    <s v="SAL-01676"/>
    <x v="227"/>
    <x v="171"/>
    <x v="171"/>
    <s v="Burgers"/>
    <x v="0"/>
    <x v="2"/>
    <x v="42"/>
    <n v="6.99"/>
    <x v="719"/>
  </r>
  <r>
    <s v="SAL-01677"/>
    <x v="227"/>
    <x v="10"/>
    <x v="10"/>
    <s v="Beverages"/>
    <x v="2"/>
    <x v="1"/>
    <x v="38"/>
    <n v="1.99"/>
    <x v="599"/>
  </r>
  <r>
    <s v="SAL-01678"/>
    <x v="227"/>
    <x v="33"/>
    <x v="33"/>
    <s v="Burgers"/>
    <x v="0"/>
    <x v="1"/>
    <x v="11"/>
    <n v="6.99"/>
    <x v="430"/>
  </r>
  <r>
    <s v="SAL-01679"/>
    <x v="227"/>
    <x v="58"/>
    <x v="58"/>
    <s v="Burgers"/>
    <x v="0"/>
    <x v="1"/>
    <x v="16"/>
    <n v="8.49"/>
    <x v="579"/>
  </r>
  <r>
    <s v="SAL-01680"/>
    <x v="227"/>
    <x v="84"/>
    <x v="84"/>
    <s v="Chicken"/>
    <x v="2"/>
    <x v="1"/>
    <x v="31"/>
    <n v="6.99"/>
    <x v="290"/>
  </r>
  <r>
    <s v="SAL-01681"/>
    <x v="227"/>
    <x v="130"/>
    <x v="130"/>
    <s v="Desserts"/>
    <x v="0"/>
    <x v="1"/>
    <x v="34"/>
    <n v="1.49"/>
    <x v="431"/>
  </r>
  <r>
    <s v="SAL-01682"/>
    <x v="227"/>
    <x v="179"/>
    <x v="179"/>
    <s v="Chicken"/>
    <x v="0"/>
    <x v="2"/>
    <x v="19"/>
    <n v="7.99"/>
    <x v="291"/>
  </r>
  <r>
    <s v="SAL-01683"/>
    <x v="227"/>
    <x v="44"/>
    <x v="44"/>
    <s v="Breakfast"/>
    <x v="0"/>
    <x v="1"/>
    <x v="29"/>
    <n v="2.99"/>
    <x v="165"/>
  </r>
  <r>
    <s v="SAL-01684"/>
    <x v="227"/>
    <x v="148"/>
    <x v="148"/>
    <s v="Kids Meals"/>
    <x v="0"/>
    <x v="3"/>
    <x v="19"/>
    <n v="5.99"/>
    <x v="116"/>
  </r>
  <r>
    <s v="SAL-01685"/>
    <x v="228"/>
    <x v="90"/>
    <x v="90"/>
    <s v="Burgers"/>
    <x v="0"/>
    <x v="3"/>
    <x v="32"/>
    <n v="8.99"/>
    <x v="325"/>
  </r>
  <r>
    <s v="SAL-01686"/>
    <x v="228"/>
    <x v="114"/>
    <x v="114"/>
    <s v="Burgers"/>
    <x v="2"/>
    <x v="1"/>
    <x v="0"/>
    <n v="7.99"/>
    <x v="653"/>
  </r>
  <r>
    <s v="SAL-01687"/>
    <x v="228"/>
    <x v="178"/>
    <x v="178"/>
    <s v="Chicken"/>
    <x v="1"/>
    <x v="1"/>
    <x v="32"/>
    <n v="7.49"/>
    <x v="720"/>
  </r>
  <r>
    <s v="SAL-01688"/>
    <x v="228"/>
    <x v="149"/>
    <x v="149"/>
    <s v="Sauces &amp; Add-ons"/>
    <x v="0"/>
    <x v="0"/>
    <x v="22"/>
    <n v="0.25"/>
    <x v="721"/>
  </r>
  <r>
    <s v="SAL-01689"/>
    <x v="228"/>
    <x v="157"/>
    <x v="157"/>
    <s v="Beverages"/>
    <x v="2"/>
    <x v="3"/>
    <x v="19"/>
    <n v="3.99"/>
    <x v="437"/>
  </r>
  <r>
    <s v="SAL-01690"/>
    <x v="229"/>
    <x v="106"/>
    <x v="106"/>
    <s v="Sides"/>
    <x v="1"/>
    <x v="3"/>
    <x v="21"/>
    <n v="4.99"/>
    <x v="48"/>
  </r>
  <r>
    <s v="SAL-01691"/>
    <x v="229"/>
    <x v="188"/>
    <x v="188"/>
    <s v="Chicken"/>
    <x v="2"/>
    <x v="2"/>
    <x v="36"/>
    <n v="5.99"/>
    <x v="482"/>
  </r>
  <r>
    <s v="SAL-01692"/>
    <x v="229"/>
    <x v="149"/>
    <x v="149"/>
    <s v="Sauces &amp; Add-ons"/>
    <x v="0"/>
    <x v="1"/>
    <x v="42"/>
    <n v="0.25"/>
    <x v="722"/>
  </r>
  <r>
    <s v="SAL-01693"/>
    <x v="229"/>
    <x v="196"/>
    <x v="196"/>
    <s v="Salads"/>
    <x v="2"/>
    <x v="1"/>
    <x v="31"/>
    <n v="8.99"/>
    <x v="218"/>
  </r>
  <r>
    <s v="SAL-01694"/>
    <x v="229"/>
    <x v="112"/>
    <x v="112"/>
    <s v="Burgers"/>
    <x v="1"/>
    <x v="1"/>
    <x v="33"/>
    <n v="8.49"/>
    <x v="501"/>
  </r>
  <r>
    <s v="SAL-01695"/>
    <x v="229"/>
    <x v="90"/>
    <x v="90"/>
    <s v="Burgers"/>
    <x v="2"/>
    <x v="2"/>
    <x v="11"/>
    <n v="8.99"/>
    <x v="417"/>
  </r>
  <r>
    <s v="SAL-01696"/>
    <x v="229"/>
    <x v="22"/>
    <x v="22"/>
    <s v="Beverages"/>
    <x v="0"/>
    <x v="1"/>
    <x v="14"/>
    <n v="2.99"/>
    <x v="76"/>
  </r>
  <r>
    <s v="SAL-01697"/>
    <x v="229"/>
    <x v="109"/>
    <x v="109"/>
    <s v="Burgers"/>
    <x v="1"/>
    <x v="1"/>
    <x v="14"/>
    <n v="6.49"/>
    <x v="640"/>
  </r>
  <r>
    <s v="SAL-01698"/>
    <x v="230"/>
    <x v="16"/>
    <x v="16"/>
    <s v="Burgers"/>
    <x v="2"/>
    <x v="3"/>
    <x v="45"/>
    <n v="8.99"/>
    <x v="723"/>
  </r>
  <r>
    <s v="SAL-01699"/>
    <x v="230"/>
    <x v="16"/>
    <x v="16"/>
    <s v="Burgers"/>
    <x v="0"/>
    <x v="0"/>
    <x v="13"/>
    <n v="8.99"/>
    <x v="239"/>
  </r>
  <r>
    <s v="SAL-01700"/>
    <x v="230"/>
    <x v="138"/>
    <x v="138"/>
    <s v="Breakfast"/>
    <x v="2"/>
    <x v="2"/>
    <x v="42"/>
    <n v="2.99"/>
    <x v="90"/>
  </r>
  <r>
    <s v="SAL-01701"/>
    <x v="230"/>
    <x v="156"/>
    <x v="156"/>
    <s v="Sides"/>
    <x v="2"/>
    <x v="3"/>
    <x v="0"/>
    <n v="3.99"/>
    <x v="83"/>
  </r>
  <r>
    <s v="SAL-01702"/>
    <x v="230"/>
    <x v="112"/>
    <x v="112"/>
    <s v="Burgers"/>
    <x v="0"/>
    <x v="1"/>
    <x v="22"/>
    <n v="8.49"/>
    <x v="633"/>
  </r>
  <r>
    <s v="SAL-01703"/>
    <x v="230"/>
    <x v="26"/>
    <x v="26"/>
    <s v="Beverages"/>
    <x v="2"/>
    <x v="1"/>
    <x v="22"/>
    <n v="2.99"/>
    <x v="266"/>
  </r>
  <r>
    <s v="SAL-01704"/>
    <x v="230"/>
    <x v="168"/>
    <x v="168"/>
    <s v="Breakfast"/>
    <x v="0"/>
    <x v="1"/>
    <x v="18"/>
    <n v="2.4900000000000002"/>
    <x v="648"/>
  </r>
  <r>
    <s v="SAL-01705"/>
    <x v="231"/>
    <x v="168"/>
    <x v="168"/>
    <s v="Breakfast"/>
    <x v="1"/>
    <x v="1"/>
    <x v="20"/>
    <n v="2.4900000000000002"/>
    <x v="724"/>
  </r>
  <r>
    <s v="SAL-01706"/>
    <x v="231"/>
    <x v="161"/>
    <x v="161"/>
    <s v="Breakfast"/>
    <x v="2"/>
    <x v="2"/>
    <x v="33"/>
    <n v="5.99"/>
    <x v="706"/>
  </r>
  <r>
    <s v="SAL-01707"/>
    <x v="231"/>
    <x v="111"/>
    <x v="111"/>
    <s v="Desserts"/>
    <x v="1"/>
    <x v="2"/>
    <x v="7"/>
    <n v="4.99"/>
    <x v="474"/>
  </r>
  <r>
    <s v="SAL-01708"/>
    <x v="231"/>
    <x v="19"/>
    <x v="19"/>
    <s v="Sides"/>
    <x v="1"/>
    <x v="2"/>
    <x v="19"/>
    <n v="2.99"/>
    <x v="231"/>
  </r>
  <r>
    <s v="SAL-01709"/>
    <x v="231"/>
    <x v="163"/>
    <x v="163"/>
    <s v="Burgers"/>
    <x v="1"/>
    <x v="3"/>
    <x v="40"/>
    <n v="7.99"/>
    <x v="71"/>
  </r>
  <r>
    <s v="SAL-01710"/>
    <x v="231"/>
    <x v="6"/>
    <x v="6"/>
    <s v="Breakfast"/>
    <x v="1"/>
    <x v="2"/>
    <x v="21"/>
    <n v="3.99"/>
    <x v="57"/>
  </r>
  <r>
    <s v="SAL-01711"/>
    <x v="231"/>
    <x v="36"/>
    <x v="36"/>
    <s v="Chicken"/>
    <x v="2"/>
    <x v="2"/>
    <x v="29"/>
    <n v="2.99"/>
    <x v="165"/>
  </r>
  <r>
    <s v="SAL-01712"/>
    <x v="231"/>
    <x v="140"/>
    <x v="140"/>
    <s v="Breakfast"/>
    <x v="2"/>
    <x v="3"/>
    <x v="35"/>
    <n v="4.99"/>
    <x v="584"/>
  </r>
  <r>
    <s v="SAL-01713"/>
    <x v="232"/>
    <x v="56"/>
    <x v="56"/>
    <s v="Beverages"/>
    <x v="2"/>
    <x v="1"/>
    <x v="7"/>
    <n v="2.99"/>
    <x v="20"/>
  </r>
  <r>
    <s v="SAL-01714"/>
    <x v="232"/>
    <x v="71"/>
    <x v="71"/>
    <s v="Beverages"/>
    <x v="1"/>
    <x v="1"/>
    <x v="21"/>
    <n v="1.99"/>
    <x v="257"/>
  </r>
  <r>
    <s v="SAL-01715"/>
    <x v="232"/>
    <x v="41"/>
    <x v="41"/>
    <s v="Chicken"/>
    <x v="0"/>
    <x v="0"/>
    <x v="5"/>
    <n v="4.99"/>
    <x v="345"/>
  </r>
  <r>
    <s v="SAL-01716"/>
    <x v="232"/>
    <x v="169"/>
    <x v="169"/>
    <s v="Sides"/>
    <x v="1"/>
    <x v="1"/>
    <x v="13"/>
    <n v="3.99"/>
    <x v="317"/>
  </r>
  <r>
    <s v="SAL-01717"/>
    <x v="232"/>
    <x v="56"/>
    <x v="56"/>
    <s v="Beverages"/>
    <x v="1"/>
    <x v="0"/>
    <x v="40"/>
    <n v="2.99"/>
    <x v="158"/>
  </r>
  <r>
    <s v="SAL-01718"/>
    <x v="232"/>
    <x v="176"/>
    <x v="176"/>
    <s v="Beverages"/>
    <x v="2"/>
    <x v="2"/>
    <x v="40"/>
    <n v="2.99"/>
    <x v="158"/>
  </r>
  <r>
    <s v="SAL-01719"/>
    <x v="232"/>
    <x v="61"/>
    <x v="61"/>
    <s v="Burgers"/>
    <x v="0"/>
    <x v="1"/>
    <x v="36"/>
    <n v="6.49"/>
    <x v="156"/>
  </r>
  <r>
    <s v="SAL-01720"/>
    <x v="232"/>
    <x v="15"/>
    <x v="15"/>
    <s v="Burgers"/>
    <x v="2"/>
    <x v="3"/>
    <x v="6"/>
    <n v="5.99"/>
    <x v="572"/>
  </r>
  <r>
    <s v="SAL-01721"/>
    <x v="232"/>
    <x v="141"/>
    <x v="141"/>
    <s v="Burgers"/>
    <x v="2"/>
    <x v="1"/>
    <x v="19"/>
    <n v="8.49"/>
    <x v="68"/>
  </r>
  <r>
    <s v="SAL-01722"/>
    <x v="232"/>
    <x v="76"/>
    <x v="76"/>
    <s v="Beverages"/>
    <x v="1"/>
    <x v="3"/>
    <x v="40"/>
    <n v="3.99"/>
    <x v="188"/>
  </r>
  <r>
    <s v="SAL-01723"/>
    <x v="233"/>
    <x v="198"/>
    <x v="198"/>
    <s v="Salads"/>
    <x v="0"/>
    <x v="1"/>
    <x v="47"/>
    <n v="8.99"/>
    <x v="622"/>
  </r>
  <r>
    <s v="SAL-01724"/>
    <x v="233"/>
    <x v="128"/>
    <x v="128"/>
    <s v="Sauces &amp; Add-ons"/>
    <x v="2"/>
    <x v="2"/>
    <x v="47"/>
    <n v="1.49"/>
    <x v="725"/>
  </r>
  <r>
    <s v="SAL-01725"/>
    <x v="233"/>
    <x v="44"/>
    <x v="44"/>
    <s v="Breakfast"/>
    <x v="2"/>
    <x v="0"/>
    <x v="22"/>
    <n v="2.99"/>
    <x v="266"/>
  </r>
  <r>
    <s v="SAL-01726"/>
    <x v="233"/>
    <x v="188"/>
    <x v="188"/>
    <s v="Chicken"/>
    <x v="0"/>
    <x v="1"/>
    <x v="15"/>
    <n v="5.99"/>
    <x v="472"/>
  </r>
  <r>
    <s v="SAL-01727"/>
    <x v="233"/>
    <x v="188"/>
    <x v="188"/>
    <s v="Chicken"/>
    <x v="0"/>
    <x v="1"/>
    <x v="22"/>
    <n v="5.99"/>
    <x v="134"/>
  </r>
  <r>
    <s v="SAL-01728"/>
    <x v="233"/>
    <x v="59"/>
    <x v="59"/>
    <s v="Chicken"/>
    <x v="1"/>
    <x v="1"/>
    <x v="29"/>
    <n v="7.99"/>
    <x v="527"/>
  </r>
  <r>
    <s v="SAL-01729"/>
    <x v="233"/>
    <x v="5"/>
    <x v="5"/>
    <s v="Beverages"/>
    <x v="0"/>
    <x v="3"/>
    <x v="40"/>
    <n v="2.99"/>
    <x v="158"/>
  </r>
  <r>
    <s v="SAL-01730"/>
    <x v="233"/>
    <x v="192"/>
    <x v="192"/>
    <s v="Kids Meals"/>
    <x v="2"/>
    <x v="1"/>
    <x v="25"/>
    <n v="5.99"/>
    <x v="392"/>
  </r>
  <r>
    <s v="SAL-01731"/>
    <x v="233"/>
    <x v="47"/>
    <x v="47"/>
    <s v="Burgers"/>
    <x v="0"/>
    <x v="1"/>
    <x v="14"/>
    <n v="2.99"/>
    <x v="76"/>
  </r>
  <r>
    <s v="SAL-01732"/>
    <x v="233"/>
    <x v="178"/>
    <x v="178"/>
    <s v="Chicken"/>
    <x v="2"/>
    <x v="0"/>
    <x v="13"/>
    <n v="7.49"/>
    <x v="726"/>
  </r>
  <r>
    <s v="SAL-01733"/>
    <x v="233"/>
    <x v="84"/>
    <x v="84"/>
    <s v="Chicken"/>
    <x v="1"/>
    <x v="1"/>
    <x v="38"/>
    <n v="6.99"/>
    <x v="153"/>
  </r>
  <r>
    <s v="SAL-01734"/>
    <x v="233"/>
    <x v="131"/>
    <x v="131"/>
    <s v="Sides"/>
    <x v="0"/>
    <x v="1"/>
    <x v="7"/>
    <n v="3.49"/>
    <x v="727"/>
  </r>
  <r>
    <s v="SAL-01735"/>
    <x v="234"/>
    <x v="32"/>
    <x v="32"/>
    <s v="Sauces &amp; Add-ons"/>
    <x v="2"/>
    <x v="1"/>
    <x v="40"/>
    <n v="0.5"/>
    <x v="728"/>
  </r>
  <r>
    <s v="SAL-01736"/>
    <x v="234"/>
    <x v="88"/>
    <x v="88"/>
    <s v="Beverages"/>
    <x v="2"/>
    <x v="1"/>
    <x v="31"/>
    <n v="2.99"/>
    <x v="52"/>
  </r>
  <r>
    <s v="SAL-01737"/>
    <x v="234"/>
    <x v="95"/>
    <x v="95"/>
    <s v="Beverages"/>
    <x v="1"/>
    <x v="2"/>
    <x v="46"/>
    <n v="3.99"/>
    <x v="121"/>
  </r>
  <r>
    <s v="SAL-01738"/>
    <x v="234"/>
    <x v="51"/>
    <x v="51"/>
    <s v="Combo Meals"/>
    <x v="1"/>
    <x v="1"/>
    <x v="25"/>
    <n v="12.99"/>
    <x v="729"/>
  </r>
  <r>
    <s v="SAL-01739"/>
    <x v="234"/>
    <x v="154"/>
    <x v="154"/>
    <s v="Kids Meals"/>
    <x v="0"/>
    <x v="3"/>
    <x v="16"/>
    <n v="6.49"/>
    <x v="342"/>
  </r>
  <r>
    <s v="SAL-01740"/>
    <x v="234"/>
    <x v="4"/>
    <x v="4"/>
    <s v="Beverages"/>
    <x v="2"/>
    <x v="1"/>
    <x v="27"/>
    <n v="1.99"/>
    <x v="673"/>
  </r>
  <r>
    <s v="SAL-01741"/>
    <x v="234"/>
    <x v="122"/>
    <x v="122"/>
    <s v="Desserts"/>
    <x v="0"/>
    <x v="3"/>
    <x v="1"/>
    <n v="4.99"/>
    <x v="157"/>
  </r>
  <r>
    <s v="SAL-01742"/>
    <x v="234"/>
    <x v="129"/>
    <x v="129"/>
    <s v="Desserts"/>
    <x v="0"/>
    <x v="2"/>
    <x v="40"/>
    <n v="1.49"/>
    <x v="180"/>
  </r>
  <r>
    <s v="SAL-01743"/>
    <x v="234"/>
    <x v="83"/>
    <x v="83"/>
    <s v="Sides"/>
    <x v="2"/>
    <x v="3"/>
    <x v="6"/>
    <n v="3.99"/>
    <x v="660"/>
  </r>
  <r>
    <s v="SAL-01744"/>
    <x v="234"/>
    <x v="44"/>
    <x v="44"/>
    <s v="Breakfast"/>
    <x v="0"/>
    <x v="3"/>
    <x v="28"/>
    <n v="2.99"/>
    <x v="42"/>
  </r>
  <r>
    <s v="SAL-01745"/>
    <x v="235"/>
    <x v="169"/>
    <x v="169"/>
    <s v="Sides"/>
    <x v="0"/>
    <x v="3"/>
    <x v="6"/>
    <n v="3.99"/>
    <x v="660"/>
  </r>
  <r>
    <s v="SAL-01746"/>
    <x v="235"/>
    <x v="77"/>
    <x v="77"/>
    <s v="Beverages"/>
    <x v="0"/>
    <x v="2"/>
    <x v="34"/>
    <n v="3.99"/>
    <x v="81"/>
  </r>
  <r>
    <s v="SAL-01747"/>
    <x v="235"/>
    <x v="19"/>
    <x v="19"/>
    <s v="Sides"/>
    <x v="1"/>
    <x v="2"/>
    <x v="32"/>
    <n v="2.99"/>
    <x v="55"/>
  </r>
  <r>
    <s v="SAL-01748"/>
    <x v="235"/>
    <x v="152"/>
    <x v="152"/>
    <s v="Chicken"/>
    <x v="1"/>
    <x v="1"/>
    <x v="50"/>
    <n v="7.49"/>
    <x v="730"/>
  </r>
  <r>
    <s v="SAL-01749"/>
    <x v="235"/>
    <x v="126"/>
    <x v="126"/>
    <s v="Beverages"/>
    <x v="0"/>
    <x v="0"/>
    <x v="16"/>
    <n v="2.99"/>
    <x v="18"/>
  </r>
  <r>
    <s v="SAL-01750"/>
    <x v="236"/>
    <x v="157"/>
    <x v="157"/>
    <s v="Beverages"/>
    <x v="1"/>
    <x v="2"/>
    <x v="36"/>
    <n v="3.99"/>
    <x v="99"/>
  </r>
  <r>
    <s v="SAL-01751"/>
    <x v="236"/>
    <x v="53"/>
    <x v="53"/>
    <s v="Beverages"/>
    <x v="1"/>
    <x v="1"/>
    <x v="13"/>
    <n v="2.99"/>
    <x v="98"/>
  </r>
  <r>
    <s v="SAL-01752"/>
    <x v="236"/>
    <x v="53"/>
    <x v="53"/>
    <s v="Beverages"/>
    <x v="2"/>
    <x v="0"/>
    <x v="37"/>
    <n v="2.99"/>
    <x v="104"/>
  </r>
  <r>
    <s v="SAL-01753"/>
    <x v="236"/>
    <x v="49"/>
    <x v="49"/>
    <s v="Beverages"/>
    <x v="0"/>
    <x v="1"/>
    <x v="36"/>
    <n v="2.99"/>
    <x v="111"/>
  </r>
  <r>
    <s v="SAL-01754"/>
    <x v="236"/>
    <x v="184"/>
    <x v="184"/>
    <s v="Beverages"/>
    <x v="2"/>
    <x v="1"/>
    <x v="37"/>
    <n v="2.99"/>
    <x v="104"/>
  </r>
  <r>
    <s v="SAL-01755"/>
    <x v="237"/>
    <x v="55"/>
    <x v="55"/>
    <s v="Desserts"/>
    <x v="1"/>
    <x v="1"/>
    <x v="12"/>
    <n v="3.49"/>
    <x v="367"/>
  </r>
  <r>
    <s v="SAL-01756"/>
    <x v="237"/>
    <x v="184"/>
    <x v="184"/>
    <s v="Beverages"/>
    <x v="2"/>
    <x v="1"/>
    <x v="14"/>
    <n v="2.99"/>
    <x v="76"/>
  </r>
  <r>
    <s v="SAL-01757"/>
    <x v="237"/>
    <x v="34"/>
    <x v="34"/>
    <s v="Desserts"/>
    <x v="2"/>
    <x v="1"/>
    <x v="17"/>
    <n v="4.99"/>
    <x v="191"/>
  </r>
  <r>
    <s v="SAL-01758"/>
    <x v="237"/>
    <x v="145"/>
    <x v="145"/>
    <s v="Salads"/>
    <x v="1"/>
    <x v="1"/>
    <x v="10"/>
    <n v="6.99"/>
    <x v="27"/>
  </r>
  <r>
    <s v="SAL-01759"/>
    <x v="237"/>
    <x v="180"/>
    <x v="180"/>
    <s v="Chicken"/>
    <x v="2"/>
    <x v="1"/>
    <x v="27"/>
    <n v="4.99"/>
    <x v="251"/>
  </r>
  <r>
    <s v="SAL-01760"/>
    <x v="237"/>
    <x v="135"/>
    <x v="135"/>
    <s v="Desserts"/>
    <x v="1"/>
    <x v="2"/>
    <x v="23"/>
    <n v="1.49"/>
    <x v="731"/>
  </r>
  <r>
    <s v="SAL-01761"/>
    <x v="237"/>
    <x v="10"/>
    <x v="10"/>
    <s v="Beverages"/>
    <x v="2"/>
    <x v="1"/>
    <x v="8"/>
    <n v="1.99"/>
    <x v="10"/>
  </r>
  <r>
    <s v="SAL-01762"/>
    <x v="238"/>
    <x v="173"/>
    <x v="173"/>
    <s v="Desserts"/>
    <x v="2"/>
    <x v="1"/>
    <x v="12"/>
    <n v="2.99"/>
    <x v="133"/>
  </r>
  <r>
    <s v="SAL-01763"/>
    <x v="238"/>
    <x v="44"/>
    <x v="44"/>
    <s v="Breakfast"/>
    <x v="1"/>
    <x v="1"/>
    <x v="49"/>
    <n v="2.99"/>
    <x v="213"/>
  </r>
  <r>
    <s v="SAL-01764"/>
    <x v="238"/>
    <x v="184"/>
    <x v="184"/>
    <s v="Beverages"/>
    <x v="0"/>
    <x v="1"/>
    <x v="19"/>
    <n v="2.99"/>
    <x v="231"/>
  </r>
  <r>
    <s v="SAL-01765"/>
    <x v="238"/>
    <x v="123"/>
    <x v="123"/>
    <s v="Burgers"/>
    <x v="2"/>
    <x v="0"/>
    <x v="33"/>
    <n v="5.99"/>
    <x v="706"/>
  </r>
  <r>
    <s v="SAL-01766"/>
    <x v="238"/>
    <x v="134"/>
    <x v="134"/>
    <s v="Beverages"/>
    <x v="1"/>
    <x v="1"/>
    <x v="20"/>
    <n v="2.99"/>
    <x v="23"/>
  </r>
  <r>
    <s v="SAL-01767"/>
    <x v="238"/>
    <x v="9"/>
    <x v="9"/>
    <s v="Burgers"/>
    <x v="2"/>
    <x v="3"/>
    <x v="33"/>
    <n v="9.99"/>
    <x v="732"/>
  </r>
  <r>
    <s v="SAL-01768"/>
    <x v="238"/>
    <x v="90"/>
    <x v="90"/>
    <s v="Burgers"/>
    <x v="1"/>
    <x v="1"/>
    <x v="14"/>
    <n v="8.99"/>
    <x v="613"/>
  </r>
  <r>
    <s v="SAL-01769"/>
    <x v="239"/>
    <x v="93"/>
    <x v="93"/>
    <s v="Burgers"/>
    <x v="1"/>
    <x v="2"/>
    <x v="38"/>
    <n v="8.99"/>
    <x v="662"/>
  </r>
  <r>
    <s v="SAL-01770"/>
    <x v="239"/>
    <x v="5"/>
    <x v="5"/>
    <s v="Beverages"/>
    <x v="0"/>
    <x v="1"/>
    <x v="36"/>
    <n v="2.99"/>
    <x v="111"/>
  </r>
  <r>
    <s v="SAL-01771"/>
    <x v="239"/>
    <x v="2"/>
    <x v="2"/>
    <s v="Chicken"/>
    <x v="0"/>
    <x v="1"/>
    <x v="39"/>
    <n v="6.99"/>
    <x v="541"/>
  </r>
  <r>
    <s v="SAL-01772"/>
    <x v="239"/>
    <x v="0"/>
    <x v="0"/>
    <s v="Combo Meals"/>
    <x v="2"/>
    <x v="3"/>
    <x v="38"/>
    <n v="9.99"/>
    <x v="733"/>
  </r>
  <r>
    <s v="SAL-01773"/>
    <x v="239"/>
    <x v="143"/>
    <x v="143"/>
    <s v="Burgers"/>
    <x v="2"/>
    <x v="1"/>
    <x v="4"/>
    <n v="8.49"/>
    <x v="734"/>
  </r>
  <r>
    <s v="SAL-01774"/>
    <x v="239"/>
    <x v="83"/>
    <x v="83"/>
    <s v="Sides"/>
    <x v="1"/>
    <x v="1"/>
    <x v="48"/>
    <n v="3.99"/>
    <x v="278"/>
  </r>
  <r>
    <s v="SAL-01775"/>
    <x v="239"/>
    <x v="77"/>
    <x v="77"/>
    <s v="Beverages"/>
    <x v="1"/>
    <x v="2"/>
    <x v="24"/>
    <n v="3.99"/>
    <x v="29"/>
  </r>
  <r>
    <s v="SAL-01776"/>
    <x v="239"/>
    <x v="156"/>
    <x v="156"/>
    <s v="Sides"/>
    <x v="0"/>
    <x v="2"/>
    <x v="11"/>
    <n v="3.99"/>
    <x v="93"/>
  </r>
  <r>
    <s v="SAL-01777"/>
    <x v="239"/>
    <x v="117"/>
    <x v="117"/>
    <s v="Burgers"/>
    <x v="1"/>
    <x v="3"/>
    <x v="2"/>
    <n v="6.99"/>
    <x v="2"/>
  </r>
  <r>
    <s v="SAL-01778"/>
    <x v="240"/>
    <x v="180"/>
    <x v="180"/>
    <s v="Chicken"/>
    <x v="0"/>
    <x v="0"/>
    <x v="14"/>
    <n v="4.99"/>
    <x v="226"/>
  </r>
  <r>
    <s v="SAL-01779"/>
    <x v="240"/>
    <x v="133"/>
    <x v="133"/>
    <s v="Beverages"/>
    <x v="2"/>
    <x v="3"/>
    <x v="1"/>
    <n v="2.99"/>
    <x v="308"/>
  </r>
  <r>
    <s v="SAL-01780"/>
    <x v="240"/>
    <x v="152"/>
    <x v="152"/>
    <s v="Chicken"/>
    <x v="0"/>
    <x v="1"/>
    <x v="32"/>
    <n v="7.49"/>
    <x v="720"/>
  </r>
  <r>
    <s v="SAL-01781"/>
    <x v="240"/>
    <x v="89"/>
    <x v="89"/>
    <s v="Sides"/>
    <x v="0"/>
    <x v="2"/>
    <x v="26"/>
    <n v="2.99"/>
    <x v="54"/>
  </r>
  <r>
    <s v="SAL-01782"/>
    <x v="240"/>
    <x v="180"/>
    <x v="180"/>
    <s v="Chicken"/>
    <x v="1"/>
    <x v="0"/>
    <x v="26"/>
    <n v="4.99"/>
    <x v="39"/>
  </r>
  <r>
    <s v="SAL-01783"/>
    <x v="240"/>
    <x v="28"/>
    <x v="28"/>
    <s v="Chicken"/>
    <x v="0"/>
    <x v="3"/>
    <x v="0"/>
    <n v="7.99"/>
    <x v="653"/>
  </r>
  <r>
    <s v="SAL-01784"/>
    <x v="240"/>
    <x v="0"/>
    <x v="0"/>
    <s v="Combo Meals"/>
    <x v="2"/>
    <x v="1"/>
    <x v="19"/>
    <n v="9.99"/>
    <x v="735"/>
  </r>
  <r>
    <s v="SAL-01785"/>
    <x v="240"/>
    <x v="170"/>
    <x v="170"/>
    <s v="Desserts"/>
    <x v="2"/>
    <x v="1"/>
    <x v="45"/>
    <n v="4.49"/>
    <x v="736"/>
  </r>
  <r>
    <s v="SAL-01786"/>
    <x v="240"/>
    <x v="146"/>
    <x v="146"/>
    <s v="Breakfast"/>
    <x v="0"/>
    <x v="2"/>
    <x v="26"/>
    <n v="4.99"/>
    <x v="39"/>
  </r>
  <r>
    <s v="SAL-01787"/>
    <x v="240"/>
    <x v="111"/>
    <x v="111"/>
    <s v="Desserts"/>
    <x v="1"/>
    <x v="1"/>
    <x v="11"/>
    <n v="4.99"/>
    <x v="295"/>
  </r>
  <r>
    <s v="SAL-01788"/>
    <x v="241"/>
    <x v="106"/>
    <x v="106"/>
    <s v="Sides"/>
    <x v="2"/>
    <x v="1"/>
    <x v="10"/>
    <n v="4.99"/>
    <x v="176"/>
  </r>
  <r>
    <s v="SAL-01789"/>
    <x v="241"/>
    <x v="37"/>
    <x v="37"/>
    <s v="Sides"/>
    <x v="0"/>
    <x v="2"/>
    <x v="19"/>
    <n v="4.99"/>
    <x v="22"/>
  </r>
  <r>
    <s v="SAL-01790"/>
    <x v="241"/>
    <x v="24"/>
    <x v="24"/>
    <s v="Combo Meals"/>
    <x v="1"/>
    <x v="2"/>
    <x v="30"/>
    <n v="10.99"/>
    <x v="487"/>
  </r>
  <r>
    <s v="SAL-01791"/>
    <x v="241"/>
    <x v="131"/>
    <x v="131"/>
    <s v="Sides"/>
    <x v="0"/>
    <x v="1"/>
    <x v="17"/>
    <n v="3.49"/>
    <x v="737"/>
  </r>
  <r>
    <s v="SAL-01792"/>
    <x v="241"/>
    <x v="37"/>
    <x v="37"/>
    <s v="Sides"/>
    <x v="0"/>
    <x v="1"/>
    <x v="28"/>
    <n v="4.99"/>
    <x v="201"/>
  </r>
  <r>
    <s v="SAL-01793"/>
    <x v="241"/>
    <x v="30"/>
    <x v="30"/>
    <s v="Desserts"/>
    <x v="2"/>
    <x v="1"/>
    <x v="10"/>
    <n v="1.49"/>
    <x v="738"/>
  </r>
  <r>
    <s v="SAL-01794"/>
    <x v="241"/>
    <x v="121"/>
    <x v="121"/>
    <s v="Beverages"/>
    <x v="1"/>
    <x v="2"/>
    <x v="13"/>
    <n v="1.99"/>
    <x v="15"/>
  </r>
  <r>
    <s v="SAL-01795"/>
    <x v="242"/>
    <x v="31"/>
    <x v="31"/>
    <s v="Beverages"/>
    <x v="0"/>
    <x v="3"/>
    <x v="8"/>
    <n v="3.99"/>
    <x v="72"/>
  </r>
  <r>
    <s v="SAL-01796"/>
    <x v="242"/>
    <x v="97"/>
    <x v="97"/>
    <s v="Kids Meals"/>
    <x v="2"/>
    <x v="1"/>
    <x v="38"/>
    <n v="5.99"/>
    <x v="484"/>
  </r>
  <r>
    <s v="SAL-01797"/>
    <x v="242"/>
    <x v="78"/>
    <x v="78"/>
    <s v="Sauces &amp; Add-ons"/>
    <x v="0"/>
    <x v="1"/>
    <x v="48"/>
    <n v="0.25"/>
    <x v="739"/>
  </r>
  <r>
    <s v="SAL-01798"/>
    <x v="242"/>
    <x v="139"/>
    <x v="139"/>
    <s v="Combo Meals"/>
    <x v="2"/>
    <x v="2"/>
    <x v="19"/>
    <n v="8.99"/>
    <x v="175"/>
  </r>
  <r>
    <s v="SAL-01799"/>
    <x v="242"/>
    <x v="93"/>
    <x v="93"/>
    <s v="Burgers"/>
    <x v="1"/>
    <x v="3"/>
    <x v="33"/>
    <n v="8.99"/>
    <x v="740"/>
  </r>
  <r>
    <s v="SAL-01800"/>
    <x v="242"/>
    <x v="101"/>
    <x v="101"/>
    <s v="Beverages"/>
    <x v="1"/>
    <x v="0"/>
    <x v="19"/>
    <n v="1.99"/>
    <x v="4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34EBF5-2017-4513-BA58-03847DC2AEC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1:C10" firstHeaderRow="0" firstDataRow="1" firstDataCol="1"/>
  <pivotFields count="11">
    <pivotField showAll="0"/>
    <pivotField numFmtId="164"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pivotField showAll="0"/>
    <pivotField showAll="0"/>
    <pivotField showAll="0"/>
    <pivotField dataField="1" showAll="0">
      <items count="64">
        <item x="57"/>
        <item x="54"/>
        <item x="56"/>
        <item x="53"/>
        <item x="52"/>
        <item x="51"/>
        <item x="55"/>
        <item x="41"/>
        <item x="50"/>
        <item x="47"/>
        <item x="23"/>
        <item x="4"/>
        <item x="14"/>
        <item x="6"/>
        <item x="30"/>
        <item x="26"/>
        <item x="11"/>
        <item x="13"/>
        <item x="20"/>
        <item x="1"/>
        <item x="25"/>
        <item x="15"/>
        <item x="33"/>
        <item x="19"/>
        <item x="35"/>
        <item x="18"/>
        <item x="42"/>
        <item x="32"/>
        <item x="27"/>
        <item x="36"/>
        <item x="16"/>
        <item x="5"/>
        <item x="21"/>
        <item x="39"/>
        <item x="9"/>
        <item x="22"/>
        <item x="40"/>
        <item x="24"/>
        <item x="0"/>
        <item x="2"/>
        <item x="8"/>
        <item x="17"/>
        <item x="45"/>
        <item x="46"/>
        <item x="29"/>
        <item x="31"/>
        <item x="38"/>
        <item x="7"/>
        <item x="48"/>
        <item x="43"/>
        <item x="28"/>
        <item x="37"/>
        <item x="10"/>
        <item x="34"/>
        <item x="44"/>
        <item x="3"/>
        <item x="12"/>
        <item x="49"/>
        <item x="61"/>
        <item x="58"/>
        <item x="59"/>
        <item x="60"/>
        <item x="62"/>
        <item t="default"/>
      </items>
    </pivotField>
    <pivotField numFmtId="166" showAll="0"/>
    <pivotField dataField="1" numFmtId="166" showAll="0"/>
    <pivotField axis="axisRow" showAll="0">
      <items count="15">
        <item x="0"/>
        <item x="1"/>
        <item x="2"/>
        <item x="3"/>
        <item x="4"/>
        <item x="5"/>
        <item x="6"/>
        <item x="7"/>
        <item x="8"/>
        <item x="9"/>
        <item x="10"/>
        <item x="11"/>
        <item x="12"/>
        <item x="13"/>
        <item t="default"/>
      </items>
    </pivotField>
  </pivotFields>
  <rowFields count="1">
    <field x="10"/>
  </rowFields>
  <rowItems count="9">
    <i>
      <x v="1"/>
    </i>
    <i>
      <x v="2"/>
    </i>
    <i>
      <x v="3"/>
    </i>
    <i>
      <x v="4"/>
    </i>
    <i>
      <x v="5"/>
    </i>
    <i>
      <x v="6"/>
    </i>
    <i>
      <x v="7"/>
    </i>
    <i>
      <x v="8"/>
    </i>
    <i t="grand">
      <x/>
    </i>
  </rowItems>
  <colFields count="1">
    <field x="-2"/>
  </colFields>
  <colItems count="2">
    <i>
      <x/>
    </i>
    <i i="1">
      <x v="1"/>
    </i>
  </colItems>
  <dataFields count="2">
    <dataField name="Sum of Quantity Sold" fld="7" baseField="0" baseItem="0"/>
    <dataField name="Sum of Sales Revenue (CAD)" fld="9" baseField="0" baseItem="0" numFmtId="166"/>
  </dataFields>
  <chartFormats count="8">
    <chartFormat chart="4"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1"/>
          </reference>
        </references>
      </pivotArea>
    </chartFormat>
    <chartFormat chart="35" format="1" series="1">
      <pivotArea type="data" outline="0" fieldPosition="0">
        <references count="1">
          <reference field="4294967294" count="1" selected="0">
            <x v="1"/>
          </reference>
        </references>
      </pivotArea>
    </chartFormat>
    <chartFormat chart="35" format="2" series="1">
      <pivotArea type="data" outline="0" fieldPosition="0">
        <references count="1">
          <reference field="4294967294" count="1" selected="0">
            <x v="0"/>
          </reference>
        </references>
      </pivotArea>
    </chartFormat>
    <chartFormat chart="14" format="64" series="1">
      <pivotArea type="data" outline="0" fieldPosition="0">
        <references count="1">
          <reference field="4294967294" count="1" selected="0">
            <x v="0"/>
          </reference>
        </references>
      </pivotArea>
    </chartFormat>
    <chartFormat chart="4" format="6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8589D-8642-4DBD-BE1F-410A15E8F39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12" firstHeaderRow="1" firstDataRow="1" firstDataCol="1"/>
  <pivotFields count="11">
    <pivotField showAll="0"/>
    <pivotField numFmtId="164"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axis="axisRow" showAll="0" measureFilter="1" sortType="descending">
      <items count="200">
        <item x="12"/>
        <item x="19"/>
        <item x="134"/>
        <item x="69"/>
        <item x="38"/>
        <item x="128"/>
        <item x="160"/>
        <item x="93"/>
        <item x="158"/>
        <item x="72"/>
        <item x="124"/>
        <item x="175"/>
        <item x="90"/>
        <item x="62"/>
        <item x="74"/>
        <item x="127"/>
        <item x="86"/>
        <item x="152"/>
        <item x="87"/>
        <item x="23"/>
        <item x="191"/>
        <item x="68"/>
        <item x="83"/>
        <item x="183"/>
        <item x="178"/>
        <item x="112"/>
        <item x="109"/>
        <item x="7"/>
        <item x="166"/>
        <item x="14"/>
        <item x="104"/>
        <item x="167"/>
        <item x="92"/>
        <item x="6"/>
        <item x="138"/>
        <item x="168"/>
        <item x="194"/>
        <item x="145"/>
        <item x="27"/>
        <item x="11"/>
        <item x="111"/>
        <item x="114"/>
        <item x="123"/>
        <item x="147"/>
        <item x="159"/>
        <item x="84"/>
        <item x="52"/>
        <item x="79"/>
        <item x="43"/>
        <item x="39"/>
        <item x="107"/>
        <item x="186"/>
        <item x="180"/>
        <item x="151"/>
        <item x="188"/>
        <item x="106"/>
        <item x="64"/>
        <item x="103"/>
        <item x="30"/>
        <item x="48"/>
        <item x="80"/>
        <item x="55"/>
        <item x="173"/>
        <item x="164"/>
        <item x="8"/>
        <item x="35"/>
        <item x="115"/>
        <item x="163"/>
        <item x="45"/>
        <item x="15"/>
        <item x="139"/>
        <item x="9"/>
        <item x="82"/>
        <item x="176"/>
        <item x="101"/>
        <item x="59"/>
        <item x="185"/>
        <item x="0"/>
        <item x="110"/>
        <item x="58"/>
        <item x="61"/>
        <item x="184"/>
        <item x="17"/>
        <item x="10"/>
        <item x="130"/>
        <item x="187"/>
        <item x="195"/>
        <item x="140"/>
        <item x="165"/>
        <item x="189"/>
        <item x="105"/>
        <item x="29"/>
        <item x="136"/>
        <item x="196"/>
        <item x="113"/>
        <item x="28"/>
        <item x="70"/>
        <item x="24"/>
        <item x="25"/>
        <item x="161"/>
        <item x="94"/>
        <item x="32"/>
        <item x="5"/>
        <item x="102"/>
        <item x="4"/>
        <item x="157"/>
        <item x="49"/>
        <item x="40"/>
        <item x="53"/>
        <item x="88"/>
        <item x="121"/>
        <item x="141"/>
        <item x="120"/>
        <item x="54"/>
        <item x="67"/>
        <item x="119"/>
        <item x="47"/>
        <item x="144"/>
        <item x="1"/>
        <item x="81"/>
        <item x="148"/>
        <item x="192"/>
        <item x="85"/>
        <item x="182"/>
        <item x="97"/>
        <item x="132"/>
        <item x="154"/>
        <item x="77"/>
        <item x="13"/>
        <item x="56"/>
        <item x="75"/>
        <item x="26"/>
        <item x="98"/>
        <item x="3"/>
        <item x="91"/>
        <item x="169"/>
        <item x="174"/>
        <item x="60"/>
        <item x="18"/>
        <item x="78"/>
        <item x="193"/>
        <item x="73"/>
        <item x="177"/>
        <item x="16"/>
        <item x="33"/>
        <item x="149"/>
        <item x="42"/>
        <item x="131"/>
        <item x="89"/>
        <item x="44"/>
        <item x="135"/>
        <item x="37"/>
        <item x="66"/>
        <item x="108"/>
        <item x="133"/>
        <item x="143"/>
        <item x="63"/>
        <item x="197"/>
        <item x="126"/>
        <item x="22"/>
        <item x="71"/>
        <item x="118"/>
        <item x="146"/>
        <item x="155"/>
        <item x="153"/>
        <item x="20"/>
        <item x="156"/>
        <item x="162"/>
        <item x="100"/>
        <item x="181"/>
        <item x="125"/>
        <item x="117"/>
        <item x="198"/>
        <item x="51"/>
        <item x="50"/>
        <item x="179"/>
        <item x="172"/>
        <item x="99"/>
        <item x="2"/>
        <item x="116"/>
        <item x="57"/>
        <item x="36"/>
        <item x="41"/>
        <item x="190"/>
        <item x="137"/>
        <item x="171"/>
        <item x="31"/>
        <item x="76"/>
        <item x="46"/>
        <item x="34"/>
        <item x="129"/>
        <item x="95"/>
        <item x="170"/>
        <item x="65"/>
        <item x="21"/>
        <item x="150"/>
        <item x="122"/>
        <item x="96"/>
        <item x="1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6" showAll="0"/>
    <pivotField numFmtId="166" showAll="0"/>
    <pivotField showAll="0" defaultSubtotal="0">
      <items count="14">
        <item x="0"/>
        <item x="1"/>
        <item x="2"/>
        <item x="3"/>
        <item x="4"/>
        <item x="5"/>
        <item x="6"/>
        <item x="7"/>
        <item x="8"/>
        <item x="9"/>
        <item x="10"/>
        <item x="11"/>
        <item x="12"/>
        <item x="13"/>
      </items>
    </pivotField>
  </pivotFields>
  <rowFields count="1">
    <field x="3"/>
  </rowFields>
  <rowItems count="11">
    <i>
      <x v="59"/>
    </i>
    <i>
      <x v="104"/>
    </i>
    <i>
      <x v="141"/>
    </i>
    <i>
      <x v="38"/>
    </i>
    <i>
      <x v="184"/>
    </i>
    <i>
      <x v="103"/>
    </i>
    <i>
      <x v="2"/>
    </i>
    <i>
      <x v="187"/>
    </i>
    <i>
      <x v="127"/>
    </i>
    <i>
      <x v="83"/>
    </i>
    <i t="grand">
      <x/>
    </i>
  </rowItems>
  <colItems count="1">
    <i/>
  </colItems>
  <dataFields count="1">
    <dataField name="Sum of Quantity Sold"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3544ED-569E-4403-BD18-6F20D399D1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1">
    <pivotField showAll="0"/>
    <pivotField numFmtId="164"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items count="64">
        <item x="57"/>
        <item x="54"/>
        <item x="56"/>
        <item x="53"/>
        <item x="52"/>
        <item x="51"/>
        <item x="55"/>
        <item x="41"/>
        <item x="50"/>
        <item x="47"/>
        <item x="23"/>
        <item x="4"/>
        <item x="14"/>
        <item x="6"/>
        <item x="30"/>
        <item x="26"/>
        <item x="11"/>
        <item x="13"/>
        <item x="20"/>
        <item x="1"/>
        <item x="25"/>
        <item x="15"/>
        <item x="33"/>
        <item x="19"/>
        <item x="35"/>
        <item x="18"/>
        <item x="42"/>
        <item x="32"/>
        <item x="27"/>
        <item x="36"/>
        <item x="16"/>
        <item x="5"/>
        <item x="21"/>
        <item x="39"/>
        <item x="9"/>
        <item x="22"/>
        <item x="40"/>
        <item x="24"/>
        <item x="0"/>
        <item x="2"/>
        <item x="8"/>
        <item x="17"/>
        <item x="45"/>
        <item x="46"/>
        <item x="29"/>
        <item x="31"/>
        <item x="38"/>
        <item x="7"/>
        <item x="48"/>
        <item x="43"/>
        <item x="28"/>
        <item x="37"/>
        <item x="10"/>
        <item x="34"/>
        <item x="44"/>
        <item x="3"/>
        <item x="12"/>
        <item x="49"/>
        <item x="61"/>
        <item x="58"/>
        <item x="59"/>
        <item x="60"/>
        <item x="62"/>
        <item t="default"/>
      </items>
    </pivotField>
    <pivotField numFmtId="166" showAll="0"/>
    <pivotField dataField="1" numFmtId="166" showAll="0"/>
    <pivotField showAll="0" defaultSubtotal="0">
      <items count="14">
        <item x="0"/>
        <item x="1"/>
        <item x="2"/>
        <item x="3"/>
        <item x="4"/>
        <item x="5"/>
        <item x="6"/>
        <item x="7"/>
        <item x="8"/>
        <item x="9"/>
        <item x="10"/>
        <item x="11"/>
        <item x="12"/>
        <item x="13"/>
      </items>
    </pivotField>
  </pivotFields>
  <rowFields count="2">
    <field x="5"/>
    <field x="6"/>
  </rowFields>
  <rowItems count="16">
    <i>
      <x v="1"/>
    </i>
    <i r="1">
      <x v="2"/>
    </i>
    <i r="1">
      <x v="3"/>
    </i>
    <i r="1">
      <x v="1"/>
    </i>
    <i r="1">
      <x/>
    </i>
    <i>
      <x/>
    </i>
    <i r="1">
      <x v="2"/>
    </i>
    <i r="1">
      <x v="3"/>
    </i>
    <i r="1">
      <x v="1"/>
    </i>
    <i r="1">
      <x/>
    </i>
    <i>
      <x v="2"/>
    </i>
    <i r="1">
      <x v="2"/>
    </i>
    <i r="1">
      <x v="3"/>
    </i>
    <i r="1">
      <x v="1"/>
    </i>
    <i r="1">
      <x/>
    </i>
    <i t="grand">
      <x/>
    </i>
  </rowItems>
  <colItems count="1">
    <i/>
  </colItems>
  <dataFields count="1">
    <dataField name="Sum of Sales Revenue (CAD)" fld="9"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F94C5C-5B9F-459E-9D62-48CEA215F248}" name="Products" displayName="Products" ref="A1:G201" totalsRowShown="0">
  <autoFilter ref="A1:G201" xr:uid="{E2F94C5C-5B9F-459E-9D62-48CEA215F248}"/>
  <tableColumns count="7">
    <tableColumn id="1" xr3:uid="{74577B42-D91D-4FC4-86B4-7467F5CD86D7}" name="SKU"/>
    <tableColumn id="2" xr3:uid="{CB033BDB-F928-40F8-B1A7-3256F0A19F75}" name="Product Name"/>
    <tableColumn id="3" xr3:uid="{73977E37-791A-46BE-A3B9-431A7EF7801B}" name="Category"/>
    <tableColumn id="4" xr3:uid="{2D6BDED5-5163-4C76-B38B-F25B7F056F89}" name="Supplier" dataDxfId="30">
      <calculatedColumnFormula>_xlfn.XLOOKUP(Products[[#This Row],[Category]],'Supplier Mapping'!$C$2:$C$11,'Supplier Mapping'!$A$2:$A$11)</calculatedColumnFormula>
    </tableColumn>
    <tableColumn id="7" xr3:uid="{8ED91C79-13B1-49D7-B160-E478F2A6D5FE}" name="Supplier ID " dataDxfId="29">
      <calculatedColumnFormula>_xlfn.XLOOKUP(Products[[#This Row],[Supplier]],'Supplier Mapping'!$A$2:$A$11,'Supplier Mapping'!$B$2:$B$11)</calculatedColumnFormula>
    </tableColumn>
    <tableColumn id="5" xr3:uid="{1CDE6D54-3420-49FC-801C-A0FE753D9250}" name="Unit Cost (CAD)" dataDxfId="28"/>
    <tableColumn id="6" xr3:uid="{E62EFF14-002E-4914-8558-1CEC6D8E872E}" name="Selling Price (CAD)"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F3D9AC-E85D-4553-84DF-6A6DB70D961E}" name="Suppliers" displayName="Suppliers" ref="A1:C11" totalsRowShown="0" headerRowDxfId="26">
  <autoFilter ref="A1:C11" xr:uid="{BAF3D9AC-E85D-4553-84DF-6A6DB70D961E}"/>
  <tableColumns count="3">
    <tableColumn id="1" xr3:uid="{05DD4939-78CC-4A21-8BBC-B880A86DA2D7}" name="Suppliers"/>
    <tableColumn id="2" xr3:uid="{5B98D360-C603-4D87-B284-ACFCDB20219E}" name="Supplier ID"/>
    <tableColumn id="3" xr3:uid="{9027E1A6-75ED-4EB7-B81B-7A1335D3FA72}" name="Primary 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086F73-F3EF-4D23-B5F0-4B393D3E7F1A}" name="Sales" displayName="Sales" ref="A1:J1801" totalsRowShown="0">
  <autoFilter ref="A1:J1801" xr:uid="{A0086F73-F3EF-4D23-B5F0-4B393D3E7F1A}"/>
  <tableColumns count="10">
    <tableColumn id="1" xr3:uid="{33B4E23F-A578-40A0-B457-D55831173054}" name="Sale ID"/>
    <tableColumn id="2" xr3:uid="{BF4F8A14-6384-4573-AFE5-89BC8EA6F7B3}" name="Sale Date" dataDxfId="25"/>
    <tableColumn id="3" xr3:uid="{053B6A4E-95FA-4643-A9BF-C76B9E1D43AC}" name="SKU"/>
    <tableColumn id="4" xr3:uid="{8B7AD022-3D8B-44E2-A481-3ED5A546109A}" name="Product Name"/>
    <tableColumn id="5" xr3:uid="{EC6B62AF-9E49-41F1-A72A-A590934150AE}" name="Category" dataDxfId="24">
      <calculatedColumnFormula>_xlfn.XLOOKUP(Sales[[#This Row],[Product Name]],Products[Product Name],Products[Category])</calculatedColumnFormula>
    </tableColumn>
    <tableColumn id="6" xr3:uid="{B180903D-E688-4572-BDDD-35883AFC57AC}" name="Store Location"/>
    <tableColumn id="7" xr3:uid="{69B87C63-8DAE-4BAE-B7C8-6191D6F85567}" name="Sales Channel"/>
    <tableColumn id="8" xr3:uid="{A9680EAC-83FB-4712-9251-B17DCACF76B2}" name="Quantity Sold" dataDxfId="23"/>
    <tableColumn id="9" xr3:uid="{AA18D265-76DE-4D09-9C6E-5B04CBFF59B6}" name="Unit Selling Price (CAD)" dataDxfId="22">
      <calculatedColumnFormula>_xlfn.XLOOKUP(Sales[[#This Row],[Product Name]],Products[Product Name],Products[Selling Price (CAD)])</calculatedColumnFormula>
    </tableColumn>
    <tableColumn id="10" xr3:uid="{00A12F30-2D9D-4164-A81D-DA4A8F7C34EC}" name="Sales Revenue (CAD)" dataDxfId="21">
      <calculatedColumnFormula>PRODUCT(Sales[[#This Row],[Quantity Sold]],Sales[[#This Row],[Unit Selling Price (CAD)]])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7A8CAA-3A91-454C-AE5C-2E85ACFC71CB}" name="Inventory" displayName="Inventory" ref="A1:H201" totalsRowShown="0">
  <autoFilter ref="A1:H201" xr:uid="{827A8CAA-3A91-454C-AE5C-2E85ACFC71CB}"/>
  <tableColumns count="8">
    <tableColumn id="1" xr3:uid="{DF53B240-CA0D-4D25-8CCD-C3A13AA77862}" name="SKU"/>
    <tableColumn id="2" xr3:uid="{A1021FB0-4A1C-4219-B38B-575986CF7724}" name="Stock on Hand Aug-01" dataDxfId="20"/>
    <tableColumn id="6" xr3:uid="{D86C877E-4BE0-472C-AFE5-861BDCD52AF6}" name="Stock on Hand Aug-31" dataDxfId="19">
      <calculatedColumnFormula>Inventory[[#This Row],[Stock on Hand Aug-01]]-SUMIF(Sales!$C$1571:$C$1801,Inventory[[#This Row],[SKU]],Sales!$H$1571:$H$1801)</calculatedColumnFormula>
    </tableColumn>
    <tableColumn id="5" xr3:uid="{0289F996-F045-4B4A-ABFB-727278532211}" name="Daily Demand " dataDxfId="18">
      <calculatedColumnFormula>SUMIF(Sales!$C$1571:$C$1801,'Inventory for Aug-31'!A2,Sales!$H$1571:$H$1801)/31</calculatedColumnFormula>
    </tableColumn>
    <tableColumn id="3" xr3:uid="{10608FE8-7870-45A6-A050-080A1621BA73}" name="Lead Time (Days)"/>
    <tableColumn id="4" xr3:uid="{810EF3DF-D94B-4AAF-8935-D1D19D08AF5E}" name="Safety Stock"/>
    <tableColumn id="7" xr3:uid="{D7BEE62F-1F2A-482F-8F27-5767609D2714}" name="Reorder Point " dataDxfId="17">
      <calculatedColumnFormula>Inventory[[#This Row],[Daily Demand ]]*Inventory[[#This Row],[Lead Time (Days)]]+Inventory[[#This Row],[Safety Stock]]</calculatedColumnFormula>
    </tableColumn>
    <tableColumn id="8" xr3:uid="{8F24FE05-426A-40D9-9F22-1EA871247399}" name="Stock Status " dataDxfId="16">
      <calculatedColumnFormula array="1">_xlfn.IFS(Inventory[[#This Row],[Stock on Hand Aug-31]]=0,"Stockout",Inventory[[#This Row],[Stock on Hand Aug-31]]&lt;Inventory[[#This Row],[Safety Stock]],"Critical",Inventory[[#This Row],[Stock on Hand Aug-31]]&lt;=Inventory[[#This Row],[Reorder Point ]],"Reorder",Inventory[[#This Row],[Stock on Hand Aug-31]]&gt;Inventory[[#This Row],[Reorder Point ]],"Safe")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9357ACC4-A3B1-4082-B6B6-C537016B8085}" sourceName="Sale Date">
  <pivotTables>
    <pivotTable tabId="9" name="PivotTable1"/>
  </pivotTables>
  <state minimalRefreshVersion="6" lastRefreshVersion="6" pivotCacheId="397633775" filterType="unknown">
    <bounds startDate="202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1" xr10:uid="{3B757393-9173-4358-8E97-13C10AC27796}" sourceName="Sale Date">
  <pivotTables>
    <pivotTable tabId="10" name="PivotTable1"/>
  </pivotTables>
  <state minimalRefreshVersion="6" lastRefreshVersion="6" pivotCacheId="39763377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0DD50C55-60A6-4D69-9C50-8BF85D03A406}" cache="NativeTimeline_Sale_Date" caption="Sale 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1" xr10:uid="{594F6D5F-C347-485C-B400-35B643AD066B}" cache="NativeTimeline_Sale_Date1" caption="Sale Date" level="2" selectionLevel="2" scrollPosition="2026-06-06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46031FD-AE84-4312-959E-3D4E31FA420F}">
  <we:reference id="wa200010725" version="1.0.0.1" store="en-US" storeType="OMEX"/>
  <we:alternateReferences>
    <we:reference id="WA200010725" version="1.0.0.1" store="WA200010725" storeType="OMEX"/>
  </we:alternateReferences>
  <we:properties>
    <we:property name="claude.fileId" value="&quot;9099a648-343a-4f21-90e1-926b82dc677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52DB-204C-4DE7-9AFE-BC3B8C747860}">
  <dimension ref="A1:J40"/>
  <sheetViews>
    <sheetView zoomScale="85" zoomScaleNormal="85" workbookViewId="0">
      <selection activeCell="A8" sqref="A8"/>
    </sheetView>
  </sheetViews>
  <sheetFormatPr defaultRowHeight="13.8"/>
  <cols>
    <col min="1" max="1" width="32.59765625" customWidth="1"/>
    <col min="2" max="2" width="47.3984375" customWidth="1"/>
  </cols>
  <sheetData>
    <row r="1" spans="1:10" ht="15.6">
      <c r="A1" s="15" t="s">
        <v>2275</v>
      </c>
    </row>
    <row r="2" spans="1:10" ht="15">
      <c r="A2" s="17" t="s">
        <v>2276</v>
      </c>
    </row>
    <row r="3" spans="1:10" ht="15.6">
      <c r="A3" s="15" t="s">
        <v>2277</v>
      </c>
    </row>
    <row r="4" spans="1:10" ht="13.8" customHeight="1">
      <c r="A4" s="22" t="s">
        <v>2278</v>
      </c>
      <c r="B4" s="22"/>
      <c r="C4" s="16"/>
      <c r="D4" s="16"/>
      <c r="E4" s="16"/>
      <c r="F4" s="16"/>
      <c r="G4" s="16"/>
      <c r="H4" s="16"/>
      <c r="I4" s="16"/>
      <c r="J4" s="16"/>
    </row>
    <row r="5" spans="1:10">
      <c r="A5" s="22"/>
      <c r="B5" s="22"/>
      <c r="C5" s="16"/>
      <c r="D5" s="16"/>
      <c r="E5" s="16"/>
      <c r="F5" s="16"/>
      <c r="G5" s="16"/>
      <c r="H5" s="16"/>
      <c r="I5" s="16"/>
      <c r="J5" s="16"/>
    </row>
    <row r="6" spans="1:10">
      <c r="A6" s="22"/>
      <c r="B6" s="22"/>
      <c r="C6" s="16"/>
      <c r="D6" s="16"/>
      <c r="E6" s="16"/>
      <c r="F6" s="16"/>
      <c r="G6" s="16"/>
      <c r="H6" s="16"/>
      <c r="I6" s="16"/>
      <c r="J6" s="16"/>
    </row>
    <row r="7" spans="1:10">
      <c r="A7" s="22"/>
      <c r="B7" s="22"/>
      <c r="C7" s="16"/>
      <c r="D7" s="16"/>
      <c r="E7" s="16"/>
      <c r="F7" s="16"/>
      <c r="G7" s="16"/>
      <c r="H7" s="16"/>
      <c r="I7" s="16"/>
      <c r="J7" s="16"/>
    </row>
    <row r="8" spans="1:10" ht="15.6">
      <c r="A8" s="15" t="s">
        <v>2279</v>
      </c>
    </row>
    <row r="9" spans="1:10" ht="13.8" customHeight="1">
      <c r="A9" s="22" t="s">
        <v>2305</v>
      </c>
      <c r="B9" s="22"/>
      <c r="C9" s="16"/>
      <c r="D9" s="16"/>
      <c r="E9" s="16"/>
      <c r="F9" s="16"/>
      <c r="G9" s="16"/>
      <c r="H9" s="16"/>
      <c r="I9" s="16"/>
      <c r="J9" s="16"/>
    </row>
    <row r="10" spans="1:10">
      <c r="A10" s="22"/>
      <c r="B10" s="22"/>
      <c r="C10" s="16"/>
      <c r="D10" s="16"/>
      <c r="E10" s="16"/>
      <c r="F10" s="16"/>
      <c r="G10" s="16"/>
      <c r="H10" s="16"/>
      <c r="I10" s="16"/>
      <c r="J10" s="16"/>
    </row>
    <row r="11" spans="1:10">
      <c r="A11" s="22"/>
      <c r="B11" s="22"/>
      <c r="C11" s="16"/>
      <c r="D11" s="16"/>
      <c r="E11" s="16"/>
      <c r="F11" s="16"/>
      <c r="G11" s="16"/>
      <c r="H11" s="16"/>
      <c r="I11" s="16"/>
      <c r="J11" s="16"/>
    </row>
    <row r="12" spans="1:10">
      <c r="A12" s="16"/>
      <c r="B12" s="16"/>
      <c r="C12" s="16"/>
      <c r="D12" s="16"/>
      <c r="E12" s="16"/>
      <c r="F12" s="16"/>
      <c r="G12" s="16"/>
      <c r="H12" s="16"/>
      <c r="I12" s="16"/>
      <c r="J12" s="16"/>
    </row>
    <row r="13" spans="1:10" ht="15.6">
      <c r="A13" s="15" t="s">
        <v>2280</v>
      </c>
    </row>
    <row r="14" spans="1:10">
      <c r="A14" s="9" t="s">
        <v>2281</v>
      </c>
      <c r="B14" s="9" t="s">
        <v>2282</v>
      </c>
    </row>
    <row r="15" spans="1:10">
      <c r="A15" s="18" t="s">
        <v>2283</v>
      </c>
      <c r="B15" s="18" t="s">
        <v>2287</v>
      </c>
    </row>
    <row r="16" spans="1:10">
      <c r="A16" s="18" t="s">
        <v>2251</v>
      </c>
      <c r="B16" s="18" t="s">
        <v>2288</v>
      </c>
    </row>
    <row r="17" spans="1:2">
      <c r="A17" s="18" t="s">
        <v>2253</v>
      </c>
      <c r="B17" s="18" t="s">
        <v>2289</v>
      </c>
    </row>
    <row r="18" spans="1:2">
      <c r="A18" s="18" t="s">
        <v>2284</v>
      </c>
      <c r="B18" s="18" t="s">
        <v>2290</v>
      </c>
    </row>
    <row r="19" spans="1:2">
      <c r="A19" s="18" t="s">
        <v>2285</v>
      </c>
      <c r="B19" s="18" t="s">
        <v>2291</v>
      </c>
    </row>
    <row r="20" spans="1:2">
      <c r="A20" s="18" t="s">
        <v>2254</v>
      </c>
      <c r="B20" s="18" t="s">
        <v>2292</v>
      </c>
    </row>
    <row r="21" spans="1:2">
      <c r="A21" s="18" t="s">
        <v>2270</v>
      </c>
      <c r="B21" s="18" t="s">
        <v>2293</v>
      </c>
    </row>
    <row r="22" spans="1:2">
      <c r="A22" s="18" t="s">
        <v>2274</v>
      </c>
      <c r="B22" s="18" t="s">
        <v>2294</v>
      </c>
    </row>
    <row r="23" spans="1:2">
      <c r="A23" s="18" t="s">
        <v>2286</v>
      </c>
      <c r="B23" s="18" t="s">
        <v>2295</v>
      </c>
    </row>
    <row r="25" spans="1:2" ht="15.6">
      <c r="A25" s="15" t="s">
        <v>2296</v>
      </c>
    </row>
    <row r="26" spans="1:2" ht="15">
      <c r="A26" s="17" t="s">
        <v>2297</v>
      </c>
    </row>
    <row r="27" spans="1:2" ht="15">
      <c r="A27" s="17" t="s">
        <v>2298</v>
      </c>
    </row>
    <row r="28" spans="1:2" ht="15">
      <c r="A28" s="17" t="s">
        <v>2299</v>
      </c>
    </row>
    <row r="29" spans="1:2" ht="15">
      <c r="A29" s="17" t="s">
        <v>2300</v>
      </c>
    </row>
    <row r="30" spans="1:2" ht="15">
      <c r="A30" s="17" t="s">
        <v>2301</v>
      </c>
    </row>
    <row r="31" spans="1:2" ht="15">
      <c r="A31" s="19" t="s">
        <v>2302</v>
      </c>
    </row>
    <row r="33" spans="1:2" ht="15.6">
      <c r="A33" s="15" t="s">
        <v>2303</v>
      </c>
    </row>
    <row r="34" spans="1:2" ht="15.6" customHeight="1">
      <c r="A34" s="24" t="s">
        <v>2304</v>
      </c>
      <c r="B34" s="25"/>
    </row>
    <row r="35" spans="1:2" ht="15.6" customHeight="1">
      <c r="A35" s="24"/>
      <c r="B35" s="25"/>
    </row>
    <row r="36" spans="1:2" ht="15.6" customHeight="1">
      <c r="A36" s="25"/>
      <c r="B36" s="25"/>
    </row>
    <row r="37" spans="1:2">
      <c r="A37" s="22" t="s">
        <v>2306</v>
      </c>
      <c r="B37" s="23"/>
    </row>
    <row r="38" spans="1:2">
      <c r="A38" s="23"/>
      <c r="B38" s="23"/>
    </row>
    <row r="39" spans="1:2">
      <c r="A39" s="23"/>
      <c r="B39" s="23"/>
    </row>
    <row r="40" spans="1:2">
      <c r="A40" s="23"/>
      <c r="B40" s="23"/>
    </row>
  </sheetData>
  <mergeCells count="4">
    <mergeCell ref="A9:B11"/>
    <mergeCell ref="A4:B7"/>
    <mergeCell ref="A37:B40"/>
    <mergeCell ref="A34:B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FD22-F37A-4A50-8D86-78E71D853DAA}">
  <dimension ref="A1:G201"/>
  <sheetViews>
    <sheetView workbookViewId="0">
      <selection activeCell="G8" sqref="G8"/>
    </sheetView>
  </sheetViews>
  <sheetFormatPr defaultRowHeight="13.8"/>
  <cols>
    <col min="1" max="1" width="13.59765625" bestFit="1" customWidth="1"/>
    <col min="2" max="2" width="30.09765625" bestFit="1" customWidth="1"/>
    <col min="3" max="3" width="15.796875" bestFit="1" customWidth="1"/>
    <col min="4" max="4" width="27.59765625" bestFit="1" customWidth="1"/>
    <col min="5" max="5" width="27.59765625" customWidth="1"/>
    <col min="6" max="6" width="16.19921875" customWidth="1"/>
    <col min="7" max="7" width="19.19921875" customWidth="1"/>
    <col min="10" max="10" width="27.59765625" bestFit="1" customWidth="1"/>
    <col min="11" max="11" width="27.59765625" customWidth="1"/>
    <col min="12" max="12" width="22.5" bestFit="1" customWidth="1"/>
  </cols>
  <sheetData>
    <row r="1" spans="1:7">
      <c r="A1" t="s">
        <v>4</v>
      </c>
      <c r="B1" t="s">
        <v>5</v>
      </c>
      <c r="C1" t="s">
        <v>6</v>
      </c>
      <c r="D1" t="s">
        <v>7</v>
      </c>
      <c r="E1" t="s">
        <v>425</v>
      </c>
      <c r="F1" t="s">
        <v>8</v>
      </c>
      <c r="G1" t="s">
        <v>9</v>
      </c>
    </row>
    <row r="2" spans="1:7">
      <c r="A2" t="s">
        <v>12</v>
      </c>
      <c r="B2" t="s">
        <v>13</v>
      </c>
      <c r="C2" t="s">
        <v>14</v>
      </c>
      <c r="D2" t="str">
        <f>_xlfn.XLOOKUP(Products[[#This Row],[Category]],'Supplier Mapping'!$C$2:$C$11,'Supplier Mapping'!$A$2:$A$11)</f>
        <v>Maple Prairie Foods</v>
      </c>
      <c r="E2" t="str">
        <f>_xlfn.XLOOKUP(Products[[#This Row],[Supplier]],'Supplier Mapping'!$A$2:$A$11,'Supplier Mapping'!$B$2:$B$11)</f>
        <v>SUP01</v>
      </c>
      <c r="F2" s="4">
        <v>1.7</v>
      </c>
      <c r="G2" s="4">
        <v>5.99</v>
      </c>
    </row>
    <row r="3" spans="1:7">
      <c r="A3" t="s">
        <v>17</v>
      </c>
      <c r="B3" t="s">
        <v>18</v>
      </c>
      <c r="C3" t="s">
        <v>14</v>
      </c>
      <c r="D3" t="str">
        <f>_xlfn.XLOOKUP(Products[[#This Row],[Category]],'Supplier Mapping'!$C$2:$C$11,'Supplier Mapping'!$A$2:$A$11)</f>
        <v>Maple Prairie Foods</v>
      </c>
      <c r="E3" t="str">
        <f>_xlfn.XLOOKUP(Products[[#This Row],[Supplier]],'Supplier Mapping'!$A$2:$A$11,'Supplier Mapping'!$B$2:$B$11)</f>
        <v>SUP01</v>
      </c>
      <c r="F3" s="4">
        <v>2.57</v>
      </c>
      <c r="G3" s="4">
        <v>7.99</v>
      </c>
    </row>
    <row r="4" spans="1:7">
      <c r="A4" t="s">
        <v>21</v>
      </c>
      <c r="B4" t="s">
        <v>22</v>
      </c>
      <c r="C4" t="s">
        <v>14</v>
      </c>
      <c r="D4" t="str">
        <f>_xlfn.XLOOKUP(Products[[#This Row],[Category]],'Supplier Mapping'!$C$2:$C$11,'Supplier Mapping'!$A$2:$A$11)</f>
        <v>Maple Prairie Foods</v>
      </c>
      <c r="E4" t="str">
        <f>_xlfn.XLOOKUP(Products[[#This Row],[Supplier]],'Supplier Mapping'!$A$2:$A$11,'Supplier Mapping'!$B$2:$B$11)</f>
        <v>SUP01</v>
      </c>
      <c r="F4" s="4">
        <v>3.6</v>
      </c>
      <c r="G4" s="4">
        <v>9.99</v>
      </c>
    </row>
    <row r="5" spans="1:7">
      <c r="A5" t="s">
        <v>25</v>
      </c>
      <c r="B5" t="s">
        <v>26</v>
      </c>
      <c r="C5" t="s">
        <v>14</v>
      </c>
      <c r="D5" t="str">
        <f>_xlfn.XLOOKUP(Products[[#This Row],[Category]],'Supplier Mapping'!$C$2:$C$11,'Supplier Mapping'!$A$2:$A$11)</f>
        <v>Maple Prairie Foods</v>
      </c>
      <c r="E5" t="str">
        <f>_xlfn.XLOOKUP(Products[[#This Row],[Supplier]],'Supplier Mapping'!$A$2:$A$11,'Supplier Mapping'!$B$2:$B$11)</f>
        <v>SUP01</v>
      </c>
      <c r="F5" s="4">
        <v>1.84</v>
      </c>
      <c r="G5" s="4">
        <v>5.99</v>
      </c>
    </row>
    <row r="6" spans="1:7">
      <c r="A6" t="s">
        <v>28</v>
      </c>
      <c r="B6" t="s">
        <v>29</v>
      </c>
      <c r="C6" t="s">
        <v>14</v>
      </c>
      <c r="D6" t="str">
        <f>_xlfn.XLOOKUP(Products[[#This Row],[Category]],'Supplier Mapping'!$C$2:$C$11,'Supplier Mapping'!$A$2:$A$11)</f>
        <v>Maple Prairie Foods</v>
      </c>
      <c r="E6" t="str">
        <f>_xlfn.XLOOKUP(Products[[#This Row],[Supplier]],'Supplier Mapping'!$A$2:$A$11,'Supplier Mapping'!$B$2:$B$11)</f>
        <v>SUP01</v>
      </c>
      <c r="F6" s="4">
        <v>2.83</v>
      </c>
      <c r="G6" s="4">
        <v>7.99</v>
      </c>
    </row>
    <row r="7" spans="1:7">
      <c r="A7" t="s">
        <v>32</v>
      </c>
      <c r="B7" t="s">
        <v>33</v>
      </c>
      <c r="C7" t="s">
        <v>14</v>
      </c>
      <c r="D7" t="str">
        <f>_xlfn.XLOOKUP(Products[[#This Row],[Category]],'Supplier Mapping'!$C$2:$C$11,'Supplier Mapping'!$A$2:$A$11)</f>
        <v>Maple Prairie Foods</v>
      </c>
      <c r="E7" t="str">
        <f>_xlfn.XLOOKUP(Products[[#This Row],[Supplier]],'Supplier Mapping'!$A$2:$A$11,'Supplier Mapping'!$B$2:$B$11)</f>
        <v>SUP01</v>
      </c>
      <c r="F7" s="4">
        <v>3.7</v>
      </c>
      <c r="G7" s="4">
        <v>9.99</v>
      </c>
    </row>
    <row r="8" spans="1:7">
      <c r="A8" t="s">
        <v>34</v>
      </c>
      <c r="B8" t="s">
        <v>35</v>
      </c>
      <c r="C8" t="s">
        <v>14</v>
      </c>
      <c r="D8" t="str">
        <f>_xlfn.XLOOKUP(Products[[#This Row],[Category]],'Supplier Mapping'!$C$2:$C$11,'Supplier Mapping'!$A$2:$A$11)</f>
        <v>Maple Prairie Foods</v>
      </c>
      <c r="E8" t="str">
        <f>_xlfn.XLOOKUP(Products[[#This Row],[Supplier]],'Supplier Mapping'!$A$2:$A$11,'Supplier Mapping'!$B$2:$B$11)</f>
        <v>SUP01</v>
      </c>
      <c r="F8" s="4">
        <v>2.0299999999999998</v>
      </c>
      <c r="G8" s="4">
        <v>6.99</v>
      </c>
    </row>
    <row r="9" spans="1:7">
      <c r="A9" t="s">
        <v>36</v>
      </c>
      <c r="B9" t="s">
        <v>37</v>
      </c>
      <c r="C9" t="s">
        <v>14</v>
      </c>
      <c r="D9" t="str">
        <f>_xlfn.XLOOKUP(Products[[#This Row],[Category]],'Supplier Mapping'!$C$2:$C$11,'Supplier Mapping'!$A$2:$A$11)</f>
        <v>Maple Prairie Foods</v>
      </c>
      <c r="E9" t="str">
        <f>_xlfn.XLOOKUP(Products[[#This Row],[Supplier]],'Supplier Mapping'!$A$2:$A$11,'Supplier Mapping'!$B$2:$B$11)</f>
        <v>SUP01</v>
      </c>
      <c r="F9" s="4">
        <v>3.02</v>
      </c>
      <c r="G9" s="4">
        <v>8.99</v>
      </c>
    </row>
    <row r="10" spans="1:7">
      <c r="A10" t="s">
        <v>38</v>
      </c>
      <c r="B10" t="s">
        <v>39</v>
      </c>
      <c r="C10" t="s">
        <v>14</v>
      </c>
      <c r="D10" t="str">
        <f>_xlfn.XLOOKUP(Products[[#This Row],[Category]],'Supplier Mapping'!$C$2:$C$11,'Supplier Mapping'!$A$2:$A$11)</f>
        <v>Maple Prairie Foods</v>
      </c>
      <c r="E10" t="str">
        <f>_xlfn.XLOOKUP(Products[[#This Row],[Supplier]],'Supplier Mapping'!$A$2:$A$11,'Supplier Mapping'!$B$2:$B$11)</f>
        <v>SUP01</v>
      </c>
      <c r="F10" s="4">
        <v>3.79</v>
      </c>
      <c r="G10" s="4">
        <v>10.99</v>
      </c>
    </row>
    <row r="11" spans="1:7">
      <c r="A11" t="s">
        <v>40</v>
      </c>
      <c r="B11" t="s">
        <v>41</v>
      </c>
      <c r="C11" t="s">
        <v>14</v>
      </c>
      <c r="D11" t="str">
        <f>_xlfn.XLOOKUP(Products[[#This Row],[Category]],'Supplier Mapping'!$C$2:$C$11,'Supplier Mapping'!$A$2:$A$11)</f>
        <v>Maple Prairie Foods</v>
      </c>
      <c r="E11" t="str">
        <f>_xlfn.XLOOKUP(Products[[#This Row],[Supplier]],'Supplier Mapping'!$A$2:$A$11,'Supplier Mapping'!$B$2:$B$11)</f>
        <v>SUP01</v>
      </c>
      <c r="F11" s="4">
        <v>2.09</v>
      </c>
      <c r="G11" s="4">
        <v>6.99</v>
      </c>
    </row>
    <row r="12" spans="1:7">
      <c r="A12" t="s">
        <v>42</v>
      </c>
      <c r="B12" t="s">
        <v>43</v>
      </c>
      <c r="C12" t="s">
        <v>14</v>
      </c>
      <c r="D12" t="str">
        <f>_xlfn.XLOOKUP(Products[[#This Row],[Category]],'Supplier Mapping'!$C$2:$C$11,'Supplier Mapping'!$A$2:$A$11)</f>
        <v>Maple Prairie Foods</v>
      </c>
      <c r="E12" t="str">
        <f>_xlfn.XLOOKUP(Products[[#This Row],[Supplier]],'Supplier Mapping'!$A$2:$A$11,'Supplier Mapping'!$B$2:$B$11)</f>
        <v>SUP01</v>
      </c>
      <c r="F12" s="4">
        <v>2.92</v>
      </c>
      <c r="G12" s="4">
        <v>8.99</v>
      </c>
    </row>
    <row r="13" spans="1:7">
      <c r="A13" t="s">
        <v>44</v>
      </c>
      <c r="B13" t="s">
        <v>45</v>
      </c>
      <c r="C13" t="s">
        <v>14</v>
      </c>
      <c r="D13" t="str">
        <f>_xlfn.XLOOKUP(Products[[#This Row],[Category]],'Supplier Mapping'!$C$2:$C$11,'Supplier Mapping'!$A$2:$A$11)</f>
        <v>Maple Prairie Foods</v>
      </c>
      <c r="E13" t="str">
        <f>_xlfn.XLOOKUP(Products[[#This Row],[Supplier]],'Supplier Mapping'!$A$2:$A$11,'Supplier Mapping'!$B$2:$B$11)</f>
        <v>SUP01</v>
      </c>
      <c r="F13" s="4">
        <v>1.93</v>
      </c>
      <c r="G13" s="4">
        <v>6.49</v>
      </c>
    </row>
    <row r="14" spans="1:7">
      <c r="A14" t="s">
        <v>46</v>
      </c>
      <c r="B14" t="s">
        <v>47</v>
      </c>
      <c r="C14" t="s">
        <v>14</v>
      </c>
      <c r="D14" t="str">
        <f>_xlfn.XLOOKUP(Products[[#This Row],[Category]],'Supplier Mapping'!$C$2:$C$11,'Supplier Mapping'!$A$2:$A$11)</f>
        <v>Maple Prairie Foods</v>
      </c>
      <c r="E14" t="str">
        <f>_xlfn.XLOOKUP(Products[[#This Row],[Supplier]],'Supplier Mapping'!$A$2:$A$11,'Supplier Mapping'!$B$2:$B$11)</f>
        <v>SUP01</v>
      </c>
      <c r="F14" s="4">
        <v>2.9</v>
      </c>
      <c r="G14" s="4">
        <v>8.49</v>
      </c>
    </row>
    <row r="15" spans="1:7">
      <c r="A15" t="s">
        <v>48</v>
      </c>
      <c r="B15" t="s">
        <v>49</v>
      </c>
      <c r="C15" t="s">
        <v>14</v>
      </c>
      <c r="D15" t="str">
        <f>_xlfn.XLOOKUP(Products[[#This Row],[Category]],'Supplier Mapping'!$C$2:$C$11,'Supplier Mapping'!$A$2:$A$11)</f>
        <v>Maple Prairie Foods</v>
      </c>
      <c r="E15" t="str">
        <f>_xlfn.XLOOKUP(Products[[#This Row],[Supplier]],'Supplier Mapping'!$A$2:$A$11,'Supplier Mapping'!$B$2:$B$11)</f>
        <v>SUP01</v>
      </c>
      <c r="F15" s="4">
        <v>2.0099999999999998</v>
      </c>
      <c r="G15" s="4">
        <v>6.49</v>
      </c>
    </row>
    <row r="16" spans="1:7">
      <c r="A16" t="s">
        <v>50</v>
      </c>
      <c r="B16" t="s">
        <v>51</v>
      </c>
      <c r="C16" t="s">
        <v>14</v>
      </c>
      <c r="D16" t="str">
        <f>_xlfn.XLOOKUP(Products[[#This Row],[Category]],'Supplier Mapping'!$C$2:$C$11,'Supplier Mapping'!$A$2:$A$11)</f>
        <v>Maple Prairie Foods</v>
      </c>
      <c r="E16" t="str">
        <f>_xlfn.XLOOKUP(Products[[#This Row],[Supplier]],'Supplier Mapping'!$A$2:$A$11,'Supplier Mapping'!$B$2:$B$11)</f>
        <v>SUP01</v>
      </c>
      <c r="F16" s="4">
        <v>2.79</v>
      </c>
      <c r="G16" s="4">
        <v>8.49</v>
      </c>
    </row>
    <row r="17" spans="1:7">
      <c r="A17" t="s">
        <v>52</v>
      </c>
      <c r="B17" t="s">
        <v>53</v>
      </c>
      <c r="C17" t="s">
        <v>14</v>
      </c>
      <c r="D17" t="str">
        <f>_xlfn.XLOOKUP(Products[[#This Row],[Category]],'Supplier Mapping'!$C$2:$C$11,'Supplier Mapping'!$A$2:$A$11)</f>
        <v>Maple Prairie Foods</v>
      </c>
      <c r="E17" t="str">
        <f>_xlfn.XLOOKUP(Products[[#This Row],[Supplier]],'Supplier Mapping'!$A$2:$A$11,'Supplier Mapping'!$B$2:$B$11)</f>
        <v>SUP01</v>
      </c>
      <c r="F17" s="4">
        <v>2.0499999999999998</v>
      </c>
      <c r="G17" s="4">
        <v>6.99</v>
      </c>
    </row>
    <row r="18" spans="1:7">
      <c r="A18" t="s">
        <v>54</v>
      </c>
      <c r="B18" t="s">
        <v>55</v>
      </c>
      <c r="C18" t="s">
        <v>14</v>
      </c>
      <c r="D18" t="str">
        <f>_xlfn.XLOOKUP(Products[[#This Row],[Category]],'Supplier Mapping'!$C$2:$C$11,'Supplier Mapping'!$A$2:$A$11)</f>
        <v>Maple Prairie Foods</v>
      </c>
      <c r="E18" t="str">
        <f>_xlfn.XLOOKUP(Products[[#This Row],[Supplier]],'Supplier Mapping'!$A$2:$A$11,'Supplier Mapping'!$B$2:$B$11)</f>
        <v>SUP01</v>
      </c>
      <c r="F18" s="4">
        <v>3.05</v>
      </c>
      <c r="G18" s="4">
        <v>8.99</v>
      </c>
    </row>
    <row r="19" spans="1:7">
      <c r="A19" t="s">
        <v>56</v>
      </c>
      <c r="B19" t="s">
        <v>57</v>
      </c>
      <c r="C19" t="s">
        <v>14</v>
      </c>
      <c r="D19" t="str">
        <f>_xlfn.XLOOKUP(Products[[#This Row],[Category]],'Supplier Mapping'!$C$2:$C$11,'Supplier Mapping'!$A$2:$A$11)</f>
        <v>Maple Prairie Foods</v>
      </c>
      <c r="E19" t="str">
        <f>_xlfn.XLOOKUP(Products[[#This Row],[Supplier]],'Supplier Mapping'!$A$2:$A$11,'Supplier Mapping'!$B$2:$B$11)</f>
        <v>SUP01</v>
      </c>
      <c r="F19" s="4">
        <v>2.0299999999999998</v>
      </c>
      <c r="G19" s="4">
        <v>6.49</v>
      </c>
    </row>
    <row r="20" spans="1:7">
      <c r="A20" t="s">
        <v>58</v>
      </c>
      <c r="B20" t="s">
        <v>59</v>
      </c>
      <c r="C20" t="s">
        <v>14</v>
      </c>
      <c r="D20" t="str">
        <f>_xlfn.XLOOKUP(Products[[#This Row],[Category]],'Supplier Mapping'!$C$2:$C$11,'Supplier Mapping'!$A$2:$A$11)</f>
        <v>Maple Prairie Foods</v>
      </c>
      <c r="E20" t="str">
        <f>_xlfn.XLOOKUP(Products[[#This Row],[Supplier]],'Supplier Mapping'!$A$2:$A$11,'Supplier Mapping'!$B$2:$B$11)</f>
        <v>SUP01</v>
      </c>
      <c r="F20" s="4">
        <v>2.9</v>
      </c>
      <c r="G20" s="4">
        <v>8.49</v>
      </c>
    </row>
    <row r="21" spans="1:7">
      <c r="A21" t="s">
        <v>60</v>
      </c>
      <c r="B21" t="s">
        <v>61</v>
      </c>
      <c r="C21" t="s">
        <v>14</v>
      </c>
      <c r="D21" t="str">
        <f>_xlfn.XLOOKUP(Products[[#This Row],[Category]],'Supplier Mapping'!$C$2:$C$11,'Supplier Mapping'!$A$2:$A$11)</f>
        <v>Maple Prairie Foods</v>
      </c>
      <c r="E21" t="str">
        <f>_xlfn.XLOOKUP(Products[[#This Row],[Supplier]],'Supplier Mapping'!$A$2:$A$11,'Supplier Mapping'!$B$2:$B$11)</f>
        <v>SUP01</v>
      </c>
      <c r="F21" s="4">
        <v>2.1800000000000002</v>
      </c>
      <c r="G21" s="4">
        <v>6.99</v>
      </c>
    </row>
    <row r="22" spans="1:7">
      <c r="A22" t="s">
        <v>62</v>
      </c>
      <c r="B22" t="s">
        <v>63</v>
      </c>
      <c r="C22" t="s">
        <v>14</v>
      </c>
      <c r="D22" t="str">
        <f>_xlfn.XLOOKUP(Products[[#This Row],[Category]],'Supplier Mapping'!$C$2:$C$11,'Supplier Mapping'!$A$2:$A$11)</f>
        <v>Maple Prairie Foods</v>
      </c>
      <c r="E22" t="str">
        <f>_xlfn.XLOOKUP(Products[[#This Row],[Supplier]],'Supplier Mapping'!$A$2:$A$11,'Supplier Mapping'!$B$2:$B$11)</f>
        <v>SUP01</v>
      </c>
      <c r="F22" s="4">
        <v>3.24</v>
      </c>
      <c r="G22" s="4">
        <v>8.99</v>
      </c>
    </row>
    <row r="23" spans="1:7">
      <c r="A23" t="s">
        <v>64</v>
      </c>
      <c r="B23" t="s">
        <v>65</v>
      </c>
      <c r="C23" t="s">
        <v>14</v>
      </c>
      <c r="D23" t="str">
        <f>_xlfn.XLOOKUP(Products[[#This Row],[Category]],'Supplier Mapping'!$C$2:$C$11,'Supplier Mapping'!$A$2:$A$11)</f>
        <v>Maple Prairie Foods</v>
      </c>
      <c r="E23" t="str">
        <f>_xlfn.XLOOKUP(Products[[#This Row],[Supplier]],'Supplier Mapping'!$A$2:$A$11,'Supplier Mapping'!$B$2:$B$11)</f>
        <v>SUP01</v>
      </c>
      <c r="F23" s="4">
        <v>1.9</v>
      </c>
      <c r="G23" s="4">
        <v>6.49</v>
      </c>
    </row>
    <row r="24" spans="1:7">
      <c r="A24" t="s">
        <v>66</v>
      </c>
      <c r="B24" t="s">
        <v>67</v>
      </c>
      <c r="C24" t="s">
        <v>14</v>
      </c>
      <c r="D24" t="str">
        <f>_xlfn.XLOOKUP(Products[[#This Row],[Category]],'Supplier Mapping'!$C$2:$C$11,'Supplier Mapping'!$A$2:$A$11)</f>
        <v>Maple Prairie Foods</v>
      </c>
      <c r="E24" t="str">
        <f>_xlfn.XLOOKUP(Products[[#This Row],[Supplier]],'Supplier Mapping'!$A$2:$A$11,'Supplier Mapping'!$B$2:$B$11)</f>
        <v>SUP01</v>
      </c>
      <c r="F24" s="4">
        <v>2.97</v>
      </c>
      <c r="G24" s="4">
        <v>8.49</v>
      </c>
    </row>
    <row r="25" spans="1:7">
      <c r="A25" t="s">
        <v>68</v>
      </c>
      <c r="B25" t="s">
        <v>69</v>
      </c>
      <c r="C25" t="s">
        <v>14</v>
      </c>
      <c r="D25" t="str">
        <f>_xlfn.XLOOKUP(Products[[#This Row],[Category]],'Supplier Mapping'!$C$2:$C$11,'Supplier Mapping'!$A$2:$A$11)</f>
        <v>Maple Prairie Foods</v>
      </c>
      <c r="E25" t="str">
        <f>_xlfn.XLOOKUP(Products[[#This Row],[Supplier]],'Supplier Mapping'!$A$2:$A$11,'Supplier Mapping'!$B$2:$B$11)</f>
        <v>SUP01</v>
      </c>
      <c r="F25" s="4">
        <v>2.04</v>
      </c>
      <c r="G25" s="4">
        <v>6.99</v>
      </c>
    </row>
    <row r="26" spans="1:7">
      <c r="A26" t="s">
        <v>70</v>
      </c>
      <c r="B26" t="s">
        <v>71</v>
      </c>
      <c r="C26" t="s">
        <v>14</v>
      </c>
      <c r="D26" t="str">
        <f>_xlfn.XLOOKUP(Products[[#This Row],[Category]],'Supplier Mapping'!$C$2:$C$11,'Supplier Mapping'!$A$2:$A$11)</f>
        <v>Maple Prairie Foods</v>
      </c>
      <c r="E26" t="str">
        <f>_xlfn.XLOOKUP(Products[[#This Row],[Supplier]],'Supplier Mapping'!$A$2:$A$11,'Supplier Mapping'!$B$2:$B$11)</f>
        <v>SUP01</v>
      </c>
      <c r="F26" s="4">
        <v>2.9</v>
      </c>
      <c r="G26" s="4">
        <v>8.99</v>
      </c>
    </row>
    <row r="27" spans="1:7">
      <c r="A27" t="s">
        <v>72</v>
      </c>
      <c r="B27" t="s">
        <v>73</v>
      </c>
      <c r="C27" t="s">
        <v>14</v>
      </c>
      <c r="D27" t="str">
        <f>_xlfn.XLOOKUP(Products[[#This Row],[Category]],'Supplier Mapping'!$C$2:$C$11,'Supplier Mapping'!$A$2:$A$11)</f>
        <v>Maple Prairie Foods</v>
      </c>
      <c r="E27" t="str">
        <f>_xlfn.XLOOKUP(Products[[#This Row],[Supplier]],'Supplier Mapping'!$A$2:$A$11,'Supplier Mapping'!$B$2:$B$11)</f>
        <v>SUP01</v>
      </c>
      <c r="F27" s="4">
        <v>2.04</v>
      </c>
      <c r="G27" s="4">
        <v>6.99</v>
      </c>
    </row>
    <row r="28" spans="1:7">
      <c r="A28" t="s">
        <v>74</v>
      </c>
      <c r="B28" t="s">
        <v>75</v>
      </c>
      <c r="C28" t="s">
        <v>14</v>
      </c>
      <c r="D28" t="str">
        <f>_xlfn.XLOOKUP(Products[[#This Row],[Category]],'Supplier Mapping'!$C$2:$C$11,'Supplier Mapping'!$A$2:$A$11)</f>
        <v>Maple Prairie Foods</v>
      </c>
      <c r="E28" t="str">
        <f>_xlfn.XLOOKUP(Products[[#This Row],[Supplier]],'Supplier Mapping'!$A$2:$A$11,'Supplier Mapping'!$B$2:$B$11)</f>
        <v>SUP01</v>
      </c>
      <c r="F28" s="4">
        <v>2.97</v>
      </c>
      <c r="G28" s="4">
        <v>8.99</v>
      </c>
    </row>
    <row r="29" spans="1:7">
      <c r="A29" t="s">
        <v>76</v>
      </c>
      <c r="B29" t="s">
        <v>77</v>
      </c>
      <c r="C29" t="s">
        <v>14</v>
      </c>
      <c r="D29" t="str">
        <f>_xlfn.XLOOKUP(Products[[#This Row],[Category]],'Supplier Mapping'!$C$2:$C$11,'Supplier Mapping'!$A$2:$A$11)</f>
        <v>Maple Prairie Foods</v>
      </c>
      <c r="E29" t="str">
        <f>_xlfn.XLOOKUP(Products[[#This Row],[Supplier]],'Supplier Mapping'!$A$2:$A$11,'Supplier Mapping'!$B$2:$B$11)</f>
        <v>SUP01</v>
      </c>
      <c r="F29" s="4">
        <v>1.26</v>
      </c>
      <c r="G29" s="4">
        <v>2.99</v>
      </c>
    </row>
    <row r="30" spans="1:7">
      <c r="A30" t="s">
        <v>78</v>
      </c>
      <c r="B30" t="s">
        <v>79</v>
      </c>
      <c r="C30" t="s">
        <v>14</v>
      </c>
      <c r="D30" t="str">
        <f>_xlfn.XLOOKUP(Products[[#This Row],[Category]],'Supplier Mapping'!$C$2:$C$11,'Supplier Mapping'!$A$2:$A$11)</f>
        <v>Maple Prairie Foods</v>
      </c>
      <c r="E30" t="str">
        <f>_xlfn.XLOOKUP(Products[[#This Row],[Supplier]],'Supplier Mapping'!$A$2:$A$11,'Supplier Mapping'!$B$2:$B$11)</f>
        <v>SUP01</v>
      </c>
      <c r="F30" s="4">
        <v>1.54</v>
      </c>
      <c r="G30" s="4">
        <v>3.99</v>
      </c>
    </row>
    <row r="31" spans="1:7">
      <c r="A31" t="s">
        <v>80</v>
      </c>
      <c r="B31" t="s">
        <v>81</v>
      </c>
      <c r="C31" t="s">
        <v>14</v>
      </c>
      <c r="D31" t="str">
        <f>_xlfn.XLOOKUP(Products[[#This Row],[Category]],'Supplier Mapping'!$C$2:$C$11,'Supplier Mapping'!$A$2:$A$11)</f>
        <v>Maple Prairie Foods</v>
      </c>
      <c r="E31" t="str">
        <f>_xlfn.XLOOKUP(Products[[#This Row],[Supplier]],'Supplier Mapping'!$A$2:$A$11,'Supplier Mapping'!$B$2:$B$11)</f>
        <v>SUP01</v>
      </c>
      <c r="F31" s="4">
        <v>1.31</v>
      </c>
      <c r="G31" s="4">
        <v>2.99</v>
      </c>
    </row>
    <row r="32" spans="1:7">
      <c r="A32" t="s">
        <v>82</v>
      </c>
      <c r="B32" t="s">
        <v>83</v>
      </c>
      <c r="C32" t="s">
        <v>84</v>
      </c>
      <c r="D32" t="str">
        <f>_xlfn.XLOOKUP(Products[[#This Row],[Category]],'Supplier Mapping'!$C$2:$C$11,'Supplier Mapping'!$A$2:$A$11)</f>
        <v>Maple Prairie Foods</v>
      </c>
      <c r="E32" t="str">
        <f>_xlfn.XLOOKUP(Products[[#This Row],[Supplier]],'Supplier Mapping'!$A$2:$A$11,'Supplier Mapping'!$B$2:$B$11)</f>
        <v>SUP01</v>
      </c>
      <c r="F32" s="4">
        <v>2.0699999999999998</v>
      </c>
      <c r="G32" s="4">
        <v>6.99</v>
      </c>
    </row>
    <row r="33" spans="1:7">
      <c r="A33" t="s">
        <v>85</v>
      </c>
      <c r="B33" t="s">
        <v>86</v>
      </c>
      <c r="C33" t="s">
        <v>84</v>
      </c>
      <c r="D33" t="str">
        <f>_xlfn.XLOOKUP(Products[[#This Row],[Category]],'Supplier Mapping'!$C$2:$C$11,'Supplier Mapping'!$A$2:$A$11)</f>
        <v>Maple Prairie Foods</v>
      </c>
      <c r="E33" t="str">
        <f>_xlfn.XLOOKUP(Products[[#This Row],[Supplier]],'Supplier Mapping'!$A$2:$A$11,'Supplier Mapping'!$B$2:$B$11)</f>
        <v>SUP01</v>
      </c>
      <c r="F33" s="4">
        <v>2.13</v>
      </c>
      <c r="G33" s="4">
        <v>6.99</v>
      </c>
    </row>
    <row r="34" spans="1:7">
      <c r="A34" t="s">
        <v>87</v>
      </c>
      <c r="B34" t="s">
        <v>88</v>
      </c>
      <c r="C34" t="s">
        <v>84</v>
      </c>
      <c r="D34" t="str">
        <f>_xlfn.XLOOKUP(Products[[#This Row],[Category]],'Supplier Mapping'!$C$2:$C$11,'Supplier Mapping'!$A$2:$A$11)</f>
        <v>Maple Prairie Foods</v>
      </c>
      <c r="E34" t="str">
        <f>_xlfn.XLOOKUP(Products[[#This Row],[Supplier]],'Supplier Mapping'!$A$2:$A$11,'Supplier Mapping'!$B$2:$B$11)</f>
        <v>SUP01</v>
      </c>
      <c r="F34" s="4">
        <v>2.2599999999999998</v>
      </c>
      <c r="G34" s="4">
        <v>6.99</v>
      </c>
    </row>
    <row r="35" spans="1:7">
      <c r="A35" t="s">
        <v>89</v>
      </c>
      <c r="B35" t="s">
        <v>90</v>
      </c>
      <c r="C35" t="s">
        <v>84</v>
      </c>
      <c r="D35" t="str">
        <f>_xlfn.XLOOKUP(Products[[#This Row],[Category]],'Supplier Mapping'!$C$2:$C$11,'Supplier Mapping'!$A$2:$A$11)</f>
        <v>Maple Prairie Foods</v>
      </c>
      <c r="E35" t="str">
        <f>_xlfn.XLOOKUP(Products[[#This Row],[Supplier]],'Supplier Mapping'!$A$2:$A$11,'Supplier Mapping'!$B$2:$B$11)</f>
        <v>SUP01</v>
      </c>
      <c r="F35" s="4">
        <v>2.25</v>
      </c>
      <c r="G35" s="4">
        <v>7.49</v>
      </c>
    </row>
    <row r="36" spans="1:7">
      <c r="A36" t="s">
        <v>91</v>
      </c>
      <c r="B36" t="s">
        <v>92</v>
      </c>
      <c r="C36" t="s">
        <v>84</v>
      </c>
      <c r="D36" t="str">
        <f>_xlfn.XLOOKUP(Products[[#This Row],[Category]],'Supplier Mapping'!$C$2:$C$11,'Supplier Mapping'!$A$2:$A$11)</f>
        <v>Maple Prairie Foods</v>
      </c>
      <c r="E36" t="str">
        <f>_xlfn.XLOOKUP(Products[[#This Row],[Supplier]],'Supplier Mapping'!$A$2:$A$11,'Supplier Mapping'!$B$2:$B$11)</f>
        <v>SUP01</v>
      </c>
      <c r="F36" s="4">
        <v>2.25</v>
      </c>
      <c r="G36" s="4">
        <v>7.49</v>
      </c>
    </row>
    <row r="37" spans="1:7">
      <c r="A37" t="s">
        <v>93</v>
      </c>
      <c r="B37" t="s">
        <v>94</v>
      </c>
      <c r="C37" t="s">
        <v>84</v>
      </c>
      <c r="D37" t="str">
        <f>_xlfn.XLOOKUP(Products[[#This Row],[Category]],'Supplier Mapping'!$C$2:$C$11,'Supplier Mapping'!$A$2:$A$11)</f>
        <v>Maple Prairie Foods</v>
      </c>
      <c r="E37" t="str">
        <f>_xlfn.XLOOKUP(Products[[#This Row],[Supplier]],'Supplier Mapping'!$A$2:$A$11,'Supplier Mapping'!$B$2:$B$11)</f>
        <v>SUP01</v>
      </c>
      <c r="F37" s="4">
        <v>2.2799999999999998</v>
      </c>
      <c r="G37" s="4">
        <v>7.49</v>
      </c>
    </row>
    <row r="38" spans="1:7">
      <c r="A38" t="s">
        <v>95</v>
      </c>
      <c r="B38" t="s">
        <v>96</v>
      </c>
      <c r="C38" t="s">
        <v>84</v>
      </c>
      <c r="D38" t="str">
        <f>_xlfn.XLOOKUP(Products[[#This Row],[Category]],'Supplier Mapping'!$C$2:$C$11,'Supplier Mapping'!$A$2:$A$11)</f>
        <v>Maple Prairie Foods</v>
      </c>
      <c r="E38" t="str">
        <f>_xlfn.XLOOKUP(Products[[#This Row],[Supplier]],'Supplier Mapping'!$A$2:$A$11,'Supplier Mapping'!$B$2:$B$11)</f>
        <v>SUP01</v>
      </c>
      <c r="F38" s="4">
        <v>2.36</v>
      </c>
      <c r="G38" s="4">
        <v>7.49</v>
      </c>
    </row>
    <row r="39" spans="1:7">
      <c r="A39" t="s">
        <v>97</v>
      </c>
      <c r="B39" t="s">
        <v>98</v>
      </c>
      <c r="C39" t="s">
        <v>84</v>
      </c>
      <c r="D39" t="str">
        <f>_xlfn.XLOOKUP(Products[[#This Row],[Category]],'Supplier Mapping'!$C$2:$C$11,'Supplier Mapping'!$A$2:$A$11)</f>
        <v>Maple Prairie Foods</v>
      </c>
      <c r="E39" t="str">
        <f>_xlfn.XLOOKUP(Products[[#This Row],[Supplier]],'Supplier Mapping'!$A$2:$A$11,'Supplier Mapping'!$B$2:$B$11)</f>
        <v>SUP01</v>
      </c>
      <c r="F39" s="4">
        <v>2.04</v>
      </c>
      <c r="G39" s="4">
        <v>6.99</v>
      </c>
    </row>
    <row r="40" spans="1:7">
      <c r="A40" t="s">
        <v>99</v>
      </c>
      <c r="B40" t="s">
        <v>100</v>
      </c>
      <c r="C40" t="s">
        <v>84</v>
      </c>
      <c r="D40" t="str">
        <f>_xlfn.XLOOKUP(Products[[#This Row],[Category]],'Supplier Mapping'!$C$2:$C$11,'Supplier Mapping'!$A$2:$A$11)</f>
        <v>Maple Prairie Foods</v>
      </c>
      <c r="E40" t="str">
        <f>_xlfn.XLOOKUP(Products[[#This Row],[Supplier]],'Supplier Mapping'!$A$2:$A$11,'Supplier Mapping'!$B$2:$B$11)</f>
        <v>SUP01</v>
      </c>
      <c r="F40" s="4">
        <v>2.4300000000000002</v>
      </c>
      <c r="G40" s="4">
        <v>7.99</v>
      </c>
    </row>
    <row r="41" spans="1:7">
      <c r="A41" t="s">
        <v>101</v>
      </c>
      <c r="B41" t="s">
        <v>102</v>
      </c>
      <c r="C41" t="s">
        <v>84</v>
      </c>
      <c r="D41" t="str">
        <f>_xlfn.XLOOKUP(Products[[#This Row],[Category]],'Supplier Mapping'!$C$2:$C$11,'Supplier Mapping'!$A$2:$A$11)</f>
        <v>Maple Prairie Foods</v>
      </c>
      <c r="E41" t="str">
        <f>_xlfn.XLOOKUP(Products[[#This Row],[Supplier]],'Supplier Mapping'!$A$2:$A$11,'Supplier Mapping'!$B$2:$B$11)</f>
        <v>SUP01</v>
      </c>
      <c r="F41" s="4">
        <v>2.59</v>
      </c>
      <c r="G41" s="4">
        <v>7.99</v>
      </c>
    </row>
    <row r="42" spans="1:7">
      <c r="A42" t="s">
        <v>103</v>
      </c>
      <c r="B42" t="s">
        <v>104</v>
      </c>
      <c r="C42" t="s">
        <v>84</v>
      </c>
      <c r="D42" t="str">
        <f>_xlfn.XLOOKUP(Products[[#This Row],[Category]],'Supplier Mapping'!$C$2:$C$11,'Supplier Mapping'!$A$2:$A$11)</f>
        <v>Maple Prairie Foods</v>
      </c>
      <c r="E42" t="str">
        <f>_xlfn.XLOOKUP(Products[[#This Row],[Supplier]],'Supplier Mapping'!$A$2:$A$11,'Supplier Mapping'!$B$2:$B$11)</f>
        <v>SUP01</v>
      </c>
      <c r="F42" s="4">
        <v>2.66</v>
      </c>
      <c r="G42" s="4">
        <v>7.99</v>
      </c>
    </row>
    <row r="43" spans="1:7">
      <c r="A43" t="s">
        <v>105</v>
      </c>
      <c r="B43" t="s">
        <v>106</v>
      </c>
      <c r="C43" t="s">
        <v>84</v>
      </c>
      <c r="D43" t="str">
        <f>_xlfn.XLOOKUP(Products[[#This Row],[Category]],'Supplier Mapping'!$C$2:$C$11,'Supplier Mapping'!$A$2:$A$11)</f>
        <v>Maple Prairie Foods</v>
      </c>
      <c r="E43" t="str">
        <f>_xlfn.XLOOKUP(Products[[#This Row],[Supplier]],'Supplier Mapping'!$A$2:$A$11,'Supplier Mapping'!$B$2:$B$11)</f>
        <v>SUP01</v>
      </c>
      <c r="F43" s="4">
        <v>1.36</v>
      </c>
      <c r="G43" s="4">
        <v>4.99</v>
      </c>
    </row>
    <row r="44" spans="1:7">
      <c r="A44" t="s">
        <v>107</v>
      </c>
      <c r="B44" t="s">
        <v>108</v>
      </c>
      <c r="C44" t="s">
        <v>84</v>
      </c>
      <c r="D44" t="str">
        <f>_xlfn.XLOOKUP(Products[[#This Row],[Category]],'Supplier Mapping'!$C$2:$C$11,'Supplier Mapping'!$A$2:$A$11)</f>
        <v>Maple Prairie Foods</v>
      </c>
      <c r="E44" t="str">
        <f>_xlfn.XLOOKUP(Products[[#This Row],[Supplier]],'Supplier Mapping'!$A$2:$A$11,'Supplier Mapping'!$B$2:$B$11)</f>
        <v>SUP01</v>
      </c>
      <c r="F44" s="4">
        <v>1.41</v>
      </c>
      <c r="G44" s="4">
        <v>5.99</v>
      </c>
    </row>
    <row r="45" spans="1:7">
      <c r="A45" t="s">
        <v>109</v>
      </c>
      <c r="B45" t="s">
        <v>110</v>
      </c>
      <c r="C45" t="s">
        <v>84</v>
      </c>
      <c r="D45" t="str">
        <f>_xlfn.XLOOKUP(Products[[#This Row],[Category]],'Supplier Mapping'!$C$2:$C$11,'Supplier Mapping'!$A$2:$A$11)</f>
        <v>Maple Prairie Foods</v>
      </c>
      <c r="E45" t="str">
        <f>_xlfn.XLOOKUP(Products[[#This Row],[Supplier]],'Supplier Mapping'!$A$2:$A$11,'Supplier Mapping'!$B$2:$B$11)</f>
        <v>SUP01</v>
      </c>
      <c r="F45" s="4">
        <v>1.52</v>
      </c>
      <c r="G45" s="4">
        <v>5.99</v>
      </c>
    </row>
    <row r="46" spans="1:7">
      <c r="A46" t="s">
        <v>111</v>
      </c>
      <c r="B46" t="s">
        <v>112</v>
      </c>
      <c r="C46" t="s">
        <v>84</v>
      </c>
      <c r="D46" t="str">
        <f>_xlfn.XLOOKUP(Products[[#This Row],[Category]],'Supplier Mapping'!$C$2:$C$11,'Supplier Mapping'!$A$2:$A$11)</f>
        <v>Maple Prairie Foods</v>
      </c>
      <c r="E46" t="str">
        <f>_xlfn.XLOOKUP(Products[[#This Row],[Supplier]],'Supplier Mapping'!$A$2:$A$11,'Supplier Mapping'!$B$2:$B$11)</f>
        <v>SUP01</v>
      </c>
      <c r="F46" s="4">
        <v>1.47</v>
      </c>
      <c r="G46" s="4">
        <v>5.99</v>
      </c>
    </row>
    <row r="47" spans="1:7">
      <c r="A47" t="s">
        <v>113</v>
      </c>
      <c r="B47" t="s">
        <v>114</v>
      </c>
      <c r="C47" t="s">
        <v>84</v>
      </c>
      <c r="D47" t="str">
        <f>_xlfn.XLOOKUP(Products[[#This Row],[Category]],'Supplier Mapping'!$C$2:$C$11,'Supplier Mapping'!$A$2:$A$11)</f>
        <v>Maple Prairie Foods</v>
      </c>
      <c r="E47" t="str">
        <f>_xlfn.XLOOKUP(Products[[#This Row],[Supplier]],'Supplier Mapping'!$A$2:$A$11,'Supplier Mapping'!$B$2:$B$11)</f>
        <v>SUP01</v>
      </c>
      <c r="F47" s="4">
        <v>1.51</v>
      </c>
      <c r="G47" s="4">
        <v>5.99</v>
      </c>
    </row>
    <row r="48" spans="1:7">
      <c r="A48" t="s">
        <v>115</v>
      </c>
      <c r="B48" t="s">
        <v>116</v>
      </c>
      <c r="C48" t="s">
        <v>84</v>
      </c>
      <c r="D48" t="str">
        <f>_xlfn.XLOOKUP(Products[[#This Row],[Category]],'Supplier Mapping'!$C$2:$C$11,'Supplier Mapping'!$A$2:$A$11)</f>
        <v>Maple Prairie Foods</v>
      </c>
      <c r="E48" t="str">
        <f>_xlfn.XLOOKUP(Products[[#This Row],[Supplier]],'Supplier Mapping'!$A$2:$A$11,'Supplier Mapping'!$B$2:$B$11)</f>
        <v>SUP01</v>
      </c>
      <c r="F48" s="4">
        <v>0.88</v>
      </c>
      <c r="G48" s="4">
        <v>2.99</v>
      </c>
    </row>
    <row r="49" spans="1:7">
      <c r="A49" t="s">
        <v>117</v>
      </c>
      <c r="B49" t="s">
        <v>118</v>
      </c>
      <c r="C49" t="s">
        <v>84</v>
      </c>
      <c r="D49" t="str">
        <f>_xlfn.XLOOKUP(Products[[#This Row],[Category]],'Supplier Mapping'!$C$2:$C$11,'Supplier Mapping'!$A$2:$A$11)</f>
        <v>Maple Prairie Foods</v>
      </c>
      <c r="E49" t="str">
        <f>_xlfn.XLOOKUP(Products[[#This Row],[Supplier]],'Supplier Mapping'!$A$2:$A$11,'Supplier Mapping'!$B$2:$B$11)</f>
        <v>SUP01</v>
      </c>
      <c r="F49" s="4">
        <v>1.24</v>
      </c>
      <c r="G49" s="4">
        <v>4.99</v>
      </c>
    </row>
    <row r="50" spans="1:7">
      <c r="A50" t="s">
        <v>119</v>
      </c>
      <c r="B50" t="s">
        <v>120</v>
      </c>
      <c r="C50" t="s">
        <v>84</v>
      </c>
      <c r="D50" t="str">
        <f>_xlfn.XLOOKUP(Products[[#This Row],[Category]],'Supplier Mapping'!$C$2:$C$11,'Supplier Mapping'!$A$2:$A$11)</f>
        <v>Maple Prairie Foods</v>
      </c>
      <c r="E50" t="str">
        <f>_xlfn.XLOOKUP(Products[[#This Row],[Supplier]],'Supplier Mapping'!$A$2:$A$11,'Supplier Mapping'!$B$2:$B$11)</f>
        <v>SUP01</v>
      </c>
      <c r="F50" s="4">
        <v>1.87</v>
      </c>
      <c r="G50" s="4">
        <v>6.99</v>
      </c>
    </row>
    <row r="51" spans="1:7">
      <c r="A51" t="s">
        <v>121</v>
      </c>
      <c r="B51" t="s">
        <v>122</v>
      </c>
      <c r="C51" t="s">
        <v>84</v>
      </c>
      <c r="D51" t="str">
        <f>_xlfn.XLOOKUP(Products[[#This Row],[Category]],'Supplier Mapping'!$C$2:$C$11,'Supplier Mapping'!$A$2:$A$11)</f>
        <v>Maple Prairie Foods</v>
      </c>
      <c r="E51" t="str">
        <f>_xlfn.XLOOKUP(Products[[#This Row],[Supplier]],'Supplier Mapping'!$A$2:$A$11,'Supplier Mapping'!$B$2:$B$11)</f>
        <v>SUP01</v>
      </c>
      <c r="F51" s="4">
        <v>3.38</v>
      </c>
      <c r="G51" s="4">
        <v>11.99</v>
      </c>
    </row>
    <row r="52" spans="1:7">
      <c r="A52" t="s">
        <v>123</v>
      </c>
      <c r="B52" t="s">
        <v>124</v>
      </c>
      <c r="C52" t="s">
        <v>84</v>
      </c>
      <c r="D52" t="str">
        <f>_xlfn.XLOOKUP(Products[[#This Row],[Category]],'Supplier Mapping'!$C$2:$C$11,'Supplier Mapping'!$A$2:$A$11)</f>
        <v>Maple Prairie Foods</v>
      </c>
      <c r="E52" t="str">
        <f>_xlfn.XLOOKUP(Products[[#This Row],[Supplier]],'Supplier Mapping'!$A$2:$A$11,'Supplier Mapping'!$B$2:$B$11)</f>
        <v>SUP01</v>
      </c>
      <c r="F52" s="4">
        <v>0.98</v>
      </c>
      <c r="G52" s="4">
        <v>2.99</v>
      </c>
    </row>
    <row r="53" spans="1:7">
      <c r="A53" t="s">
        <v>125</v>
      </c>
      <c r="B53" t="s">
        <v>126</v>
      </c>
      <c r="C53" t="s">
        <v>84</v>
      </c>
      <c r="D53" t="str">
        <f>_xlfn.XLOOKUP(Products[[#This Row],[Category]],'Supplier Mapping'!$C$2:$C$11,'Supplier Mapping'!$A$2:$A$11)</f>
        <v>Maple Prairie Foods</v>
      </c>
      <c r="E53" t="str">
        <f>_xlfn.XLOOKUP(Products[[#This Row],[Supplier]],'Supplier Mapping'!$A$2:$A$11,'Supplier Mapping'!$B$2:$B$11)</f>
        <v>SUP01</v>
      </c>
      <c r="F53" s="4">
        <v>1.22</v>
      </c>
      <c r="G53" s="4">
        <v>4.99</v>
      </c>
    </row>
    <row r="54" spans="1:7">
      <c r="A54" t="s">
        <v>127</v>
      </c>
      <c r="B54" t="s">
        <v>128</v>
      </c>
      <c r="C54" t="s">
        <v>84</v>
      </c>
      <c r="D54" t="str">
        <f>_xlfn.XLOOKUP(Products[[#This Row],[Category]],'Supplier Mapping'!$C$2:$C$11,'Supplier Mapping'!$A$2:$A$11)</f>
        <v>Maple Prairie Foods</v>
      </c>
      <c r="E54" t="str">
        <f>_xlfn.XLOOKUP(Products[[#This Row],[Supplier]],'Supplier Mapping'!$A$2:$A$11,'Supplier Mapping'!$B$2:$B$11)</f>
        <v>SUP01</v>
      </c>
      <c r="F54" s="4">
        <v>1.89</v>
      </c>
      <c r="G54" s="4">
        <v>6.99</v>
      </c>
    </row>
    <row r="55" spans="1:7">
      <c r="A55" t="s">
        <v>129</v>
      </c>
      <c r="B55" t="s">
        <v>130</v>
      </c>
      <c r="C55" t="s">
        <v>84</v>
      </c>
      <c r="D55" t="str">
        <f>_xlfn.XLOOKUP(Products[[#This Row],[Category]],'Supplier Mapping'!$C$2:$C$11,'Supplier Mapping'!$A$2:$A$11)</f>
        <v>Maple Prairie Foods</v>
      </c>
      <c r="E55" t="str">
        <f>_xlfn.XLOOKUP(Products[[#This Row],[Supplier]],'Supplier Mapping'!$A$2:$A$11,'Supplier Mapping'!$B$2:$B$11)</f>
        <v>SUP01</v>
      </c>
      <c r="F55" s="4">
        <v>3.57</v>
      </c>
      <c r="G55" s="4">
        <v>11.99</v>
      </c>
    </row>
    <row r="56" spans="1:7">
      <c r="A56" t="s">
        <v>131</v>
      </c>
      <c r="B56" t="s">
        <v>132</v>
      </c>
      <c r="C56" t="s">
        <v>84</v>
      </c>
      <c r="D56" t="str">
        <f>_xlfn.XLOOKUP(Products[[#This Row],[Category]],'Supplier Mapping'!$C$2:$C$11,'Supplier Mapping'!$A$2:$A$11)</f>
        <v>Maple Prairie Foods</v>
      </c>
      <c r="E56" t="str">
        <f>_xlfn.XLOOKUP(Products[[#This Row],[Supplier]],'Supplier Mapping'!$A$2:$A$11,'Supplier Mapping'!$B$2:$B$11)</f>
        <v>SUP01</v>
      </c>
      <c r="F56" s="4">
        <v>2.67</v>
      </c>
      <c r="G56" s="4">
        <v>8.99</v>
      </c>
    </row>
    <row r="57" spans="1:7">
      <c r="A57" t="s">
        <v>133</v>
      </c>
      <c r="B57" t="s">
        <v>134</v>
      </c>
      <c r="C57" t="s">
        <v>3</v>
      </c>
      <c r="D57" t="str">
        <f>_xlfn.XLOOKUP(Products[[#This Row],[Category]],'Supplier Mapping'!$C$2:$C$11,'Supplier Mapping'!$A$2:$A$11)</f>
        <v>MorningStar Foodservice</v>
      </c>
      <c r="E57" t="str">
        <f>_xlfn.XLOOKUP(Products[[#This Row],[Supplier]],'Supplier Mapping'!$A$2:$A$11,'Supplier Mapping'!$B$2:$B$11)</f>
        <v>SUP02</v>
      </c>
      <c r="F57" s="4">
        <v>1.24</v>
      </c>
      <c r="G57" s="4">
        <v>4.99</v>
      </c>
    </row>
    <row r="58" spans="1:7">
      <c r="A58" t="s">
        <v>135</v>
      </c>
      <c r="B58" t="s">
        <v>136</v>
      </c>
      <c r="C58" t="s">
        <v>3</v>
      </c>
      <c r="D58" t="str">
        <f>_xlfn.XLOOKUP(Products[[#This Row],[Category]],'Supplier Mapping'!$C$2:$C$11,'Supplier Mapping'!$A$2:$A$11)</f>
        <v>MorningStar Foodservice</v>
      </c>
      <c r="E58" t="str">
        <f>_xlfn.XLOOKUP(Products[[#This Row],[Supplier]],'Supplier Mapping'!$A$2:$A$11,'Supplier Mapping'!$B$2:$B$11)</f>
        <v>SUP02</v>
      </c>
      <c r="F58" s="4">
        <v>1.19</v>
      </c>
      <c r="G58" s="4">
        <v>4.99</v>
      </c>
    </row>
    <row r="59" spans="1:7">
      <c r="A59" t="s">
        <v>137</v>
      </c>
      <c r="B59" t="s">
        <v>138</v>
      </c>
      <c r="C59" t="s">
        <v>3</v>
      </c>
      <c r="D59" t="str">
        <f>_xlfn.XLOOKUP(Products[[#This Row],[Category]],'Supplier Mapping'!$C$2:$C$11,'Supplier Mapping'!$A$2:$A$11)</f>
        <v>MorningStar Foodservice</v>
      </c>
      <c r="E59" t="str">
        <f>_xlfn.XLOOKUP(Products[[#This Row],[Supplier]],'Supplier Mapping'!$A$2:$A$11,'Supplier Mapping'!$B$2:$B$11)</f>
        <v>SUP02</v>
      </c>
      <c r="F59" s="4">
        <v>1.26</v>
      </c>
      <c r="G59" s="4">
        <v>4.99</v>
      </c>
    </row>
    <row r="60" spans="1:7">
      <c r="A60" t="s">
        <v>139</v>
      </c>
      <c r="B60" t="s">
        <v>140</v>
      </c>
      <c r="C60" t="s">
        <v>3</v>
      </c>
      <c r="D60" t="str">
        <f>_xlfn.XLOOKUP(Products[[#This Row],[Category]],'Supplier Mapping'!$C$2:$C$11,'Supplier Mapping'!$A$2:$A$11)</f>
        <v>MorningStar Foodservice</v>
      </c>
      <c r="E60" t="str">
        <f>_xlfn.XLOOKUP(Products[[#This Row],[Supplier]],'Supplier Mapping'!$A$2:$A$11,'Supplier Mapping'!$B$2:$B$11)</f>
        <v>SUP02</v>
      </c>
      <c r="F60" s="4">
        <v>1.6</v>
      </c>
      <c r="G60" s="4">
        <v>4.99</v>
      </c>
    </row>
    <row r="61" spans="1:7">
      <c r="A61" t="s">
        <v>141</v>
      </c>
      <c r="B61" t="s">
        <v>142</v>
      </c>
      <c r="C61" t="s">
        <v>3</v>
      </c>
      <c r="D61" t="str">
        <f>_xlfn.XLOOKUP(Products[[#This Row],[Category]],'Supplier Mapping'!$C$2:$C$11,'Supplier Mapping'!$A$2:$A$11)</f>
        <v>MorningStar Foodservice</v>
      </c>
      <c r="E61" t="str">
        <f>_xlfn.XLOOKUP(Products[[#This Row],[Supplier]],'Supplier Mapping'!$A$2:$A$11,'Supplier Mapping'!$B$2:$B$11)</f>
        <v>SUP02</v>
      </c>
      <c r="F61" s="4">
        <v>1.46</v>
      </c>
      <c r="G61" s="4">
        <v>4.99</v>
      </c>
    </row>
    <row r="62" spans="1:7">
      <c r="A62" t="s">
        <v>143</v>
      </c>
      <c r="B62" t="s">
        <v>144</v>
      </c>
      <c r="C62" t="s">
        <v>3</v>
      </c>
      <c r="D62" t="str">
        <f>_xlfn.XLOOKUP(Products[[#This Row],[Category]],'Supplier Mapping'!$C$2:$C$11,'Supplier Mapping'!$A$2:$A$11)</f>
        <v>MorningStar Foodservice</v>
      </c>
      <c r="E62" t="str">
        <f>_xlfn.XLOOKUP(Products[[#This Row],[Supplier]],'Supplier Mapping'!$A$2:$A$11,'Supplier Mapping'!$B$2:$B$11)</f>
        <v>SUP02</v>
      </c>
      <c r="F62" s="4">
        <v>1.49</v>
      </c>
      <c r="G62" s="4">
        <v>4.99</v>
      </c>
    </row>
    <row r="63" spans="1:7">
      <c r="A63" t="s">
        <v>145</v>
      </c>
      <c r="B63" t="s">
        <v>146</v>
      </c>
      <c r="C63" t="s">
        <v>3</v>
      </c>
      <c r="D63" t="str">
        <f>_xlfn.XLOOKUP(Products[[#This Row],[Category]],'Supplier Mapping'!$C$2:$C$11,'Supplier Mapping'!$A$2:$A$11)</f>
        <v>MorningStar Foodservice</v>
      </c>
      <c r="E63" t="str">
        <f>_xlfn.XLOOKUP(Products[[#This Row],[Supplier]],'Supplier Mapping'!$A$2:$A$11,'Supplier Mapping'!$B$2:$B$11)</f>
        <v>SUP02</v>
      </c>
      <c r="F63" s="4">
        <v>1.33</v>
      </c>
      <c r="G63" s="4">
        <v>4.99</v>
      </c>
    </row>
    <row r="64" spans="1:7">
      <c r="A64" t="s">
        <v>147</v>
      </c>
      <c r="B64" t="s">
        <v>148</v>
      </c>
      <c r="C64" t="s">
        <v>3</v>
      </c>
      <c r="D64" t="str">
        <f>_xlfn.XLOOKUP(Products[[#This Row],[Category]],'Supplier Mapping'!$C$2:$C$11,'Supplier Mapping'!$A$2:$A$11)</f>
        <v>MorningStar Foodservice</v>
      </c>
      <c r="E64" t="str">
        <f>_xlfn.XLOOKUP(Products[[#This Row],[Supplier]],'Supplier Mapping'!$A$2:$A$11,'Supplier Mapping'!$B$2:$B$11)</f>
        <v>SUP02</v>
      </c>
      <c r="F64" s="4">
        <v>1.37</v>
      </c>
      <c r="G64" s="4">
        <v>4.99</v>
      </c>
    </row>
    <row r="65" spans="1:7">
      <c r="A65" t="s">
        <v>149</v>
      </c>
      <c r="B65" t="s">
        <v>150</v>
      </c>
      <c r="C65" t="s">
        <v>3</v>
      </c>
      <c r="D65" t="str">
        <f>_xlfn.XLOOKUP(Products[[#This Row],[Category]],'Supplier Mapping'!$C$2:$C$11,'Supplier Mapping'!$A$2:$A$11)</f>
        <v>MorningStar Foodservice</v>
      </c>
      <c r="E65" t="str">
        <f>_xlfn.XLOOKUP(Products[[#This Row],[Supplier]],'Supplier Mapping'!$A$2:$A$11,'Supplier Mapping'!$B$2:$B$11)</f>
        <v>SUP02</v>
      </c>
      <c r="F65" s="4">
        <v>1.55</v>
      </c>
      <c r="G65" s="4">
        <v>5.99</v>
      </c>
    </row>
    <row r="66" spans="1:7">
      <c r="A66" t="s">
        <v>151</v>
      </c>
      <c r="B66" t="s">
        <v>152</v>
      </c>
      <c r="C66" t="s">
        <v>3</v>
      </c>
      <c r="D66" t="str">
        <f>_xlfn.XLOOKUP(Products[[#This Row],[Category]],'Supplier Mapping'!$C$2:$C$11,'Supplier Mapping'!$A$2:$A$11)</f>
        <v>MorningStar Foodservice</v>
      </c>
      <c r="E66" t="str">
        <f>_xlfn.XLOOKUP(Products[[#This Row],[Supplier]],'Supplier Mapping'!$A$2:$A$11,'Supplier Mapping'!$B$2:$B$11)</f>
        <v>SUP02</v>
      </c>
      <c r="F66" s="4">
        <v>1.55</v>
      </c>
      <c r="G66" s="4">
        <v>5.99</v>
      </c>
    </row>
    <row r="67" spans="1:7">
      <c r="A67" t="s">
        <v>153</v>
      </c>
      <c r="B67" t="s">
        <v>154</v>
      </c>
      <c r="C67" t="s">
        <v>3</v>
      </c>
      <c r="D67" t="str">
        <f>_xlfn.XLOOKUP(Products[[#This Row],[Category]],'Supplier Mapping'!$C$2:$C$11,'Supplier Mapping'!$A$2:$A$11)</f>
        <v>MorningStar Foodservice</v>
      </c>
      <c r="E67" t="str">
        <f>_xlfn.XLOOKUP(Products[[#This Row],[Supplier]],'Supplier Mapping'!$A$2:$A$11,'Supplier Mapping'!$B$2:$B$11)</f>
        <v>SUP02</v>
      </c>
      <c r="F67" s="4">
        <v>1.38</v>
      </c>
      <c r="G67" s="4">
        <v>4.99</v>
      </c>
    </row>
    <row r="68" spans="1:7">
      <c r="A68" t="s">
        <v>155</v>
      </c>
      <c r="B68" t="s">
        <v>156</v>
      </c>
      <c r="C68" t="s">
        <v>3</v>
      </c>
      <c r="D68" t="str">
        <f>_xlfn.XLOOKUP(Products[[#This Row],[Category]],'Supplier Mapping'!$C$2:$C$11,'Supplier Mapping'!$A$2:$A$11)</f>
        <v>MorningStar Foodservice</v>
      </c>
      <c r="E68" t="str">
        <f>_xlfn.XLOOKUP(Products[[#This Row],[Supplier]],'Supplier Mapping'!$A$2:$A$11,'Supplier Mapping'!$B$2:$B$11)</f>
        <v>SUP02</v>
      </c>
      <c r="F68" s="4">
        <v>1.42</v>
      </c>
      <c r="G68" s="4">
        <v>4.99</v>
      </c>
    </row>
    <row r="69" spans="1:7">
      <c r="A69" t="s">
        <v>157</v>
      </c>
      <c r="B69" t="s">
        <v>158</v>
      </c>
      <c r="C69" t="s">
        <v>3</v>
      </c>
      <c r="D69" t="str">
        <f>_xlfn.XLOOKUP(Products[[#This Row],[Category]],'Supplier Mapping'!$C$2:$C$11,'Supplier Mapping'!$A$2:$A$11)</f>
        <v>MorningStar Foodservice</v>
      </c>
      <c r="E69" t="str">
        <f>_xlfn.XLOOKUP(Products[[#This Row],[Supplier]],'Supplier Mapping'!$A$2:$A$11,'Supplier Mapping'!$B$2:$B$11)</f>
        <v>SUP02</v>
      </c>
      <c r="F69" s="4">
        <v>1.22</v>
      </c>
      <c r="G69" s="4">
        <v>4.99</v>
      </c>
    </row>
    <row r="70" spans="1:7">
      <c r="A70" t="s">
        <v>159</v>
      </c>
      <c r="B70" t="s">
        <v>160</v>
      </c>
      <c r="C70" t="s">
        <v>3</v>
      </c>
      <c r="D70" t="str">
        <f>_xlfn.XLOOKUP(Products[[#This Row],[Category]],'Supplier Mapping'!$C$2:$C$11,'Supplier Mapping'!$A$2:$A$11)</f>
        <v>MorningStar Foodservice</v>
      </c>
      <c r="E70" t="str">
        <f>_xlfn.XLOOKUP(Products[[#This Row],[Supplier]],'Supplier Mapping'!$A$2:$A$11,'Supplier Mapping'!$B$2:$B$11)</f>
        <v>SUP02</v>
      </c>
      <c r="F70" s="4">
        <v>0.46</v>
      </c>
      <c r="G70" s="4">
        <v>2.4900000000000002</v>
      </c>
    </row>
    <row r="71" spans="1:7">
      <c r="A71" t="s">
        <v>161</v>
      </c>
      <c r="B71" t="s">
        <v>162</v>
      </c>
      <c r="C71" t="s">
        <v>3</v>
      </c>
      <c r="D71" t="str">
        <f>_xlfn.XLOOKUP(Products[[#This Row],[Category]],'Supplier Mapping'!$C$2:$C$11,'Supplier Mapping'!$A$2:$A$11)</f>
        <v>MorningStar Foodservice</v>
      </c>
      <c r="E71" t="str">
        <f>_xlfn.XLOOKUP(Products[[#This Row],[Supplier]],'Supplier Mapping'!$A$2:$A$11,'Supplier Mapping'!$B$2:$B$11)</f>
        <v>SUP02</v>
      </c>
      <c r="F71" s="4">
        <v>0.65</v>
      </c>
      <c r="G71" s="4">
        <v>2.99</v>
      </c>
    </row>
    <row r="72" spans="1:7">
      <c r="A72" t="s">
        <v>163</v>
      </c>
      <c r="B72" t="s">
        <v>164</v>
      </c>
      <c r="C72" t="s">
        <v>3</v>
      </c>
      <c r="D72" t="str">
        <f>_xlfn.XLOOKUP(Products[[#This Row],[Category]],'Supplier Mapping'!$C$2:$C$11,'Supplier Mapping'!$A$2:$A$11)</f>
        <v>MorningStar Foodservice</v>
      </c>
      <c r="E72" t="str">
        <f>_xlfn.XLOOKUP(Products[[#This Row],[Supplier]],'Supplier Mapping'!$A$2:$A$11,'Supplier Mapping'!$B$2:$B$11)</f>
        <v>SUP02</v>
      </c>
      <c r="F72" s="4">
        <v>0.79</v>
      </c>
      <c r="G72" s="4">
        <v>3.99</v>
      </c>
    </row>
    <row r="73" spans="1:7">
      <c r="A73" t="s">
        <v>165</v>
      </c>
      <c r="B73" t="s">
        <v>166</v>
      </c>
      <c r="C73" t="s">
        <v>3</v>
      </c>
      <c r="D73" t="str">
        <f>_xlfn.XLOOKUP(Products[[#This Row],[Category]],'Supplier Mapping'!$C$2:$C$11,'Supplier Mapping'!$A$2:$A$11)</f>
        <v>MorningStar Foodservice</v>
      </c>
      <c r="E73" t="str">
        <f>_xlfn.XLOOKUP(Products[[#This Row],[Supplier]],'Supplier Mapping'!$A$2:$A$11,'Supplier Mapping'!$B$2:$B$11)</f>
        <v>SUP02</v>
      </c>
      <c r="F73" s="4">
        <v>0.79</v>
      </c>
      <c r="G73" s="4">
        <v>3.99</v>
      </c>
    </row>
    <row r="74" spans="1:7">
      <c r="A74" t="s">
        <v>167</v>
      </c>
      <c r="B74" t="s">
        <v>168</v>
      </c>
      <c r="C74" t="s">
        <v>3</v>
      </c>
      <c r="D74" t="str">
        <f>_xlfn.XLOOKUP(Products[[#This Row],[Category]],'Supplier Mapping'!$C$2:$C$11,'Supplier Mapping'!$A$2:$A$11)</f>
        <v>MorningStar Foodservice</v>
      </c>
      <c r="E74" t="str">
        <f>_xlfn.XLOOKUP(Products[[#This Row],[Supplier]],'Supplier Mapping'!$A$2:$A$11,'Supplier Mapping'!$B$2:$B$11)</f>
        <v>SUP02</v>
      </c>
      <c r="F74" s="4">
        <v>1.06</v>
      </c>
      <c r="G74" s="4">
        <v>4.99</v>
      </c>
    </row>
    <row r="75" spans="1:7">
      <c r="A75" t="s">
        <v>169</v>
      </c>
      <c r="B75" t="s">
        <v>170</v>
      </c>
      <c r="C75" t="s">
        <v>3</v>
      </c>
      <c r="D75" t="str">
        <f>_xlfn.XLOOKUP(Products[[#This Row],[Category]],'Supplier Mapping'!$C$2:$C$11,'Supplier Mapping'!$A$2:$A$11)</f>
        <v>MorningStar Foodservice</v>
      </c>
      <c r="E75" t="str">
        <f>_xlfn.XLOOKUP(Products[[#This Row],[Supplier]],'Supplier Mapping'!$A$2:$A$11,'Supplier Mapping'!$B$2:$B$11)</f>
        <v>SUP02</v>
      </c>
      <c r="F75" s="4">
        <v>0.64</v>
      </c>
      <c r="G75" s="4">
        <v>2.99</v>
      </c>
    </row>
    <row r="76" spans="1:7">
      <c r="A76" t="s">
        <v>171</v>
      </c>
      <c r="B76" t="s">
        <v>172</v>
      </c>
      <c r="C76" t="s">
        <v>3</v>
      </c>
      <c r="D76" t="str">
        <f>_xlfn.XLOOKUP(Products[[#This Row],[Category]],'Supplier Mapping'!$C$2:$C$11,'Supplier Mapping'!$A$2:$A$11)</f>
        <v>MorningStar Foodservice</v>
      </c>
      <c r="E76" t="str">
        <f>_xlfn.XLOOKUP(Products[[#This Row],[Supplier]],'Supplier Mapping'!$A$2:$A$11,'Supplier Mapping'!$B$2:$B$11)</f>
        <v>SUP02</v>
      </c>
      <c r="F76" s="4">
        <v>1.1100000000000001</v>
      </c>
      <c r="G76" s="4">
        <v>3.99</v>
      </c>
    </row>
    <row r="77" spans="1:7">
      <c r="A77" t="s">
        <v>173</v>
      </c>
      <c r="B77" t="s">
        <v>174</v>
      </c>
      <c r="C77" t="s">
        <v>3</v>
      </c>
      <c r="D77" t="str">
        <f>_xlfn.XLOOKUP(Products[[#This Row],[Category]],'Supplier Mapping'!$C$2:$C$11,'Supplier Mapping'!$A$2:$A$11)</f>
        <v>MorningStar Foodservice</v>
      </c>
      <c r="E77" t="str">
        <f>_xlfn.XLOOKUP(Products[[#This Row],[Supplier]],'Supplier Mapping'!$A$2:$A$11,'Supplier Mapping'!$B$2:$B$11)</f>
        <v>SUP02</v>
      </c>
      <c r="F77" s="4">
        <v>2.06</v>
      </c>
      <c r="G77" s="4">
        <v>6.99</v>
      </c>
    </row>
    <row r="78" spans="1:7">
      <c r="A78" t="s">
        <v>175</v>
      </c>
      <c r="B78" t="s">
        <v>176</v>
      </c>
      <c r="C78" t="s">
        <v>3</v>
      </c>
      <c r="D78" t="str">
        <f>_xlfn.XLOOKUP(Products[[#This Row],[Category]],'Supplier Mapping'!$C$2:$C$11,'Supplier Mapping'!$A$2:$A$11)</f>
        <v>MorningStar Foodservice</v>
      </c>
      <c r="E78" t="str">
        <f>_xlfn.XLOOKUP(Products[[#This Row],[Supplier]],'Supplier Mapping'!$A$2:$A$11,'Supplier Mapping'!$B$2:$B$11)</f>
        <v>SUP02</v>
      </c>
      <c r="F78" s="4">
        <v>2.08</v>
      </c>
      <c r="G78" s="4">
        <v>6.99</v>
      </c>
    </row>
    <row r="79" spans="1:7">
      <c r="A79" t="s">
        <v>177</v>
      </c>
      <c r="B79" t="s">
        <v>178</v>
      </c>
      <c r="C79" t="s">
        <v>3</v>
      </c>
      <c r="D79" t="str">
        <f>_xlfn.XLOOKUP(Products[[#This Row],[Category]],'Supplier Mapping'!$C$2:$C$11,'Supplier Mapping'!$A$2:$A$11)</f>
        <v>MorningStar Foodservice</v>
      </c>
      <c r="E79" t="str">
        <f>_xlfn.XLOOKUP(Products[[#This Row],[Supplier]],'Supplier Mapping'!$A$2:$A$11,'Supplier Mapping'!$B$2:$B$11)</f>
        <v>SUP02</v>
      </c>
      <c r="F79" s="4">
        <v>2.41</v>
      </c>
      <c r="G79" s="4">
        <v>7.99</v>
      </c>
    </row>
    <row r="80" spans="1:7">
      <c r="A80" t="s">
        <v>179</v>
      </c>
      <c r="B80" t="s">
        <v>180</v>
      </c>
      <c r="C80" t="s">
        <v>3</v>
      </c>
      <c r="D80" t="str">
        <f>_xlfn.XLOOKUP(Products[[#This Row],[Category]],'Supplier Mapping'!$C$2:$C$11,'Supplier Mapping'!$A$2:$A$11)</f>
        <v>MorningStar Foodservice</v>
      </c>
      <c r="E80" t="str">
        <f>_xlfn.XLOOKUP(Products[[#This Row],[Supplier]],'Supplier Mapping'!$A$2:$A$11,'Supplier Mapping'!$B$2:$B$11)</f>
        <v>SUP02</v>
      </c>
      <c r="F80" s="4">
        <v>1.23</v>
      </c>
      <c r="G80" s="4">
        <v>4.99</v>
      </c>
    </row>
    <row r="81" spans="1:7">
      <c r="A81" t="s">
        <v>181</v>
      </c>
      <c r="B81" t="s">
        <v>182</v>
      </c>
      <c r="C81" t="s">
        <v>3</v>
      </c>
      <c r="D81" t="str">
        <f>_xlfn.XLOOKUP(Products[[#This Row],[Category]],'Supplier Mapping'!$C$2:$C$11,'Supplier Mapping'!$A$2:$A$11)</f>
        <v>MorningStar Foodservice</v>
      </c>
      <c r="E81" t="str">
        <f>_xlfn.XLOOKUP(Products[[#This Row],[Supplier]],'Supplier Mapping'!$A$2:$A$11,'Supplier Mapping'!$B$2:$B$11)</f>
        <v>SUP02</v>
      </c>
      <c r="F81" s="4">
        <v>1.48</v>
      </c>
      <c r="G81" s="4">
        <v>4.99</v>
      </c>
    </row>
    <row r="82" spans="1:7">
      <c r="A82" t="s">
        <v>183</v>
      </c>
      <c r="B82" t="s">
        <v>184</v>
      </c>
      <c r="C82" t="s">
        <v>11</v>
      </c>
      <c r="D82" t="str">
        <f>_xlfn.XLOOKUP(Products[[#This Row],[Category]],'Supplier Mapping'!$C$2:$C$11,'Supplier Mapping'!$A$2:$A$11)</f>
        <v>NorthStar Frozen Foods</v>
      </c>
      <c r="E82" t="str">
        <f>_xlfn.XLOOKUP(Products[[#This Row],[Supplier]],'Supplier Mapping'!$A$2:$A$11,'Supplier Mapping'!$B$2:$B$11)</f>
        <v>SUP03</v>
      </c>
      <c r="F82" s="4">
        <v>0.43</v>
      </c>
      <c r="G82" s="4">
        <v>2.99</v>
      </c>
    </row>
    <row r="83" spans="1:7">
      <c r="A83" t="s">
        <v>185</v>
      </c>
      <c r="B83" t="s">
        <v>186</v>
      </c>
      <c r="C83" t="s">
        <v>11</v>
      </c>
      <c r="D83" t="str">
        <f>_xlfn.XLOOKUP(Products[[#This Row],[Category]],'Supplier Mapping'!$C$2:$C$11,'Supplier Mapping'!$A$2:$A$11)</f>
        <v>NorthStar Frozen Foods</v>
      </c>
      <c r="E83" t="str">
        <f>_xlfn.XLOOKUP(Products[[#This Row],[Supplier]],'Supplier Mapping'!$A$2:$A$11,'Supplier Mapping'!$B$2:$B$11)</f>
        <v>SUP03</v>
      </c>
      <c r="F83" s="4">
        <v>0.6</v>
      </c>
      <c r="G83" s="4">
        <v>3.49</v>
      </c>
    </row>
    <row r="84" spans="1:7">
      <c r="A84" t="s">
        <v>187</v>
      </c>
      <c r="B84" t="s">
        <v>188</v>
      </c>
      <c r="C84" t="s">
        <v>11</v>
      </c>
      <c r="D84" t="str">
        <f>_xlfn.XLOOKUP(Products[[#This Row],[Category]],'Supplier Mapping'!$C$2:$C$11,'Supplier Mapping'!$A$2:$A$11)</f>
        <v>NorthStar Frozen Foods</v>
      </c>
      <c r="E84" t="str">
        <f>_xlfn.XLOOKUP(Products[[#This Row],[Supplier]],'Supplier Mapping'!$A$2:$A$11,'Supplier Mapping'!$B$2:$B$11)</f>
        <v>SUP03</v>
      </c>
      <c r="F84" s="4">
        <v>0.77</v>
      </c>
      <c r="G84" s="4">
        <v>4.49</v>
      </c>
    </row>
    <row r="85" spans="1:7">
      <c r="A85" t="s">
        <v>189</v>
      </c>
      <c r="B85" t="s">
        <v>190</v>
      </c>
      <c r="C85" t="s">
        <v>11</v>
      </c>
      <c r="D85" t="str">
        <f>_xlfn.XLOOKUP(Products[[#This Row],[Category]],'Supplier Mapping'!$C$2:$C$11,'Supplier Mapping'!$A$2:$A$11)</f>
        <v>NorthStar Frozen Foods</v>
      </c>
      <c r="E85" t="str">
        <f>_xlfn.XLOOKUP(Products[[#This Row],[Supplier]],'Supplier Mapping'!$A$2:$A$11,'Supplier Mapping'!$B$2:$B$11)</f>
        <v>SUP03</v>
      </c>
      <c r="F85" s="4">
        <v>0.56999999999999995</v>
      </c>
      <c r="G85" s="4">
        <v>2.99</v>
      </c>
    </row>
    <row r="86" spans="1:7">
      <c r="A86" t="s">
        <v>191</v>
      </c>
      <c r="B86" t="s">
        <v>192</v>
      </c>
      <c r="C86" t="s">
        <v>11</v>
      </c>
      <c r="D86" t="str">
        <f>_xlfn.XLOOKUP(Products[[#This Row],[Category]],'Supplier Mapping'!$C$2:$C$11,'Supplier Mapping'!$A$2:$A$11)</f>
        <v>NorthStar Frozen Foods</v>
      </c>
      <c r="E86" t="str">
        <f>_xlfn.XLOOKUP(Products[[#This Row],[Supplier]],'Supplier Mapping'!$A$2:$A$11,'Supplier Mapping'!$B$2:$B$11)</f>
        <v>SUP03</v>
      </c>
      <c r="F86" s="4">
        <v>0.72</v>
      </c>
      <c r="G86" s="4">
        <v>3.99</v>
      </c>
    </row>
    <row r="87" spans="1:7">
      <c r="A87" t="s">
        <v>193</v>
      </c>
      <c r="B87" t="s">
        <v>194</v>
      </c>
      <c r="C87" t="s">
        <v>11</v>
      </c>
      <c r="D87" t="str">
        <f>_xlfn.XLOOKUP(Products[[#This Row],[Category]],'Supplier Mapping'!$C$2:$C$11,'Supplier Mapping'!$A$2:$A$11)</f>
        <v>NorthStar Frozen Foods</v>
      </c>
      <c r="E87" t="str">
        <f>_xlfn.XLOOKUP(Products[[#This Row],[Supplier]],'Supplier Mapping'!$A$2:$A$11,'Supplier Mapping'!$B$2:$B$11)</f>
        <v>SUP03</v>
      </c>
      <c r="F87" s="4">
        <v>0.9</v>
      </c>
      <c r="G87" s="4">
        <v>4.99</v>
      </c>
    </row>
    <row r="88" spans="1:7">
      <c r="A88" t="s">
        <v>195</v>
      </c>
      <c r="B88" t="s">
        <v>196</v>
      </c>
      <c r="C88" t="s">
        <v>11</v>
      </c>
      <c r="D88" t="str">
        <f>_xlfn.XLOOKUP(Products[[#This Row],[Category]],'Supplier Mapping'!$C$2:$C$11,'Supplier Mapping'!$A$2:$A$11)</f>
        <v>NorthStar Frozen Foods</v>
      </c>
      <c r="E88" t="str">
        <f>_xlfn.XLOOKUP(Products[[#This Row],[Supplier]],'Supplier Mapping'!$A$2:$A$11,'Supplier Mapping'!$B$2:$B$11)</f>
        <v>SUP03</v>
      </c>
      <c r="F88" s="4">
        <v>0.71</v>
      </c>
      <c r="G88" s="4">
        <v>3.49</v>
      </c>
    </row>
    <row r="89" spans="1:7">
      <c r="A89" t="s">
        <v>197</v>
      </c>
      <c r="B89" t="s">
        <v>198</v>
      </c>
      <c r="C89" t="s">
        <v>11</v>
      </c>
      <c r="D89" t="str">
        <f>_xlfn.XLOOKUP(Products[[#This Row],[Category]],'Supplier Mapping'!$C$2:$C$11,'Supplier Mapping'!$A$2:$A$11)</f>
        <v>NorthStar Frozen Foods</v>
      </c>
      <c r="E89" t="str">
        <f>_xlfn.XLOOKUP(Products[[#This Row],[Supplier]],'Supplier Mapping'!$A$2:$A$11,'Supplier Mapping'!$B$2:$B$11)</f>
        <v>SUP03</v>
      </c>
      <c r="F89" s="4">
        <v>0.99</v>
      </c>
      <c r="G89" s="4">
        <v>4.49</v>
      </c>
    </row>
    <row r="90" spans="1:7">
      <c r="A90" t="s">
        <v>199</v>
      </c>
      <c r="B90" t="s">
        <v>200</v>
      </c>
      <c r="C90" t="s">
        <v>11</v>
      </c>
      <c r="D90" t="str">
        <f>_xlfn.XLOOKUP(Products[[#This Row],[Category]],'Supplier Mapping'!$C$2:$C$11,'Supplier Mapping'!$A$2:$A$11)</f>
        <v>NorthStar Frozen Foods</v>
      </c>
      <c r="E90" t="str">
        <f>_xlfn.XLOOKUP(Products[[#This Row],[Supplier]],'Supplier Mapping'!$A$2:$A$11,'Supplier Mapping'!$B$2:$B$11)</f>
        <v>SUP03</v>
      </c>
      <c r="F90" s="4">
        <v>1.18</v>
      </c>
      <c r="G90" s="4">
        <v>4.99</v>
      </c>
    </row>
    <row r="91" spans="1:7">
      <c r="A91" t="s">
        <v>201</v>
      </c>
      <c r="B91" t="s">
        <v>202</v>
      </c>
      <c r="C91" t="s">
        <v>11</v>
      </c>
      <c r="D91" t="str">
        <f>_xlfn.XLOOKUP(Products[[#This Row],[Category]],'Supplier Mapping'!$C$2:$C$11,'Supplier Mapping'!$A$2:$A$11)</f>
        <v>NorthStar Frozen Foods</v>
      </c>
      <c r="E91" t="str">
        <f>_xlfn.XLOOKUP(Products[[#This Row],[Supplier]],'Supplier Mapping'!$A$2:$A$11,'Supplier Mapping'!$B$2:$B$11)</f>
        <v>SUP03</v>
      </c>
      <c r="F91" s="4">
        <v>0.78</v>
      </c>
      <c r="G91" s="4">
        <v>3.99</v>
      </c>
    </row>
    <row r="92" spans="1:7">
      <c r="A92" t="s">
        <v>203</v>
      </c>
      <c r="B92" t="s">
        <v>204</v>
      </c>
      <c r="C92" t="s">
        <v>11</v>
      </c>
      <c r="D92" t="str">
        <f>_xlfn.XLOOKUP(Products[[#This Row],[Category]],'Supplier Mapping'!$C$2:$C$11,'Supplier Mapping'!$A$2:$A$11)</f>
        <v>NorthStar Frozen Foods</v>
      </c>
      <c r="E92" t="str">
        <f>_xlfn.XLOOKUP(Products[[#This Row],[Supplier]],'Supplier Mapping'!$A$2:$A$11,'Supplier Mapping'!$B$2:$B$11)</f>
        <v>SUP03</v>
      </c>
      <c r="F92" s="4">
        <v>1.04</v>
      </c>
      <c r="G92" s="4">
        <v>4.49</v>
      </c>
    </row>
    <row r="93" spans="1:7">
      <c r="A93" t="s">
        <v>205</v>
      </c>
      <c r="B93" t="s">
        <v>206</v>
      </c>
      <c r="C93" t="s">
        <v>11</v>
      </c>
      <c r="D93" t="str">
        <f>_xlfn.XLOOKUP(Products[[#This Row],[Category]],'Supplier Mapping'!$C$2:$C$11,'Supplier Mapping'!$A$2:$A$11)</f>
        <v>NorthStar Frozen Foods</v>
      </c>
      <c r="E93" t="str">
        <f>_xlfn.XLOOKUP(Products[[#This Row],[Supplier]],'Supplier Mapping'!$A$2:$A$11,'Supplier Mapping'!$B$2:$B$11)</f>
        <v>SUP03</v>
      </c>
      <c r="F93" s="4">
        <v>1.42</v>
      </c>
      <c r="G93" s="4">
        <v>4.99</v>
      </c>
    </row>
    <row r="94" spans="1:7">
      <c r="A94" t="s">
        <v>207</v>
      </c>
      <c r="B94" t="s">
        <v>208</v>
      </c>
      <c r="C94" t="s">
        <v>11</v>
      </c>
      <c r="D94" t="str">
        <f>_xlfn.XLOOKUP(Products[[#This Row],[Category]],'Supplier Mapping'!$C$2:$C$11,'Supplier Mapping'!$A$2:$A$11)</f>
        <v>NorthStar Frozen Foods</v>
      </c>
      <c r="E94" t="str">
        <f>_xlfn.XLOOKUP(Products[[#This Row],[Supplier]],'Supplier Mapping'!$A$2:$A$11,'Supplier Mapping'!$B$2:$B$11)</f>
        <v>SUP03</v>
      </c>
      <c r="F94" s="4">
        <v>0.97</v>
      </c>
      <c r="G94" s="4">
        <v>3.99</v>
      </c>
    </row>
    <row r="95" spans="1:7">
      <c r="A95" t="s">
        <v>209</v>
      </c>
      <c r="B95" t="s">
        <v>210</v>
      </c>
      <c r="C95" t="s">
        <v>11</v>
      </c>
      <c r="D95" t="str">
        <f>_xlfn.XLOOKUP(Products[[#This Row],[Category]],'Supplier Mapping'!$C$2:$C$11,'Supplier Mapping'!$A$2:$A$11)</f>
        <v>NorthStar Frozen Foods</v>
      </c>
      <c r="E95" t="str">
        <f>_xlfn.XLOOKUP(Products[[#This Row],[Supplier]],'Supplier Mapping'!$A$2:$A$11,'Supplier Mapping'!$B$2:$B$11)</f>
        <v>SUP03</v>
      </c>
      <c r="F95" s="4">
        <v>1.49</v>
      </c>
      <c r="G95" s="4">
        <v>4.99</v>
      </c>
    </row>
    <row r="96" spans="1:7">
      <c r="A96" t="s">
        <v>211</v>
      </c>
      <c r="B96" t="s">
        <v>212</v>
      </c>
      <c r="C96" t="s">
        <v>11</v>
      </c>
      <c r="D96" t="str">
        <f>_xlfn.XLOOKUP(Products[[#This Row],[Category]],'Supplier Mapping'!$C$2:$C$11,'Supplier Mapping'!$A$2:$A$11)</f>
        <v>NorthStar Frozen Foods</v>
      </c>
      <c r="E96" t="str">
        <f>_xlfn.XLOOKUP(Products[[#This Row],[Supplier]],'Supplier Mapping'!$A$2:$A$11,'Supplier Mapping'!$B$2:$B$11)</f>
        <v>SUP03</v>
      </c>
      <c r="F96" s="4">
        <v>0.81</v>
      </c>
      <c r="G96" s="4">
        <v>3.99</v>
      </c>
    </row>
    <row r="97" spans="1:7">
      <c r="A97" t="s">
        <v>213</v>
      </c>
      <c r="B97" t="s">
        <v>214</v>
      </c>
      <c r="C97" t="s">
        <v>11</v>
      </c>
      <c r="D97" t="str">
        <f>_xlfn.XLOOKUP(Products[[#This Row],[Category]],'Supplier Mapping'!$C$2:$C$11,'Supplier Mapping'!$A$2:$A$11)</f>
        <v>NorthStar Frozen Foods</v>
      </c>
      <c r="E97" t="str">
        <f>_xlfn.XLOOKUP(Products[[#This Row],[Supplier]],'Supplier Mapping'!$A$2:$A$11,'Supplier Mapping'!$B$2:$B$11)</f>
        <v>SUP03</v>
      </c>
      <c r="F97" s="4">
        <v>1.27</v>
      </c>
      <c r="G97" s="4">
        <v>4.99</v>
      </c>
    </row>
    <row r="98" spans="1:7">
      <c r="A98" t="s">
        <v>215</v>
      </c>
      <c r="B98" t="s">
        <v>216</v>
      </c>
      <c r="C98" t="s">
        <v>11</v>
      </c>
      <c r="D98" t="str">
        <f>_xlfn.XLOOKUP(Products[[#This Row],[Category]],'Supplier Mapping'!$C$2:$C$11,'Supplier Mapping'!$A$2:$A$11)</f>
        <v>NorthStar Frozen Foods</v>
      </c>
      <c r="E98" t="str">
        <f>_xlfn.XLOOKUP(Products[[#This Row],[Supplier]],'Supplier Mapping'!$A$2:$A$11,'Supplier Mapping'!$B$2:$B$11)</f>
        <v>SUP03</v>
      </c>
      <c r="F98" s="4">
        <v>0.56999999999999995</v>
      </c>
      <c r="G98" s="4">
        <v>2.99</v>
      </c>
    </row>
    <row r="99" spans="1:7">
      <c r="A99" t="s">
        <v>217</v>
      </c>
      <c r="B99" t="s">
        <v>218</v>
      </c>
      <c r="C99" t="s">
        <v>11</v>
      </c>
      <c r="D99" t="str">
        <f>_xlfn.XLOOKUP(Products[[#This Row],[Category]],'Supplier Mapping'!$C$2:$C$11,'Supplier Mapping'!$A$2:$A$11)</f>
        <v>NorthStar Frozen Foods</v>
      </c>
      <c r="E99" t="str">
        <f>_xlfn.XLOOKUP(Products[[#This Row],[Supplier]],'Supplier Mapping'!$A$2:$A$11,'Supplier Mapping'!$B$2:$B$11)</f>
        <v>SUP03</v>
      </c>
      <c r="F99" s="4">
        <v>0.91</v>
      </c>
      <c r="G99" s="4">
        <v>3.99</v>
      </c>
    </row>
    <row r="100" spans="1:7">
      <c r="A100" t="s">
        <v>219</v>
      </c>
      <c r="B100" t="s">
        <v>220</v>
      </c>
      <c r="C100" t="s">
        <v>11</v>
      </c>
      <c r="D100" t="str">
        <f>_xlfn.XLOOKUP(Products[[#This Row],[Category]],'Supplier Mapping'!$C$2:$C$11,'Supplier Mapping'!$A$2:$A$11)</f>
        <v>NorthStar Frozen Foods</v>
      </c>
      <c r="E100" t="str">
        <f>_xlfn.XLOOKUP(Products[[#This Row],[Supplier]],'Supplier Mapping'!$A$2:$A$11,'Supplier Mapping'!$B$2:$B$11)</f>
        <v>SUP03</v>
      </c>
      <c r="F100" s="4">
        <v>0.81</v>
      </c>
      <c r="G100" s="4">
        <v>3.49</v>
      </c>
    </row>
    <row r="101" spans="1:7">
      <c r="A101" t="s">
        <v>221</v>
      </c>
      <c r="B101" t="s">
        <v>222</v>
      </c>
      <c r="C101" t="s">
        <v>11</v>
      </c>
      <c r="D101" t="str">
        <f>_xlfn.XLOOKUP(Products[[#This Row],[Category]],'Supplier Mapping'!$C$2:$C$11,'Supplier Mapping'!$A$2:$A$11)</f>
        <v>NorthStar Frozen Foods</v>
      </c>
      <c r="E101" t="str">
        <f>_xlfn.XLOOKUP(Products[[#This Row],[Supplier]],'Supplier Mapping'!$A$2:$A$11,'Supplier Mapping'!$B$2:$B$11)</f>
        <v>SUP03</v>
      </c>
      <c r="F101" s="4">
        <v>1.44</v>
      </c>
      <c r="G101" s="4">
        <v>5.99</v>
      </c>
    </row>
    <row r="102" spans="1:7">
      <c r="A102" t="s">
        <v>223</v>
      </c>
      <c r="B102" t="s">
        <v>224</v>
      </c>
      <c r="C102" t="s">
        <v>16</v>
      </c>
      <c r="D102" t="str">
        <f>_xlfn.XLOOKUP(Products[[#This Row],[Category]],'Supplier Mapping'!$C$2:$C$11,'Supplier Mapping'!$A$2:$A$11)</f>
        <v>Fraser Fresh Produce</v>
      </c>
      <c r="E102" t="str">
        <f>_xlfn.XLOOKUP(Products[[#This Row],[Supplier]],'Supplier Mapping'!$A$2:$A$11,'Supplier Mapping'!$B$2:$B$11)</f>
        <v>SUP04</v>
      </c>
      <c r="F102" s="4">
        <v>2.5</v>
      </c>
      <c r="G102" s="4">
        <v>8.99</v>
      </c>
    </row>
    <row r="103" spans="1:7">
      <c r="A103" t="s">
        <v>225</v>
      </c>
      <c r="B103" t="s">
        <v>226</v>
      </c>
      <c r="C103" t="s">
        <v>16</v>
      </c>
      <c r="D103" t="str">
        <f>_xlfn.XLOOKUP(Products[[#This Row],[Category]],'Supplier Mapping'!$C$2:$C$11,'Supplier Mapping'!$A$2:$A$11)</f>
        <v>Fraser Fresh Produce</v>
      </c>
      <c r="E103" t="str">
        <f>_xlfn.XLOOKUP(Products[[#This Row],[Supplier]],'Supplier Mapping'!$A$2:$A$11,'Supplier Mapping'!$B$2:$B$11)</f>
        <v>SUP04</v>
      </c>
      <c r="F103" s="4">
        <v>2.5099999999999998</v>
      </c>
      <c r="G103" s="4">
        <v>8.99</v>
      </c>
    </row>
    <row r="104" spans="1:7">
      <c r="A104" t="s">
        <v>227</v>
      </c>
      <c r="B104" t="s">
        <v>228</v>
      </c>
      <c r="C104" t="s">
        <v>16</v>
      </c>
      <c r="D104" t="str">
        <f>_xlfn.XLOOKUP(Products[[#This Row],[Category]],'Supplier Mapping'!$C$2:$C$11,'Supplier Mapping'!$A$2:$A$11)</f>
        <v>Fraser Fresh Produce</v>
      </c>
      <c r="E104" t="str">
        <f>_xlfn.XLOOKUP(Products[[#This Row],[Supplier]],'Supplier Mapping'!$A$2:$A$11,'Supplier Mapping'!$B$2:$B$11)</f>
        <v>SUP04</v>
      </c>
      <c r="F104" s="4">
        <v>2.63</v>
      </c>
      <c r="G104" s="4">
        <v>8.99</v>
      </c>
    </row>
    <row r="105" spans="1:7">
      <c r="A105" t="s">
        <v>229</v>
      </c>
      <c r="B105" t="s">
        <v>230</v>
      </c>
      <c r="C105" t="s">
        <v>16</v>
      </c>
      <c r="D105" t="str">
        <f>_xlfn.XLOOKUP(Products[[#This Row],[Category]],'Supplier Mapping'!$C$2:$C$11,'Supplier Mapping'!$A$2:$A$11)</f>
        <v>Fraser Fresh Produce</v>
      </c>
      <c r="E105" t="str">
        <f>_xlfn.XLOOKUP(Products[[#This Row],[Supplier]],'Supplier Mapping'!$A$2:$A$11,'Supplier Mapping'!$B$2:$B$11)</f>
        <v>SUP04</v>
      </c>
      <c r="F105" s="4">
        <v>2.69</v>
      </c>
      <c r="G105" s="4">
        <v>8.99</v>
      </c>
    </row>
    <row r="106" spans="1:7">
      <c r="A106" t="s">
        <v>231</v>
      </c>
      <c r="B106" t="s">
        <v>232</v>
      </c>
      <c r="C106" t="s">
        <v>16</v>
      </c>
      <c r="D106" t="str">
        <f>_xlfn.XLOOKUP(Products[[#This Row],[Category]],'Supplier Mapping'!$C$2:$C$11,'Supplier Mapping'!$A$2:$A$11)</f>
        <v>Fraser Fresh Produce</v>
      </c>
      <c r="E106" t="str">
        <f>_xlfn.XLOOKUP(Products[[#This Row],[Supplier]],'Supplier Mapping'!$A$2:$A$11,'Supplier Mapping'!$B$2:$B$11)</f>
        <v>SUP04</v>
      </c>
      <c r="F106" s="4">
        <v>2.87</v>
      </c>
      <c r="G106" s="4">
        <v>8.99</v>
      </c>
    </row>
    <row r="107" spans="1:7">
      <c r="A107" t="s">
        <v>233</v>
      </c>
      <c r="B107" t="s">
        <v>234</v>
      </c>
      <c r="C107" t="s">
        <v>16</v>
      </c>
      <c r="D107" t="str">
        <f>_xlfn.XLOOKUP(Products[[#This Row],[Category]],'Supplier Mapping'!$C$2:$C$11,'Supplier Mapping'!$A$2:$A$11)</f>
        <v>Fraser Fresh Produce</v>
      </c>
      <c r="E107" t="str">
        <f>_xlfn.XLOOKUP(Products[[#This Row],[Supplier]],'Supplier Mapping'!$A$2:$A$11,'Supplier Mapping'!$B$2:$B$11)</f>
        <v>SUP04</v>
      </c>
      <c r="F107" s="4">
        <v>2.89</v>
      </c>
      <c r="G107" s="4">
        <v>9.49</v>
      </c>
    </row>
    <row r="108" spans="1:7">
      <c r="A108" t="s">
        <v>235</v>
      </c>
      <c r="B108" t="s">
        <v>236</v>
      </c>
      <c r="C108" t="s">
        <v>16</v>
      </c>
      <c r="D108" t="str">
        <f>_xlfn.XLOOKUP(Products[[#This Row],[Category]],'Supplier Mapping'!$C$2:$C$11,'Supplier Mapping'!$A$2:$A$11)</f>
        <v>Fraser Fresh Produce</v>
      </c>
      <c r="E108" t="str">
        <f>_xlfn.XLOOKUP(Products[[#This Row],[Supplier]],'Supplier Mapping'!$A$2:$A$11,'Supplier Mapping'!$B$2:$B$11)</f>
        <v>SUP04</v>
      </c>
      <c r="F108" s="4">
        <v>2.79</v>
      </c>
      <c r="G108" s="4">
        <v>9.49</v>
      </c>
    </row>
    <row r="109" spans="1:7">
      <c r="A109" t="s">
        <v>237</v>
      </c>
      <c r="B109" t="s">
        <v>238</v>
      </c>
      <c r="C109" t="s">
        <v>16</v>
      </c>
      <c r="D109" t="str">
        <f>_xlfn.XLOOKUP(Products[[#This Row],[Category]],'Supplier Mapping'!$C$2:$C$11,'Supplier Mapping'!$A$2:$A$11)</f>
        <v>Fraser Fresh Produce</v>
      </c>
      <c r="E109" t="str">
        <f>_xlfn.XLOOKUP(Products[[#This Row],[Supplier]],'Supplier Mapping'!$A$2:$A$11,'Supplier Mapping'!$B$2:$B$11)</f>
        <v>SUP04</v>
      </c>
      <c r="F109" s="4">
        <v>2.73</v>
      </c>
      <c r="G109" s="4">
        <v>8.99</v>
      </c>
    </row>
    <row r="110" spans="1:7">
      <c r="A110" t="s">
        <v>239</v>
      </c>
      <c r="B110" t="s">
        <v>240</v>
      </c>
      <c r="C110" t="s">
        <v>16</v>
      </c>
      <c r="D110" t="str">
        <f>_xlfn.XLOOKUP(Products[[#This Row],[Category]],'Supplier Mapping'!$C$2:$C$11,'Supplier Mapping'!$A$2:$A$11)</f>
        <v>Fraser Fresh Produce</v>
      </c>
      <c r="E110" t="str">
        <f>_xlfn.XLOOKUP(Products[[#This Row],[Supplier]],'Supplier Mapping'!$A$2:$A$11,'Supplier Mapping'!$B$2:$B$11)</f>
        <v>SUP04</v>
      </c>
      <c r="F110" s="4">
        <v>2.86</v>
      </c>
      <c r="G110" s="4">
        <v>9.49</v>
      </c>
    </row>
    <row r="111" spans="1:7">
      <c r="A111" t="s">
        <v>241</v>
      </c>
      <c r="B111" t="s">
        <v>242</v>
      </c>
      <c r="C111" t="s">
        <v>16</v>
      </c>
      <c r="D111" t="str">
        <f>_xlfn.XLOOKUP(Products[[#This Row],[Category]],'Supplier Mapping'!$C$2:$C$11,'Supplier Mapping'!$A$2:$A$11)</f>
        <v>Fraser Fresh Produce</v>
      </c>
      <c r="E111" t="str">
        <f>_xlfn.XLOOKUP(Products[[#This Row],[Supplier]],'Supplier Mapping'!$A$2:$A$11,'Supplier Mapping'!$B$2:$B$11)</f>
        <v>SUP04</v>
      </c>
      <c r="F111" s="4">
        <v>2.89</v>
      </c>
      <c r="G111" s="4">
        <v>9.49</v>
      </c>
    </row>
    <row r="112" spans="1:7">
      <c r="A112" t="s">
        <v>243</v>
      </c>
      <c r="B112" t="s">
        <v>244</v>
      </c>
      <c r="C112" t="s">
        <v>16</v>
      </c>
      <c r="D112" t="str">
        <f>_xlfn.XLOOKUP(Products[[#This Row],[Category]],'Supplier Mapping'!$C$2:$C$11,'Supplier Mapping'!$A$2:$A$11)</f>
        <v>Fraser Fresh Produce</v>
      </c>
      <c r="E112" t="str">
        <f>_xlfn.XLOOKUP(Products[[#This Row],[Supplier]],'Supplier Mapping'!$A$2:$A$11,'Supplier Mapping'!$B$2:$B$11)</f>
        <v>SUP04</v>
      </c>
      <c r="F112" s="4">
        <v>1.71</v>
      </c>
      <c r="G112" s="4">
        <v>6.99</v>
      </c>
    </row>
    <row r="113" spans="1:7">
      <c r="A113" t="s">
        <v>245</v>
      </c>
      <c r="B113" t="s">
        <v>246</v>
      </c>
      <c r="C113" t="s">
        <v>16</v>
      </c>
      <c r="D113" t="str">
        <f>_xlfn.XLOOKUP(Products[[#This Row],[Category]],'Supplier Mapping'!$C$2:$C$11,'Supplier Mapping'!$A$2:$A$11)</f>
        <v>Fraser Fresh Produce</v>
      </c>
      <c r="E113" t="str">
        <f>_xlfn.XLOOKUP(Products[[#This Row],[Supplier]],'Supplier Mapping'!$A$2:$A$11,'Supplier Mapping'!$B$2:$B$11)</f>
        <v>SUP04</v>
      </c>
      <c r="F113" s="4">
        <v>1.8</v>
      </c>
      <c r="G113" s="4">
        <v>6.99</v>
      </c>
    </row>
    <row r="114" spans="1:7">
      <c r="A114" t="s">
        <v>247</v>
      </c>
      <c r="B114" t="s">
        <v>248</v>
      </c>
      <c r="C114" t="s">
        <v>16</v>
      </c>
      <c r="D114" t="str">
        <f>_xlfn.XLOOKUP(Products[[#This Row],[Category]],'Supplier Mapping'!$C$2:$C$11,'Supplier Mapping'!$A$2:$A$11)</f>
        <v>Fraser Fresh Produce</v>
      </c>
      <c r="E114" t="str">
        <f>_xlfn.XLOOKUP(Products[[#This Row],[Supplier]],'Supplier Mapping'!$A$2:$A$11,'Supplier Mapping'!$B$2:$B$11)</f>
        <v>SUP04</v>
      </c>
      <c r="F114" s="4">
        <v>1.93</v>
      </c>
      <c r="G114" s="4">
        <v>6.99</v>
      </c>
    </row>
    <row r="115" spans="1:7">
      <c r="A115" t="s">
        <v>249</v>
      </c>
      <c r="B115" t="s">
        <v>250</v>
      </c>
      <c r="C115" t="s">
        <v>16</v>
      </c>
      <c r="D115" t="str">
        <f>_xlfn.XLOOKUP(Products[[#This Row],[Category]],'Supplier Mapping'!$C$2:$C$11,'Supplier Mapping'!$A$2:$A$11)</f>
        <v>Fraser Fresh Produce</v>
      </c>
      <c r="E115" t="str">
        <f>_xlfn.XLOOKUP(Products[[#This Row],[Supplier]],'Supplier Mapping'!$A$2:$A$11,'Supplier Mapping'!$B$2:$B$11)</f>
        <v>SUP04</v>
      </c>
      <c r="F115" s="4">
        <v>2.0099999999999998</v>
      </c>
      <c r="G115" s="4">
        <v>7.49</v>
      </c>
    </row>
    <row r="116" spans="1:7">
      <c r="A116" t="s">
        <v>251</v>
      </c>
      <c r="B116" t="s">
        <v>252</v>
      </c>
      <c r="C116" t="s">
        <v>16</v>
      </c>
      <c r="D116" t="str">
        <f>_xlfn.XLOOKUP(Products[[#This Row],[Category]],'Supplier Mapping'!$C$2:$C$11,'Supplier Mapping'!$A$2:$A$11)</f>
        <v>Fraser Fresh Produce</v>
      </c>
      <c r="E116" t="str">
        <f>_xlfn.XLOOKUP(Products[[#This Row],[Supplier]],'Supplier Mapping'!$A$2:$A$11,'Supplier Mapping'!$B$2:$B$11)</f>
        <v>SUP04</v>
      </c>
      <c r="F116" s="4">
        <v>2.06</v>
      </c>
      <c r="G116" s="4">
        <v>7.49</v>
      </c>
    </row>
    <row r="117" spans="1:7">
      <c r="A117" t="s">
        <v>253</v>
      </c>
      <c r="B117" t="s">
        <v>254</v>
      </c>
      <c r="C117" t="s">
        <v>20</v>
      </c>
      <c r="D117" t="str">
        <f>_xlfn.XLOOKUP(Products[[#This Row],[Category]],'Supplier Mapping'!$C$2:$C$11,'Supplier Mapping'!$A$2:$A$11)</f>
        <v>Pacific Beverage Partners</v>
      </c>
      <c r="E117" t="str">
        <f>_xlfn.XLOOKUP(Products[[#This Row],[Supplier]],'Supplier Mapping'!$A$2:$A$11,'Supplier Mapping'!$B$2:$B$11)</f>
        <v>SUP05</v>
      </c>
      <c r="F117" s="4">
        <v>0.21</v>
      </c>
      <c r="G117" s="4">
        <v>1.99</v>
      </c>
    </row>
    <row r="118" spans="1:7">
      <c r="A118" t="s">
        <v>255</v>
      </c>
      <c r="B118" t="s">
        <v>256</v>
      </c>
      <c r="C118" t="s">
        <v>20</v>
      </c>
      <c r="D118" t="str">
        <f>_xlfn.XLOOKUP(Products[[#This Row],[Category]],'Supplier Mapping'!$C$2:$C$11,'Supplier Mapping'!$A$2:$A$11)</f>
        <v>Pacific Beverage Partners</v>
      </c>
      <c r="E118" t="str">
        <f>_xlfn.XLOOKUP(Products[[#This Row],[Supplier]],'Supplier Mapping'!$A$2:$A$11,'Supplier Mapping'!$B$2:$B$11)</f>
        <v>SUP05</v>
      </c>
      <c r="F118" s="4">
        <v>0.28999999999999998</v>
      </c>
      <c r="G118" s="4">
        <v>2.99</v>
      </c>
    </row>
    <row r="119" spans="1:7">
      <c r="A119" t="s">
        <v>257</v>
      </c>
      <c r="B119" t="s">
        <v>258</v>
      </c>
      <c r="C119" t="s">
        <v>20</v>
      </c>
      <c r="D119" t="str">
        <f>_xlfn.XLOOKUP(Products[[#This Row],[Category]],'Supplier Mapping'!$C$2:$C$11,'Supplier Mapping'!$A$2:$A$11)</f>
        <v>Pacific Beverage Partners</v>
      </c>
      <c r="E119" t="str">
        <f>_xlfn.XLOOKUP(Products[[#This Row],[Supplier]],'Supplier Mapping'!$A$2:$A$11,'Supplier Mapping'!$B$2:$B$11)</f>
        <v>SUP05</v>
      </c>
      <c r="F119" s="4">
        <v>0.35</v>
      </c>
      <c r="G119" s="4">
        <v>2.99</v>
      </c>
    </row>
    <row r="120" spans="1:7">
      <c r="A120" t="s">
        <v>259</v>
      </c>
      <c r="B120" t="s">
        <v>260</v>
      </c>
      <c r="C120" t="s">
        <v>20</v>
      </c>
      <c r="D120" t="str">
        <f>_xlfn.XLOOKUP(Products[[#This Row],[Category]],'Supplier Mapping'!$C$2:$C$11,'Supplier Mapping'!$A$2:$A$11)</f>
        <v>Pacific Beverage Partners</v>
      </c>
      <c r="E120" t="str">
        <f>_xlfn.XLOOKUP(Products[[#This Row],[Supplier]],'Supplier Mapping'!$A$2:$A$11,'Supplier Mapping'!$B$2:$B$11)</f>
        <v>SUP05</v>
      </c>
      <c r="F120" s="4">
        <v>0.23</v>
      </c>
      <c r="G120" s="4">
        <v>1.99</v>
      </c>
    </row>
    <row r="121" spans="1:7">
      <c r="A121" t="s">
        <v>261</v>
      </c>
      <c r="B121" t="s">
        <v>262</v>
      </c>
      <c r="C121" t="s">
        <v>20</v>
      </c>
      <c r="D121" t="str">
        <f>_xlfn.XLOOKUP(Products[[#This Row],[Category]],'Supplier Mapping'!$C$2:$C$11,'Supplier Mapping'!$A$2:$A$11)</f>
        <v>Pacific Beverage Partners</v>
      </c>
      <c r="E121" t="str">
        <f>_xlfn.XLOOKUP(Products[[#This Row],[Supplier]],'Supplier Mapping'!$A$2:$A$11,'Supplier Mapping'!$B$2:$B$11)</f>
        <v>SUP05</v>
      </c>
      <c r="F121" s="4">
        <v>0.28999999999999998</v>
      </c>
      <c r="G121" s="4">
        <v>2.99</v>
      </c>
    </row>
    <row r="122" spans="1:7">
      <c r="A122" t="s">
        <v>263</v>
      </c>
      <c r="B122" t="s">
        <v>264</v>
      </c>
      <c r="C122" t="s">
        <v>20</v>
      </c>
      <c r="D122" t="str">
        <f>_xlfn.XLOOKUP(Products[[#This Row],[Category]],'Supplier Mapping'!$C$2:$C$11,'Supplier Mapping'!$A$2:$A$11)</f>
        <v>Pacific Beverage Partners</v>
      </c>
      <c r="E122" t="str">
        <f>_xlfn.XLOOKUP(Products[[#This Row],[Supplier]],'Supplier Mapping'!$A$2:$A$11,'Supplier Mapping'!$B$2:$B$11)</f>
        <v>SUP05</v>
      </c>
      <c r="F122" s="4">
        <v>0.34</v>
      </c>
      <c r="G122" s="4">
        <v>2.99</v>
      </c>
    </row>
    <row r="123" spans="1:7">
      <c r="A123" t="s">
        <v>265</v>
      </c>
      <c r="B123" t="s">
        <v>266</v>
      </c>
      <c r="C123" t="s">
        <v>20</v>
      </c>
      <c r="D123" t="str">
        <f>_xlfn.XLOOKUP(Products[[#This Row],[Category]],'Supplier Mapping'!$C$2:$C$11,'Supplier Mapping'!$A$2:$A$11)</f>
        <v>Pacific Beverage Partners</v>
      </c>
      <c r="E123" t="str">
        <f>_xlfn.XLOOKUP(Products[[#This Row],[Supplier]],'Supplier Mapping'!$A$2:$A$11,'Supplier Mapping'!$B$2:$B$11)</f>
        <v>SUP05</v>
      </c>
      <c r="F123" s="4">
        <v>0.22</v>
      </c>
      <c r="G123" s="4">
        <v>1.99</v>
      </c>
    </row>
    <row r="124" spans="1:7">
      <c r="A124" t="s">
        <v>267</v>
      </c>
      <c r="B124" t="s">
        <v>268</v>
      </c>
      <c r="C124" t="s">
        <v>20</v>
      </c>
      <c r="D124" t="str">
        <f>_xlfn.XLOOKUP(Products[[#This Row],[Category]],'Supplier Mapping'!$C$2:$C$11,'Supplier Mapping'!$A$2:$A$11)</f>
        <v>Pacific Beverage Partners</v>
      </c>
      <c r="E124" t="str">
        <f>_xlfn.XLOOKUP(Products[[#This Row],[Supplier]],'Supplier Mapping'!$A$2:$A$11,'Supplier Mapping'!$B$2:$B$11)</f>
        <v>SUP05</v>
      </c>
      <c r="F124" s="4">
        <v>0.27</v>
      </c>
      <c r="G124" s="4">
        <v>2.99</v>
      </c>
    </row>
    <row r="125" spans="1:7">
      <c r="A125" t="s">
        <v>269</v>
      </c>
      <c r="B125" t="s">
        <v>270</v>
      </c>
      <c r="C125" t="s">
        <v>20</v>
      </c>
      <c r="D125" t="str">
        <f>_xlfn.XLOOKUP(Products[[#This Row],[Category]],'Supplier Mapping'!$C$2:$C$11,'Supplier Mapping'!$A$2:$A$11)</f>
        <v>Pacific Beverage Partners</v>
      </c>
      <c r="E125" t="str">
        <f>_xlfn.XLOOKUP(Products[[#This Row],[Supplier]],'Supplier Mapping'!$A$2:$A$11,'Supplier Mapping'!$B$2:$B$11)</f>
        <v>SUP05</v>
      </c>
      <c r="F125" s="4">
        <v>0.34</v>
      </c>
      <c r="G125" s="4">
        <v>2.99</v>
      </c>
    </row>
    <row r="126" spans="1:7">
      <c r="A126" t="s">
        <v>271</v>
      </c>
      <c r="B126" t="s">
        <v>272</v>
      </c>
      <c r="C126" t="s">
        <v>20</v>
      </c>
      <c r="D126" t="str">
        <f>_xlfn.XLOOKUP(Products[[#This Row],[Category]],'Supplier Mapping'!$C$2:$C$11,'Supplier Mapping'!$A$2:$A$11)</f>
        <v>Pacific Beverage Partners</v>
      </c>
      <c r="E126" t="str">
        <f>_xlfn.XLOOKUP(Products[[#This Row],[Supplier]],'Supplier Mapping'!$A$2:$A$11,'Supplier Mapping'!$B$2:$B$11)</f>
        <v>SUP05</v>
      </c>
      <c r="F126" s="4">
        <v>0.21</v>
      </c>
      <c r="G126" s="4">
        <v>1.99</v>
      </c>
    </row>
    <row r="127" spans="1:7">
      <c r="A127" t="s">
        <v>273</v>
      </c>
      <c r="B127" t="s">
        <v>274</v>
      </c>
      <c r="C127" t="s">
        <v>20</v>
      </c>
      <c r="D127" t="str">
        <f>_xlfn.XLOOKUP(Products[[#This Row],[Category]],'Supplier Mapping'!$C$2:$C$11,'Supplier Mapping'!$A$2:$A$11)</f>
        <v>Pacific Beverage Partners</v>
      </c>
      <c r="E127" t="str">
        <f>_xlfn.XLOOKUP(Products[[#This Row],[Supplier]],'Supplier Mapping'!$A$2:$A$11,'Supplier Mapping'!$B$2:$B$11)</f>
        <v>SUP05</v>
      </c>
      <c r="F127" s="4">
        <v>0.27</v>
      </c>
      <c r="G127" s="4">
        <v>2.99</v>
      </c>
    </row>
    <row r="128" spans="1:7">
      <c r="A128" t="s">
        <v>275</v>
      </c>
      <c r="B128" t="s">
        <v>276</v>
      </c>
      <c r="C128" t="s">
        <v>20</v>
      </c>
      <c r="D128" t="str">
        <f>_xlfn.XLOOKUP(Products[[#This Row],[Category]],'Supplier Mapping'!$C$2:$C$11,'Supplier Mapping'!$A$2:$A$11)</f>
        <v>Pacific Beverage Partners</v>
      </c>
      <c r="E128" t="str">
        <f>_xlfn.XLOOKUP(Products[[#This Row],[Supplier]],'Supplier Mapping'!$A$2:$A$11,'Supplier Mapping'!$B$2:$B$11)</f>
        <v>SUP05</v>
      </c>
      <c r="F128" s="4">
        <v>0.33</v>
      </c>
      <c r="G128" s="4">
        <v>2.99</v>
      </c>
    </row>
    <row r="129" spans="1:7">
      <c r="A129" t="s">
        <v>277</v>
      </c>
      <c r="B129" t="s">
        <v>278</v>
      </c>
      <c r="C129" t="s">
        <v>20</v>
      </c>
      <c r="D129" t="str">
        <f>_xlfn.XLOOKUP(Products[[#This Row],[Category]],'Supplier Mapping'!$C$2:$C$11,'Supplier Mapping'!$A$2:$A$11)</f>
        <v>Pacific Beverage Partners</v>
      </c>
      <c r="E129" t="str">
        <f>_xlfn.XLOOKUP(Products[[#This Row],[Supplier]],'Supplier Mapping'!$A$2:$A$11,'Supplier Mapping'!$B$2:$B$11)</f>
        <v>SUP05</v>
      </c>
      <c r="F129" s="4">
        <v>0.21</v>
      </c>
      <c r="G129" s="4">
        <v>1.99</v>
      </c>
    </row>
    <row r="130" spans="1:7">
      <c r="A130" t="s">
        <v>279</v>
      </c>
      <c r="B130" t="s">
        <v>280</v>
      </c>
      <c r="C130" t="s">
        <v>20</v>
      </c>
      <c r="D130" t="str">
        <f>_xlfn.XLOOKUP(Products[[#This Row],[Category]],'Supplier Mapping'!$C$2:$C$11,'Supplier Mapping'!$A$2:$A$11)</f>
        <v>Pacific Beverage Partners</v>
      </c>
      <c r="E130" t="str">
        <f>_xlfn.XLOOKUP(Products[[#This Row],[Supplier]],'Supplier Mapping'!$A$2:$A$11,'Supplier Mapping'!$B$2:$B$11)</f>
        <v>SUP05</v>
      </c>
      <c r="F130" s="4">
        <v>0.28000000000000003</v>
      </c>
      <c r="G130" s="4">
        <v>2.99</v>
      </c>
    </row>
    <row r="131" spans="1:7">
      <c r="A131" t="s">
        <v>281</v>
      </c>
      <c r="B131" t="s">
        <v>282</v>
      </c>
      <c r="C131" t="s">
        <v>20</v>
      </c>
      <c r="D131" t="str">
        <f>_xlfn.XLOOKUP(Products[[#This Row],[Category]],'Supplier Mapping'!$C$2:$C$11,'Supplier Mapping'!$A$2:$A$11)</f>
        <v>Pacific Beverage Partners</v>
      </c>
      <c r="E131" t="str">
        <f>_xlfn.XLOOKUP(Products[[#This Row],[Supplier]],'Supplier Mapping'!$A$2:$A$11,'Supplier Mapping'!$B$2:$B$11)</f>
        <v>SUP05</v>
      </c>
      <c r="F131" s="4">
        <v>0.33</v>
      </c>
      <c r="G131" s="4">
        <v>2.99</v>
      </c>
    </row>
    <row r="132" spans="1:7">
      <c r="A132" t="s">
        <v>283</v>
      </c>
      <c r="B132" t="s">
        <v>284</v>
      </c>
      <c r="C132" t="s">
        <v>20</v>
      </c>
      <c r="D132" t="str">
        <f>_xlfn.XLOOKUP(Products[[#This Row],[Category]],'Supplier Mapping'!$C$2:$C$11,'Supplier Mapping'!$A$2:$A$11)</f>
        <v>Pacific Beverage Partners</v>
      </c>
      <c r="E132" t="str">
        <f>_xlfn.XLOOKUP(Products[[#This Row],[Supplier]],'Supplier Mapping'!$A$2:$A$11,'Supplier Mapping'!$B$2:$B$11)</f>
        <v>SUP05</v>
      </c>
      <c r="F132" s="4">
        <v>0.33</v>
      </c>
      <c r="G132" s="4">
        <v>2.99</v>
      </c>
    </row>
    <row r="133" spans="1:7">
      <c r="A133" t="s">
        <v>285</v>
      </c>
      <c r="B133" t="s">
        <v>286</v>
      </c>
      <c r="C133" t="s">
        <v>20</v>
      </c>
      <c r="D133" t="str">
        <f>_xlfn.XLOOKUP(Products[[#This Row],[Category]],'Supplier Mapping'!$C$2:$C$11,'Supplier Mapping'!$A$2:$A$11)</f>
        <v>Pacific Beverage Partners</v>
      </c>
      <c r="E133" t="str">
        <f>_xlfn.XLOOKUP(Products[[#This Row],[Supplier]],'Supplier Mapping'!$A$2:$A$11,'Supplier Mapping'!$B$2:$B$11)</f>
        <v>SUP05</v>
      </c>
      <c r="F133" s="4">
        <v>0.43</v>
      </c>
      <c r="G133" s="4">
        <v>2.99</v>
      </c>
    </row>
    <row r="134" spans="1:7">
      <c r="A134" t="s">
        <v>287</v>
      </c>
      <c r="B134" t="s">
        <v>288</v>
      </c>
      <c r="C134" t="s">
        <v>20</v>
      </c>
      <c r="D134" t="str">
        <f>_xlfn.XLOOKUP(Products[[#This Row],[Category]],'Supplier Mapping'!$C$2:$C$11,'Supplier Mapping'!$A$2:$A$11)</f>
        <v>Pacific Beverage Partners</v>
      </c>
      <c r="E134" t="str">
        <f>_xlfn.XLOOKUP(Products[[#This Row],[Supplier]],'Supplier Mapping'!$A$2:$A$11,'Supplier Mapping'!$B$2:$B$11)</f>
        <v>SUP05</v>
      </c>
      <c r="F134" s="4">
        <v>0.52</v>
      </c>
      <c r="G134" s="4">
        <v>3.99</v>
      </c>
    </row>
    <row r="135" spans="1:7">
      <c r="A135" t="s">
        <v>289</v>
      </c>
      <c r="B135" t="s">
        <v>290</v>
      </c>
      <c r="C135" t="s">
        <v>20</v>
      </c>
      <c r="D135" t="str">
        <f>_xlfn.XLOOKUP(Products[[#This Row],[Category]],'Supplier Mapping'!$C$2:$C$11,'Supplier Mapping'!$A$2:$A$11)</f>
        <v>Pacific Beverage Partners</v>
      </c>
      <c r="E135" t="str">
        <f>_xlfn.XLOOKUP(Products[[#This Row],[Supplier]],'Supplier Mapping'!$A$2:$A$11,'Supplier Mapping'!$B$2:$B$11)</f>
        <v>SUP05</v>
      </c>
      <c r="F135" s="4">
        <v>0.45</v>
      </c>
      <c r="G135" s="4">
        <v>2.99</v>
      </c>
    </row>
    <row r="136" spans="1:7">
      <c r="A136" t="s">
        <v>291</v>
      </c>
      <c r="B136" t="s">
        <v>292</v>
      </c>
      <c r="C136" t="s">
        <v>20</v>
      </c>
      <c r="D136" t="str">
        <f>_xlfn.XLOOKUP(Products[[#This Row],[Category]],'Supplier Mapping'!$C$2:$C$11,'Supplier Mapping'!$A$2:$A$11)</f>
        <v>Pacific Beverage Partners</v>
      </c>
      <c r="E136" t="str">
        <f>_xlfn.XLOOKUP(Products[[#This Row],[Supplier]],'Supplier Mapping'!$A$2:$A$11,'Supplier Mapping'!$B$2:$B$11)</f>
        <v>SUP05</v>
      </c>
      <c r="F136" s="4">
        <v>0.54</v>
      </c>
      <c r="G136" s="4">
        <v>3.99</v>
      </c>
    </row>
    <row r="137" spans="1:7">
      <c r="A137" t="s">
        <v>293</v>
      </c>
      <c r="B137" t="s">
        <v>294</v>
      </c>
      <c r="C137" t="s">
        <v>20</v>
      </c>
      <c r="D137" t="str">
        <f>_xlfn.XLOOKUP(Products[[#This Row],[Category]],'Supplier Mapping'!$C$2:$C$11,'Supplier Mapping'!$A$2:$A$11)</f>
        <v>Pacific Beverage Partners</v>
      </c>
      <c r="E137" t="str">
        <f>_xlfn.XLOOKUP(Products[[#This Row],[Supplier]],'Supplier Mapping'!$A$2:$A$11,'Supplier Mapping'!$B$2:$B$11)</f>
        <v>SUP05</v>
      </c>
      <c r="F137" s="4">
        <v>0.68</v>
      </c>
      <c r="G137" s="4">
        <v>3.99</v>
      </c>
    </row>
    <row r="138" spans="1:7">
      <c r="A138" t="s">
        <v>295</v>
      </c>
      <c r="B138" t="s">
        <v>296</v>
      </c>
      <c r="C138" t="s">
        <v>20</v>
      </c>
      <c r="D138" t="str">
        <f>_xlfn.XLOOKUP(Products[[#This Row],[Category]],'Supplier Mapping'!$C$2:$C$11,'Supplier Mapping'!$A$2:$A$11)</f>
        <v>Pacific Beverage Partners</v>
      </c>
      <c r="E138" t="str">
        <f>_xlfn.XLOOKUP(Products[[#This Row],[Supplier]],'Supplier Mapping'!$A$2:$A$11,'Supplier Mapping'!$B$2:$B$11)</f>
        <v>SUP05</v>
      </c>
      <c r="F138" s="4">
        <v>0.73</v>
      </c>
      <c r="G138" s="4">
        <v>2.99</v>
      </c>
    </row>
    <row r="139" spans="1:7">
      <c r="A139" t="s">
        <v>297</v>
      </c>
      <c r="B139" t="s">
        <v>298</v>
      </c>
      <c r="C139" t="s">
        <v>20</v>
      </c>
      <c r="D139" t="str">
        <f>_xlfn.XLOOKUP(Products[[#This Row],[Category]],'Supplier Mapping'!$C$2:$C$11,'Supplier Mapping'!$A$2:$A$11)</f>
        <v>Pacific Beverage Partners</v>
      </c>
      <c r="E139" t="str">
        <f>_xlfn.XLOOKUP(Products[[#This Row],[Supplier]],'Supplier Mapping'!$A$2:$A$11,'Supplier Mapping'!$B$2:$B$11)</f>
        <v>SUP05</v>
      </c>
      <c r="F139" s="4">
        <v>0.7</v>
      </c>
      <c r="G139" s="4">
        <v>2.99</v>
      </c>
    </row>
    <row r="140" spans="1:7">
      <c r="A140" t="s">
        <v>299</v>
      </c>
      <c r="B140" t="s">
        <v>300</v>
      </c>
      <c r="C140" t="s">
        <v>20</v>
      </c>
      <c r="D140" t="str">
        <f>_xlfn.XLOOKUP(Products[[#This Row],[Category]],'Supplier Mapping'!$C$2:$C$11,'Supplier Mapping'!$A$2:$A$11)</f>
        <v>Pacific Beverage Partners</v>
      </c>
      <c r="E140" t="str">
        <f>_xlfn.XLOOKUP(Products[[#This Row],[Supplier]],'Supplier Mapping'!$A$2:$A$11,'Supplier Mapping'!$B$2:$B$11)</f>
        <v>SUP05</v>
      </c>
      <c r="F140" s="4">
        <v>0.37</v>
      </c>
      <c r="G140" s="4">
        <v>2.4900000000000002</v>
      </c>
    </row>
    <row r="141" spans="1:7">
      <c r="A141" t="s">
        <v>301</v>
      </c>
      <c r="B141" t="s">
        <v>302</v>
      </c>
      <c r="C141" t="s">
        <v>20</v>
      </c>
      <c r="D141" t="str">
        <f>_xlfn.XLOOKUP(Products[[#This Row],[Category]],'Supplier Mapping'!$C$2:$C$11,'Supplier Mapping'!$A$2:$A$11)</f>
        <v>Pacific Beverage Partners</v>
      </c>
      <c r="E141" t="str">
        <f>_xlfn.XLOOKUP(Products[[#This Row],[Supplier]],'Supplier Mapping'!$A$2:$A$11,'Supplier Mapping'!$B$2:$B$11)</f>
        <v>SUP05</v>
      </c>
      <c r="F141" s="4">
        <v>0.27</v>
      </c>
      <c r="G141" s="4">
        <v>1.99</v>
      </c>
    </row>
    <row r="142" spans="1:7">
      <c r="A142" t="s">
        <v>303</v>
      </c>
      <c r="B142" t="s">
        <v>304</v>
      </c>
      <c r="C142" t="s">
        <v>20</v>
      </c>
      <c r="D142" t="str">
        <f>_xlfn.XLOOKUP(Products[[#This Row],[Category]],'Supplier Mapping'!$C$2:$C$11,'Supplier Mapping'!$A$2:$A$11)</f>
        <v>Pacific Beverage Partners</v>
      </c>
      <c r="E142" t="str">
        <f>_xlfn.XLOOKUP(Products[[#This Row],[Supplier]],'Supplier Mapping'!$A$2:$A$11,'Supplier Mapping'!$B$2:$B$11)</f>
        <v>SUP05</v>
      </c>
      <c r="F142" s="4">
        <v>0.34</v>
      </c>
      <c r="G142" s="4">
        <v>2.4900000000000002</v>
      </c>
    </row>
    <row r="143" spans="1:7">
      <c r="A143" t="s">
        <v>305</v>
      </c>
      <c r="B143" t="s">
        <v>306</v>
      </c>
      <c r="C143" t="s">
        <v>20</v>
      </c>
      <c r="D143" t="str">
        <f>_xlfn.XLOOKUP(Products[[#This Row],[Category]],'Supplier Mapping'!$C$2:$C$11,'Supplier Mapping'!$A$2:$A$11)</f>
        <v>Pacific Beverage Partners</v>
      </c>
      <c r="E143" t="str">
        <f>_xlfn.XLOOKUP(Products[[#This Row],[Supplier]],'Supplier Mapping'!$A$2:$A$11,'Supplier Mapping'!$B$2:$B$11)</f>
        <v>SUP05</v>
      </c>
      <c r="F143" s="4">
        <v>0.4</v>
      </c>
      <c r="G143" s="4">
        <v>2.99</v>
      </c>
    </row>
    <row r="144" spans="1:7">
      <c r="A144" t="s">
        <v>307</v>
      </c>
      <c r="B144" t="s">
        <v>308</v>
      </c>
      <c r="C144" t="s">
        <v>20</v>
      </c>
      <c r="D144" t="str">
        <f>_xlfn.XLOOKUP(Products[[#This Row],[Category]],'Supplier Mapping'!$C$2:$C$11,'Supplier Mapping'!$A$2:$A$11)</f>
        <v>Pacific Beverage Partners</v>
      </c>
      <c r="E144" t="str">
        <f>_xlfn.XLOOKUP(Products[[#This Row],[Supplier]],'Supplier Mapping'!$A$2:$A$11,'Supplier Mapping'!$B$2:$B$11)</f>
        <v>SUP05</v>
      </c>
      <c r="F144" s="4">
        <v>0.43</v>
      </c>
      <c r="G144" s="4">
        <v>2.99</v>
      </c>
    </row>
    <row r="145" spans="1:7">
      <c r="A145" t="s">
        <v>309</v>
      </c>
      <c r="B145" t="s">
        <v>310</v>
      </c>
      <c r="C145" t="s">
        <v>20</v>
      </c>
      <c r="D145" t="str">
        <f>_xlfn.XLOOKUP(Products[[#This Row],[Category]],'Supplier Mapping'!$C$2:$C$11,'Supplier Mapping'!$A$2:$A$11)</f>
        <v>Pacific Beverage Partners</v>
      </c>
      <c r="E145" t="str">
        <f>_xlfn.XLOOKUP(Products[[#This Row],[Supplier]],'Supplier Mapping'!$A$2:$A$11,'Supplier Mapping'!$B$2:$B$11)</f>
        <v>SUP05</v>
      </c>
      <c r="F145" s="4">
        <v>0.54</v>
      </c>
      <c r="G145" s="4">
        <v>2.99</v>
      </c>
    </row>
    <row r="146" spans="1:7">
      <c r="A146" t="s">
        <v>311</v>
      </c>
      <c r="B146" t="s">
        <v>312</v>
      </c>
      <c r="C146" t="s">
        <v>20</v>
      </c>
      <c r="D146" t="str">
        <f>_xlfn.XLOOKUP(Products[[#This Row],[Category]],'Supplier Mapping'!$C$2:$C$11,'Supplier Mapping'!$A$2:$A$11)</f>
        <v>Pacific Beverage Partners</v>
      </c>
      <c r="E146" t="str">
        <f>_xlfn.XLOOKUP(Products[[#This Row],[Supplier]],'Supplier Mapping'!$A$2:$A$11,'Supplier Mapping'!$B$2:$B$11)</f>
        <v>SUP05</v>
      </c>
      <c r="F146" s="4">
        <v>0.62</v>
      </c>
      <c r="G146" s="4">
        <v>3.99</v>
      </c>
    </row>
    <row r="147" spans="1:7">
      <c r="A147" t="s">
        <v>313</v>
      </c>
      <c r="B147" t="s">
        <v>314</v>
      </c>
      <c r="C147" t="s">
        <v>20</v>
      </c>
      <c r="D147" t="str">
        <f>_xlfn.XLOOKUP(Products[[#This Row],[Category]],'Supplier Mapping'!$C$2:$C$11,'Supplier Mapping'!$A$2:$A$11)</f>
        <v>Pacific Beverage Partners</v>
      </c>
      <c r="E147" t="str">
        <f>_xlfn.XLOOKUP(Products[[#This Row],[Supplier]],'Supplier Mapping'!$A$2:$A$11,'Supplier Mapping'!$B$2:$B$11)</f>
        <v>SUP05</v>
      </c>
      <c r="F147" s="4">
        <v>0.72</v>
      </c>
      <c r="G147" s="4">
        <v>3.99</v>
      </c>
    </row>
    <row r="148" spans="1:7">
      <c r="A148" t="s">
        <v>315</v>
      </c>
      <c r="B148" t="s">
        <v>316</v>
      </c>
      <c r="C148" t="s">
        <v>20</v>
      </c>
      <c r="D148" t="str">
        <f>_xlfn.XLOOKUP(Products[[#This Row],[Category]],'Supplier Mapping'!$C$2:$C$11,'Supplier Mapping'!$A$2:$A$11)</f>
        <v>Pacific Beverage Partners</v>
      </c>
      <c r="E148" t="str">
        <f>_xlfn.XLOOKUP(Products[[#This Row],[Supplier]],'Supplier Mapping'!$A$2:$A$11,'Supplier Mapping'!$B$2:$B$11)</f>
        <v>SUP05</v>
      </c>
      <c r="F148" s="4">
        <v>0.7</v>
      </c>
      <c r="G148" s="4">
        <v>3.99</v>
      </c>
    </row>
    <row r="149" spans="1:7">
      <c r="A149" t="s">
        <v>317</v>
      </c>
      <c r="B149" t="s">
        <v>318</v>
      </c>
      <c r="C149" t="s">
        <v>20</v>
      </c>
      <c r="D149" t="str">
        <f>_xlfn.XLOOKUP(Products[[#This Row],[Category]],'Supplier Mapping'!$C$2:$C$11,'Supplier Mapping'!$A$2:$A$11)</f>
        <v>Pacific Beverage Partners</v>
      </c>
      <c r="E149" t="str">
        <f>_xlfn.XLOOKUP(Products[[#This Row],[Supplier]],'Supplier Mapping'!$A$2:$A$11,'Supplier Mapping'!$B$2:$B$11)</f>
        <v>SUP05</v>
      </c>
      <c r="F149" s="4">
        <v>0.7</v>
      </c>
      <c r="G149" s="4">
        <v>3.99</v>
      </c>
    </row>
    <row r="150" spans="1:7">
      <c r="A150" t="s">
        <v>319</v>
      </c>
      <c r="B150" t="s">
        <v>320</v>
      </c>
      <c r="C150" t="s">
        <v>20</v>
      </c>
      <c r="D150" t="str">
        <f>_xlfn.XLOOKUP(Products[[#This Row],[Category]],'Supplier Mapping'!$C$2:$C$11,'Supplier Mapping'!$A$2:$A$11)</f>
        <v>Pacific Beverage Partners</v>
      </c>
      <c r="E150" t="str">
        <f>_xlfn.XLOOKUP(Products[[#This Row],[Supplier]],'Supplier Mapping'!$A$2:$A$11,'Supplier Mapping'!$B$2:$B$11)</f>
        <v>SUP05</v>
      </c>
      <c r="F150" s="4">
        <v>0.56999999999999995</v>
      </c>
      <c r="G150" s="4">
        <v>2.4900000000000002</v>
      </c>
    </row>
    <row r="151" spans="1:7">
      <c r="A151" t="s">
        <v>321</v>
      </c>
      <c r="B151" t="s">
        <v>322</v>
      </c>
      <c r="C151" t="s">
        <v>20</v>
      </c>
      <c r="D151" t="str">
        <f>_xlfn.XLOOKUP(Products[[#This Row],[Category]],'Supplier Mapping'!$C$2:$C$11,'Supplier Mapping'!$A$2:$A$11)</f>
        <v>Pacific Beverage Partners</v>
      </c>
      <c r="E151" t="str">
        <f>_xlfn.XLOOKUP(Products[[#This Row],[Supplier]],'Supplier Mapping'!$A$2:$A$11,'Supplier Mapping'!$B$2:$B$11)</f>
        <v>SUP05</v>
      </c>
      <c r="F151" s="4">
        <v>0.61</v>
      </c>
      <c r="G151" s="4">
        <v>2.4900000000000002</v>
      </c>
    </row>
    <row r="152" spans="1:7">
      <c r="A152" t="s">
        <v>323</v>
      </c>
      <c r="B152" t="s">
        <v>324</v>
      </c>
      <c r="C152" t="s">
        <v>24</v>
      </c>
      <c r="D152" t="str">
        <f>_xlfn.XLOOKUP(Products[[#This Row],[Category]],'Supplier Mapping'!$C$2:$C$11,'Supplier Mapping'!$A$2:$A$11)</f>
        <v>SweetPeak Desserts</v>
      </c>
      <c r="E152" t="str">
        <f>_xlfn.XLOOKUP(Products[[#This Row],[Supplier]],'Supplier Mapping'!$A$2:$A$11,'Supplier Mapping'!$B$2:$B$11)</f>
        <v>SUP06</v>
      </c>
      <c r="F152" s="4">
        <v>0.53</v>
      </c>
      <c r="G152" s="4">
        <v>2.99</v>
      </c>
    </row>
    <row r="153" spans="1:7">
      <c r="A153" t="s">
        <v>325</v>
      </c>
      <c r="B153" t="s">
        <v>326</v>
      </c>
      <c r="C153" t="s">
        <v>24</v>
      </c>
      <c r="D153" t="str">
        <f>_xlfn.XLOOKUP(Products[[#This Row],[Category]],'Supplier Mapping'!$C$2:$C$11,'Supplier Mapping'!$A$2:$A$11)</f>
        <v>SweetPeak Desserts</v>
      </c>
      <c r="E153" t="str">
        <f>_xlfn.XLOOKUP(Products[[#This Row],[Supplier]],'Supplier Mapping'!$A$2:$A$11,'Supplier Mapping'!$B$2:$B$11)</f>
        <v>SUP06</v>
      </c>
      <c r="F153" s="4">
        <v>0.7</v>
      </c>
      <c r="G153" s="4">
        <v>3.49</v>
      </c>
    </row>
    <row r="154" spans="1:7">
      <c r="A154" t="s">
        <v>327</v>
      </c>
      <c r="B154" t="s">
        <v>328</v>
      </c>
      <c r="C154" t="s">
        <v>24</v>
      </c>
      <c r="D154" t="str">
        <f>_xlfn.XLOOKUP(Products[[#This Row],[Category]],'Supplier Mapping'!$C$2:$C$11,'Supplier Mapping'!$A$2:$A$11)</f>
        <v>SweetPeak Desserts</v>
      </c>
      <c r="E154" t="str">
        <f>_xlfn.XLOOKUP(Products[[#This Row],[Supplier]],'Supplier Mapping'!$A$2:$A$11,'Supplier Mapping'!$B$2:$B$11)</f>
        <v>SUP06</v>
      </c>
      <c r="F154" s="4">
        <v>0.88</v>
      </c>
      <c r="G154" s="4">
        <v>4.49</v>
      </c>
    </row>
    <row r="155" spans="1:7">
      <c r="A155" t="s">
        <v>329</v>
      </c>
      <c r="B155" t="s">
        <v>330</v>
      </c>
      <c r="C155" t="s">
        <v>24</v>
      </c>
      <c r="D155" t="str">
        <f>_xlfn.XLOOKUP(Products[[#This Row],[Category]],'Supplier Mapping'!$C$2:$C$11,'Supplier Mapping'!$A$2:$A$11)</f>
        <v>SweetPeak Desserts</v>
      </c>
      <c r="E155" t="str">
        <f>_xlfn.XLOOKUP(Products[[#This Row],[Supplier]],'Supplier Mapping'!$A$2:$A$11,'Supplier Mapping'!$B$2:$B$11)</f>
        <v>SUP06</v>
      </c>
      <c r="F155" s="4">
        <v>0.54</v>
      </c>
      <c r="G155" s="4">
        <v>2.99</v>
      </c>
    </row>
    <row r="156" spans="1:7">
      <c r="A156" t="s">
        <v>331</v>
      </c>
      <c r="B156" t="s">
        <v>332</v>
      </c>
      <c r="C156" t="s">
        <v>24</v>
      </c>
      <c r="D156" t="str">
        <f>_xlfn.XLOOKUP(Products[[#This Row],[Category]],'Supplier Mapping'!$C$2:$C$11,'Supplier Mapping'!$A$2:$A$11)</f>
        <v>SweetPeak Desserts</v>
      </c>
      <c r="E156" t="str">
        <f>_xlfn.XLOOKUP(Products[[#This Row],[Supplier]],'Supplier Mapping'!$A$2:$A$11,'Supplier Mapping'!$B$2:$B$11)</f>
        <v>SUP06</v>
      </c>
      <c r="F156" s="4">
        <v>0.72</v>
      </c>
      <c r="G156" s="4">
        <v>3.49</v>
      </c>
    </row>
    <row r="157" spans="1:7">
      <c r="A157" t="s">
        <v>333</v>
      </c>
      <c r="B157" t="s">
        <v>334</v>
      </c>
      <c r="C157" t="s">
        <v>24</v>
      </c>
      <c r="D157" t="str">
        <f>_xlfn.XLOOKUP(Products[[#This Row],[Category]],'Supplier Mapping'!$C$2:$C$11,'Supplier Mapping'!$A$2:$A$11)</f>
        <v>SweetPeak Desserts</v>
      </c>
      <c r="E157" t="str">
        <f>_xlfn.XLOOKUP(Products[[#This Row],[Supplier]],'Supplier Mapping'!$A$2:$A$11,'Supplier Mapping'!$B$2:$B$11)</f>
        <v>SUP06</v>
      </c>
      <c r="F157" s="4">
        <v>0.89</v>
      </c>
      <c r="G157" s="4">
        <v>4.49</v>
      </c>
    </row>
    <row r="158" spans="1:7">
      <c r="A158" t="s">
        <v>335</v>
      </c>
      <c r="B158" t="s">
        <v>336</v>
      </c>
      <c r="C158" t="s">
        <v>24</v>
      </c>
      <c r="D158" t="str">
        <f>_xlfn.XLOOKUP(Products[[#This Row],[Category]],'Supplier Mapping'!$C$2:$C$11,'Supplier Mapping'!$A$2:$A$11)</f>
        <v>SweetPeak Desserts</v>
      </c>
      <c r="E158" t="str">
        <f>_xlfn.XLOOKUP(Products[[#This Row],[Supplier]],'Supplier Mapping'!$A$2:$A$11,'Supplier Mapping'!$B$2:$B$11)</f>
        <v>SUP06</v>
      </c>
      <c r="F158" s="4">
        <v>0.31</v>
      </c>
      <c r="G158" s="4">
        <v>1.49</v>
      </c>
    </row>
    <row r="159" spans="1:7">
      <c r="A159" t="s">
        <v>337</v>
      </c>
      <c r="B159" t="s">
        <v>338</v>
      </c>
      <c r="C159" t="s">
        <v>24</v>
      </c>
      <c r="D159" t="str">
        <f>_xlfn.XLOOKUP(Products[[#This Row],[Category]],'Supplier Mapping'!$C$2:$C$11,'Supplier Mapping'!$A$2:$A$11)</f>
        <v>SweetPeak Desserts</v>
      </c>
      <c r="E159" t="str">
        <f>_xlfn.XLOOKUP(Products[[#This Row],[Supplier]],'Supplier Mapping'!$A$2:$A$11,'Supplier Mapping'!$B$2:$B$11)</f>
        <v>SUP06</v>
      </c>
      <c r="F159" s="4">
        <v>0.3</v>
      </c>
      <c r="G159" s="4">
        <v>1.49</v>
      </c>
    </row>
    <row r="160" spans="1:7">
      <c r="A160" t="s">
        <v>339</v>
      </c>
      <c r="B160" t="s">
        <v>340</v>
      </c>
      <c r="C160" t="s">
        <v>24</v>
      </c>
      <c r="D160" t="str">
        <f>_xlfn.XLOOKUP(Products[[#This Row],[Category]],'Supplier Mapping'!$C$2:$C$11,'Supplier Mapping'!$A$2:$A$11)</f>
        <v>SweetPeak Desserts</v>
      </c>
      <c r="E160" t="str">
        <f>_xlfn.XLOOKUP(Products[[#This Row],[Supplier]],'Supplier Mapping'!$A$2:$A$11,'Supplier Mapping'!$B$2:$B$11)</f>
        <v>SUP06</v>
      </c>
      <c r="F160" s="4">
        <v>0.31</v>
      </c>
      <c r="G160" s="4">
        <v>1.49</v>
      </c>
    </row>
    <row r="161" spans="1:7">
      <c r="A161" t="s">
        <v>341</v>
      </c>
      <c r="B161" t="s">
        <v>342</v>
      </c>
      <c r="C161" t="s">
        <v>24</v>
      </c>
      <c r="D161" t="str">
        <f>_xlfn.XLOOKUP(Products[[#This Row],[Category]],'Supplier Mapping'!$C$2:$C$11,'Supplier Mapping'!$A$2:$A$11)</f>
        <v>SweetPeak Desserts</v>
      </c>
      <c r="E161" t="str">
        <f>_xlfn.XLOOKUP(Products[[#This Row],[Supplier]],'Supplier Mapping'!$A$2:$A$11,'Supplier Mapping'!$B$2:$B$11)</f>
        <v>SUP06</v>
      </c>
      <c r="F161" s="4">
        <v>0.32</v>
      </c>
      <c r="G161" s="4">
        <v>1.49</v>
      </c>
    </row>
    <row r="162" spans="1:7">
      <c r="A162" t="s">
        <v>343</v>
      </c>
      <c r="B162" t="s">
        <v>344</v>
      </c>
      <c r="C162" t="s">
        <v>24</v>
      </c>
      <c r="D162" t="str">
        <f>_xlfn.XLOOKUP(Products[[#This Row],[Category]],'Supplier Mapping'!$C$2:$C$11,'Supplier Mapping'!$A$2:$A$11)</f>
        <v>SweetPeak Desserts</v>
      </c>
      <c r="E162" t="str">
        <f>_xlfn.XLOOKUP(Products[[#This Row],[Supplier]],'Supplier Mapping'!$A$2:$A$11,'Supplier Mapping'!$B$2:$B$11)</f>
        <v>SUP06</v>
      </c>
      <c r="F162" s="4">
        <v>0.64</v>
      </c>
      <c r="G162" s="4">
        <v>2.99</v>
      </c>
    </row>
    <row r="163" spans="1:7">
      <c r="A163" t="s">
        <v>345</v>
      </c>
      <c r="B163" t="s">
        <v>346</v>
      </c>
      <c r="C163" t="s">
        <v>24</v>
      </c>
      <c r="D163" t="str">
        <f>_xlfn.XLOOKUP(Products[[#This Row],[Category]],'Supplier Mapping'!$C$2:$C$11,'Supplier Mapping'!$A$2:$A$11)</f>
        <v>SweetPeak Desserts</v>
      </c>
      <c r="E163" t="str">
        <f>_xlfn.XLOOKUP(Products[[#This Row],[Supplier]],'Supplier Mapping'!$A$2:$A$11,'Supplier Mapping'!$B$2:$B$11)</f>
        <v>SUP06</v>
      </c>
      <c r="F163" s="4">
        <v>1.1599999999999999</v>
      </c>
      <c r="G163" s="4">
        <v>5.99</v>
      </c>
    </row>
    <row r="164" spans="1:7">
      <c r="A164" t="s">
        <v>347</v>
      </c>
      <c r="B164" t="s">
        <v>348</v>
      </c>
      <c r="C164" t="s">
        <v>24</v>
      </c>
      <c r="D164" t="str">
        <f>_xlfn.XLOOKUP(Products[[#This Row],[Category]],'Supplier Mapping'!$C$2:$C$11,'Supplier Mapping'!$A$2:$A$11)</f>
        <v>SweetPeak Desserts</v>
      </c>
      <c r="E164" t="str">
        <f>_xlfn.XLOOKUP(Products[[#This Row],[Supplier]],'Supplier Mapping'!$A$2:$A$11,'Supplier Mapping'!$B$2:$B$11)</f>
        <v>SUP06</v>
      </c>
      <c r="F164" s="4">
        <v>0.94</v>
      </c>
      <c r="G164" s="4">
        <v>4.99</v>
      </c>
    </row>
    <row r="165" spans="1:7">
      <c r="A165" t="s">
        <v>349</v>
      </c>
      <c r="B165" t="s">
        <v>350</v>
      </c>
      <c r="C165" t="s">
        <v>24</v>
      </c>
      <c r="D165" t="str">
        <f>_xlfn.XLOOKUP(Products[[#This Row],[Category]],'Supplier Mapping'!$C$2:$C$11,'Supplier Mapping'!$A$2:$A$11)</f>
        <v>SweetPeak Desserts</v>
      </c>
      <c r="E165" t="str">
        <f>_xlfn.XLOOKUP(Products[[#This Row],[Supplier]],'Supplier Mapping'!$A$2:$A$11,'Supplier Mapping'!$B$2:$B$11)</f>
        <v>SUP06</v>
      </c>
      <c r="F165" s="4">
        <v>0.95</v>
      </c>
      <c r="G165" s="4">
        <v>4.99</v>
      </c>
    </row>
    <row r="166" spans="1:7">
      <c r="A166" t="s">
        <v>351</v>
      </c>
      <c r="B166" t="s">
        <v>352</v>
      </c>
      <c r="C166" t="s">
        <v>24</v>
      </c>
      <c r="D166" t="str">
        <f>_xlfn.XLOOKUP(Products[[#This Row],[Category]],'Supplier Mapping'!$C$2:$C$11,'Supplier Mapping'!$A$2:$A$11)</f>
        <v>SweetPeak Desserts</v>
      </c>
      <c r="E166" t="str">
        <f>_xlfn.XLOOKUP(Products[[#This Row],[Supplier]],'Supplier Mapping'!$A$2:$A$11,'Supplier Mapping'!$B$2:$B$11)</f>
        <v>SUP06</v>
      </c>
      <c r="F166" s="4">
        <v>0.93</v>
      </c>
      <c r="G166" s="4">
        <v>4.99</v>
      </c>
    </row>
    <row r="167" spans="1:7">
      <c r="A167" t="s">
        <v>353</v>
      </c>
      <c r="B167" t="s">
        <v>354</v>
      </c>
      <c r="C167" t="s">
        <v>24</v>
      </c>
      <c r="D167" t="str">
        <f>_xlfn.XLOOKUP(Products[[#This Row],[Category]],'Supplier Mapping'!$C$2:$C$11,'Supplier Mapping'!$A$2:$A$11)</f>
        <v>SweetPeak Desserts</v>
      </c>
      <c r="E167" t="str">
        <f>_xlfn.XLOOKUP(Products[[#This Row],[Supplier]],'Supplier Mapping'!$A$2:$A$11,'Supplier Mapping'!$B$2:$B$11)</f>
        <v>SUP06</v>
      </c>
      <c r="F167" s="4">
        <v>1.07</v>
      </c>
      <c r="G167" s="4">
        <v>4.99</v>
      </c>
    </row>
    <row r="168" spans="1:7">
      <c r="A168" t="s">
        <v>355</v>
      </c>
      <c r="B168" t="s">
        <v>356</v>
      </c>
      <c r="C168" t="s">
        <v>24</v>
      </c>
      <c r="D168" t="str">
        <f>_xlfn.XLOOKUP(Products[[#This Row],[Category]],'Supplier Mapping'!$C$2:$C$11,'Supplier Mapping'!$A$2:$A$11)</f>
        <v>SweetPeak Desserts</v>
      </c>
      <c r="E168" t="str">
        <f>_xlfn.XLOOKUP(Products[[#This Row],[Supplier]],'Supplier Mapping'!$A$2:$A$11,'Supplier Mapping'!$B$2:$B$11)</f>
        <v>SUP06</v>
      </c>
      <c r="F168" s="4">
        <v>1.42</v>
      </c>
      <c r="G168" s="4">
        <v>5.99</v>
      </c>
    </row>
    <row r="169" spans="1:7">
      <c r="A169" t="s">
        <v>357</v>
      </c>
      <c r="B169" t="s">
        <v>358</v>
      </c>
      <c r="C169" t="s">
        <v>24</v>
      </c>
      <c r="D169" t="str">
        <f>_xlfn.XLOOKUP(Products[[#This Row],[Category]],'Supplier Mapping'!$C$2:$C$11,'Supplier Mapping'!$A$2:$A$11)</f>
        <v>SweetPeak Desserts</v>
      </c>
      <c r="E169" t="str">
        <f>_xlfn.XLOOKUP(Products[[#This Row],[Supplier]],'Supplier Mapping'!$A$2:$A$11,'Supplier Mapping'!$B$2:$B$11)</f>
        <v>SUP06</v>
      </c>
      <c r="F169" s="4">
        <v>1.07</v>
      </c>
      <c r="G169" s="4">
        <v>4.99</v>
      </c>
    </row>
    <row r="170" spans="1:7">
      <c r="A170" t="s">
        <v>359</v>
      </c>
      <c r="B170" t="s">
        <v>360</v>
      </c>
      <c r="C170" t="s">
        <v>24</v>
      </c>
      <c r="D170" t="str">
        <f>_xlfn.XLOOKUP(Products[[#This Row],[Category]],'Supplier Mapping'!$C$2:$C$11,'Supplier Mapping'!$A$2:$A$11)</f>
        <v>SweetPeak Desserts</v>
      </c>
      <c r="E170" t="str">
        <f>_xlfn.XLOOKUP(Products[[#This Row],[Supplier]],'Supplier Mapping'!$A$2:$A$11,'Supplier Mapping'!$B$2:$B$11)</f>
        <v>SUP06</v>
      </c>
      <c r="F170" s="4">
        <v>1.4</v>
      </c>
      <c r="G170" s="4">
        <v>5.99</v>
      </c>
    </row>
    <row r="171" spans="1:7">
      <c r="A171" t="s">
        <v>361</v>
      </c>
      <c r="B171" t="s">
        <v>362</v>
      </c>
      <c r="C171" t="s">
        <v>24</v>
      </c>
      <c r="D171" t="str">
        <f>_xlfn.XLOOKUP(Products[[#This Row],[Category]],'Supplier Mapping'!$C$2:$C$11,'Supplier Mapping'!$A$2:$A$11)</f>
        <v>SweetPeak Desserts</v>
      </c>
      <c r="E171" t="str">
        <f>_xlfn.XLOOKUP(Products[[#This Row],[Supplier]],'Supplier Mapping'!$A$2:$A$11,'Supplier Mapping'!$B$2:$B$11)</f>
        <v>SUP06</v>
      </c>
      <c r="F171" s="4">
        <v>1.39</v>
      </c>
      <c r="G171" s="4">
        <v>5.99</v>
      </c>
    </row>
    <row r="172" spans="1:7">
      <c r="A172" t="s">
        <v>363</v>
      </c>
      <c r="B172" t="s">
        <v>364</v>
      </c>
      <c r="C172" t="s">
        <v>365</v>
      </c>
      <c r="D172" t="str">
        <f>_xlfn.XLOOKUP(Products[[#This Row],[Category]],'Supplier Mapping'!$C$2:$C$11,'Supplier Mapping'!$A$2:$A$11)</f>
        <v>Canada QuickServe Distribution</v>
      </c>
      <c r="E172" t="str">
        <f>_xlfn.XLOOKUP(Products[[#This Row],[Supplier]],'Supplier Mapping'!$A$2:$A$11,'Supplier Mapping'!$B$2:$B$11)</f>
        <v>SUP07</v>
      </c>
      <c r="F172" s="4">
        <v>1.9</v>
      </c>
      <c r="G172" s="4">
        <v>5.99</v>
      </c>
    </row>
    <row r="173" spans="1:7">
      <c r="A173" t="s">
        <v>366</v>
      </c>
      <c r="B173" t="s">
        <v>367</v>
      </c>
      <c r="C173" t="s">
        <v>365</v>
      </c>
      <c r="D173" t="str">
        <f>_xlfn.XLOOKUP(Products[[#This Row],[Category]],'Supplier Mapping'!$C$2:$C$11,'Supplier Mapping'!$A$2:$A$11)</f>
        <v>Canada QuickServe Distribution</v>
      </c>
      <c r="E173" t="str">
        <f>_xlfn.XLOOKUP(Products[[#This Row],[Supplier]],'Supplier Mapping'!$A$2:$A$11,'Supplier Mapping'!$B$2:$B$11)</f>
        <v>SUP07</v>
      </c>
      <c r="F173" s="4">
        <v>1.92</v>
      </c>
      <c r="G173" s="4">
        <v>5.99</v>
      </c>
    </row>
    <row r="174" spans="1:7">
      <c r="A174" t="s">
        <v>368</v>
      </c>
      <c r="B174" t="s">
        <v>369</v>
      </c>
      <c r="C174" t="s">
        <v>365</v>
      </c>
      <c r="D174" t="str">
        <f>_xlfn.XLOOKUP(Products[[#This Row],[Category]],'Supplier Mapping'!$C$2:$C$11,'Supplier Mapping'!$A$2:$A$11)</f>
        <v>Canada QuickServe Distribution</v>
      </c>
      <c r="E174" t="str">
        <f>_xlfn.XLOOKUP(Products[[#This Row],[Supplier]],'Supplier Mapping'!$A$2:$A$11,'Supplier Mapping'!$B$2:$B$11)</f>
        <v>SUP07</v>
      </c>
      <c r="F174" s="4">
        <v>1.9</v>
      </c>
      <c r="G174" s="4">
        <v>5.99</v>
      </c>
    </row>
    <row r="175" spans="1:7">
      <c r="A175" t="s">
        <v>370</v>
      </c>
      <c r="B175" t="s">
        <v>371</v>
      </c>
      <c r="C175" t="s">
        <v>365</v>
      </c>
      <c r="D175" t="str">
        <f>_xlfn.XLOOKUP(Products[[#This Row],[Category]],'Supplier Mapping'!$C$2:$C$11,'Supplier Mapping'!$A$2:$A$11)</f>
        <v>Canada QuickServe Distribution</v>
      </c>
      <c r="E175" t="str">
        <f>_xlfn.XLOOKUP(Products[[#This Row],[Supplier]],'Supplier Mapping'!$A$2:$A$11,'Supplier Mapping'!$B$2:$B$11)</f>
        <v>SUP07</v>
      </c>
      <c r="F175" s="4">
        <v>1.9</v>
      </c>
      <c r="G175" s="4">
        <v>5.99</v>
      </c>
    </row>
    <row r="176" spans="1:7">
      <c r="A176" t="s">
        <v>372</v>
      </c>
      <c r="B176" t="s">
        <v>373</v>
      </c>
      <c r="C176" t="s">
        <v>365</v>
      </c>
      <c r="D176" t="str">
        <f>_xlfn.XLOOKUP(Products[[#This Row],[Category]],'Supplier Mapping'!$C$2:$C$11,'Supplier Mapping'!$A$2:$A$11)</f>
        <v>Canada QuickServe Distribution</v>
      </c>
      <c r="E176" t="str">
        <f>_xlfn.XLOOKUP(Products[[#This Row],[Supplier]],'Supplier Mapping'!$A$2:$A$11,'Supplier Mapping'!$B$2:$B$11)</f>
        <v>SUP07</v>
      </c>
      <c r="F176" s="4">
        <v>2.25</v>
      </c>
      <c r="G176" s="4">
        <v>6.49</v>
      </c>
    </row>
    <row r="177" spans="1:7">
      <c r="A177" t="s">
        <v>374</v>
      </c>
      <c r="B177" t="s">
        <v>375</v>
      </c>
      <c r="C177" t="s">
        <v>365</v>
      </c>
      <c r="D177" t="str">
        <f>_xlfn.XLOOKUP(Products[[#This Row],[Category]],'Supplier Mapping'!$C$2:$C$11,'Supplier Mapping'!$A$2:$A$11)</f>
        <v>Canada QuickServe Distribution</v>
      </c>
      <c r="E177" t="str">
        <f>_xlfn.XLOOKUP(Products[[#This Row],[Supplier]],'Supplier Mapping'!$A$2:$A$11,'Supplier Mapping'!$B$2:$B$11)</f>
        <v>SUP07</v>
      </c>
      <c r="F177" s="4">
        <v>2.27</v>
      </c>
      <c r="G177" s="4">
        <v>6.49</v>
      </c>
    </row>
    <row r="178" spans="1:7">
      <c r="A178" t="s">
        <v>376</v>
      </c>
      <c r="B178" t="s">
        <v>377</v>
      </c>
      <c r="C178" t="s">
        <v>365</v>
      </c>
      <c r="D178" t="str">
        <f>_xlfn.XLOOKUP(Products[[#This Row],[Category]],'Supplier Mapping'!$C$2:$C$11,'Supplier Mapping'!$A$2:$A$11)</f>
        <v>Canada QuickServe Distribution</v>
      </c>
      <c r="E178" t="str">
        <f>_xlfn.XLOOKUP(Products[[#This Row],[Supplier]],'Supplier Mapping'!$A$2:$A$11,'Supplier Mapping'!$B$2:$B$11)</f>
        <v>SUP07</v>
      </c>
      <c r="F178" s="4">
        <v>1.69</v>
      </c>
      <c r="G178" s="4">
        <v>5.99</v>
      </c>
    </row>
    <row r="179" spans="1:7">
      <c r="A179" t="s">
        <v>378</v>
      </c>
      <c r="B179" t="s">
        <v>379</v>
      </c>
      <c r="C179" t="s">
        <v>365</v>
      </c>
      <c r="D179" t="str">
        <f>_xlfn.XLOOKUP(Products[[#This Row],[Category]],'Supplier Mapping'!$C$2:$C$11,'Supplier Mapping'!$A$2:$A$11)</f>
        <v>Canada QuickServe Distribution</v>
      </c>
      <c r="E179" t="str">
        <f>_xlfn.XLOOKUP(Products[[#This Row],[Supplier]],'Supplier Mapping'!$A$2:$A$11,'Supplier Mapping'!$B$2:$B$11)</f>
        <v>SUP07</v>
      </c>
      <c r="F179" s="4">
        <v>1.73</v>
      </c>
      <c r="G179" s="4">
        <v>5.99</v>
      </c>
    </row>
    <row r="180" spans="1:7">
      <c r="A180" t="s">
        <v>380</v>
      </c>
      <c r="B180" t="s">
        <v>381</v>
      </c>
      <c r="C180" t="s">
        <v>365</v>
      </c>
      <c r="D180" t="str">
        <f>_xlfn.XLOOKUP(Products[[#This Row],[Category]],'Supplier Mapping'!$C$2:$C$11,'Supplier Mapping'!$A$2:$A$11)</f>
        <v>Canada QuickServe Distribution</v>
      </c>
      <c r="E180" t="str">
        <f>_xlfn.XLOOKUP(Products[[#This Row],[Supplier]],'Supplier Mapping'!$A$2:$A$11,'Supplier Mapping'!$B$2:$B$11)</f>
        <v>SUP07</v>
      </c>
      <c r="F180" s="4">
        <v>1.63</v>
      </c>
      <c r="G180" s="4">
        <v>5.99</v>
      </c>
    </row>
    <row r="181" spans="1:7">
      <c r="A181" t="s">
        <v>382</v>
      </c>
      <c r="B181" t="s">
        <v>383</v>
      </c>
      <c r="C181" t="s">
        <v>365</v>
      </c>
      <c r="D181" t="str">
        <f>_xlfn.XLOOKUP(Products[[#This Row],[Category]],'Supplier Mapping'!$C$2:$C$11,'Supplier Mapping'!$A$2:$A$11)</f>
        <v>Canada QuickServe Distribution</v>
      </c>
      <c r="E181" t="str">
        <f>_xlfn.XLOOKUP(Products[[#This Row],[Supplier]],'Supplier Mapping'!$A$2:$A$11,'Supplier Mapping'!$B$2:$B$11)</f>
        <v>SUP07</v>
      </c>
      <c r="F181" s="4">
        <v>1.78</v>
      </c>
      <c r="G181" s="4">
        <v>5.99</v>
      </c>
    </row>
    <row r="182" spans="1:7">
      <c r="A182" t="s">
        <v>384</v>
      </c>
      <c r="B182" t="s">
        <v>385</v>
      </c>
      <c r="C182" t="s">
        <v>31</v>
      </c>
      <c r="D182" t="str">
        <f>_xlfn.XLOOKUP(Products[[#This Row],[Category]],'Supplier Mapping'!$C$2:$C$11,'Supplier Mapping'!$A$2:$A$11)</f>
        <v>TrueNorth Sauces &amp; Seasonings</v>
      </c>
      <c r="E182" t="str">
        <f>_xlfn.XLOOKUP(Products[[#This Row],[Supplier]],'Supplier Mapping'!$A$2:$A$11,'Supplier Mapping'!$B$2:$B$11)</f>
        <v>SUP08</v>
      </c>
      <c r="F182" s="4">
        <v>0.06</v>
      </c>
      <c r="G182" s="4">
        <v>0.25</v>
      </c>
    </row>
    <row r="183" spans="1:7">
      <c r="A183" t="s">
        <v>386</v>
      </c>
      <c r="B183" t="s">
        <v>387</v>
      </c>
      <c r="C183" t="s">
        <v>31</v>
      </c>
      <c r="D183" t="str">
        <f>_xlfn.XLOOKUP(Products[[#This Row],[Category]],'Supplier Mapping'!$C$2:$C$11,'Supplier Mapping'!$A$2:$A$11)</f>
        <v>TrueNorth Sauces &amp; Seasonings</v>
      </c>
      <c r="E183" t="str">
        <f>_xlfn.XLOOKUP(Products[[#This Row],[Supplier]],'Supplier Mapping'!$A$2:$A$11,'Supplier Mapping'!$B$2:$B$11)</f>
        <v>SUP08</v>
      </c>
      <c r="F183" s="4">
        <v>0.06</v>
      </c>
      <c r="G183" s="4">
        <v>0.25</v>
      </c>
    </row>
    <row r="184" spans="1:7">
      <c r="A184" t="s">
        <v>388</v>
      </c>
      <c r="B184" t="s">
        <v>389</v>
      </c>
      <c r="C184" t="s">
        <v>31</v>
      </c>
      <c r="D184" t="str">
        <f>_xlfn.XLOOKUP(Products[[#This Row],[Category]],'Supplier Mapping'!$C$2:$C$11,'Supplier Mapping'!$A$2:$A$11)</f>
        <v>TrueNorth Sauces &amp; Seasonings</v>
      </c>
      <c r="E184" t="str">
        <f>_xlfn.XLOOKUP(Products[[#This Row],[Supplier]],'Supplier Mapping'!$A$2:$A$11,'Supplier Mapping'!$B$2:$B$11)</f>
        <v>SUP08</v>
      </c>
      <c r="F184" s="4">
        <v>0.06</v>
      </c>
      <c r="G184" s="4">
        <v>0.25</v>
      </c>
    </row>
    <row r="185" spans="1:7">
      <c r="A185" t="s">
        <v>390</v>
      </c>
      <c r="B185" t="s">
        <v>391</v>
      </c>
      <c r="C185" t="s">
        <v>31</v>
      </c>
      <c r="D185" t="str">
        <f>_xlfn.XLOOKUP(Products[[#This Row],[Category]],'Supplier Mapping'!$C$2:$C$11,'Supplier Mapping'!$A$2:$A$11)</f>
        <v>TrueNorth Sauces &amp; Seasonings</v>
      </c>
      <c r="E185" t="str">
        <f>_xlfn.XLOOKUP(Products[[#This Row],[Supplier]],'Supplier Mapping'!$A$2:$A$11,'Supplier Mapping'!$B$2:$B$11)</f>
        <v>SUP08</v>
      </c>
      <c r="F185" s="4">
        <v>0.15</v>
      </c>
      <c r="G185" s="4">
        <v>0.5</v>
      </c>
    </row>
    <row r="186" spans="1:7">
      <c r="A186" t="s">
        <v>392</v>
      </c>
      <c r="B186" t="s">
        <v>393</v>
      </c>
      <c r="C186" t="s">
        <v>31</v>
      </c>
      <c r="D186" t="str">
        <f>_xlfn.XLOOKUP(Products[[#This Row],[Category]],'Supplier Mapping'!$C$2:$C$11,'Supplier Mapping'!$A$2:$A$11)</f>
        <v>TrueNorth Sauces &amp; Seasonings</v>
      </c>
      <c r="E186" t="str">
        <f>_xlfn.XLOOKUP(Products[[#This Row],[Supplier]],'Supplier Mapping'!$A$2:$A$11,'Supplier Mapping'!$B$2:$B$11)</f>
        <v>SUP08</v>
      </c>
      <c r="F186" s="4">
        <v>0.16</v>
      </c>
      <c r="G186" s="4">
        <v>0.5</v>
      </c>
    </row>
    <row r="187" spans="1:7">
      <c r="A187" t="s">
        <v>394</v>
      </c>
      <c r="B187" t="s">
        <v>395</v>
      </c>
      <c r="C187" t="s">
        <v>31</v>
      </c>
      <c r="D187" t="str">
        <f>_xlfn.XLOOKUP(Products[[#This Row],[Category]],'Supplier Mapping'!$C$2:$C$11,'Supplier Mapping'!$A$2:$A$11)</f>
        <v>TrueNorth Sauces &amp; Seasonings</v>
      </c>
      <c r="E187" t="str">
        <f>_xlfn.XLOOKUP(Products[[#This Row],[Supplier]],'Supplier Mapping'!$A$2:$A$11,'Supplier Mapping'!$B$2:$B$11)</f>
        <v>SUP08</v>
      </c>
      <c r="F187" s="4">
        <v>0.15</v>
      </c>
      <c r="G187" s="4">
        <v>0.5</v>
      </c>
    </row>
    <row r="188" spans="1:7">
      <c r="A188" t="s">
        <v>396</v>
      </c>
      <c r="B188" t="s">
        <v>397</v>
      </c>
      <c r="C188" t="s">
        <v>31</v>
      </c>
      <c r="D188" t="str">
        <f>_xlfn.XLOOKUP(Products[[#This Row],[Category]],'Supplier Mapping'!$C$2:$C$11,'Supplier Mapping'!$A$2:$A$11)</f>
        <v>TrueNorth Sauces &amp; Seasonings</v>
      </c>
      <c r="E188" t="str">
        <f>_xlfn.XLOOKUP(Products[[#This Row],[Supplier]],'Supplier Mapping'!$A$2:$A$11,'Supplier Mapping'!$B$2:$B$11)</f>
        <v>SUP08</v>
      </c>
      <c r="F188" s="4">
        <v>0.16</v>
      </c>
      <c r="G188" s="4">
        <v>0.5</v>
      </c>
    </row>
    <row r="189" spans="1:7">
      <c r="A189" t="s">
        <v>398</v>
      </c>
      <c r="B189" t="s">
        <v>399</v>
      </c>
      <c r="C189" t="s">
        <v>31</v>
      </c>
      <c r="D189" t="str">
        <f>_xlfn.XLOOKUP(Products[[#This Row],[Category]],'Supplier Mapping'!$C$2:$C$11,'Supplier Mapping'!$A$2:$A$11)</f>
        <v>TrueNorth Sauces &amp; Seasonings</v>
      </c>
      <c r="E189" t="str">
        <f>_xlfn.XLOOKUP(Products[[#This Row],[Supplier]],'Supplier Mapping'!$A$2:$A$11,'Supplier Mapping'!$B$2:$B$11)</f>
        <v>SUP08</v>
      </c>
      <c r="F189" s="4">
        <v>0.23</v>
      </c>
      <c r="G189" s="4">
        <v>0.75</v>
      </c>
    </row>
    <row r="190" spans="1:7">
      <c r="A190" t="s">
        <v>400</v>
      </c>
      <c r="B190" t="s">
        <v>401</v>
      </c>
      <c r="C190" t="s">
        <v>31</v>
      </c>
      <c r="D190" t="str">
        <f>_xlfn.XLOOKUP(Products[[#This Row],[Category]],'Supplier Mapping'!$C$2:$C$11,'Supplier Mapping'!$A$2:$A$11)</f>
        <v>TrueNorth Sauces &amp; Seasonings</v>
      </c>
      <c r="E190" t="str">
        <f>_xlfn.XLOOKUP(Products[[#This Row],[Supplier]],'Supplier Mapping'!$A$2:$A$11,'Supplier Mapping'!$B$2:$B$11)</f>
        <v>SUP08</v>
      </c>
      <c r="F190" s="4">
        <v>0.39</v>
      </c>
      <c r="G190" s="4">
        <v>1.25</v>
      </c>
    </row>
    <row r="191" spans="1:7">
      <c r="A191" t="s">
        <v>402</v>
      </c>
      <c r="B191" t="s">
        <v>403</v>
      </c>
      <c r="C191" t="s">
        <v>31</v>
      </c>
      <c r="D191" t="str">
        <f>_xlfn.XLOOKUP(Products[[#This Row],[Category]],'Supplier Mapping'!$C$2:$C$11,'Supplier Mapping'!$A$2:$A$11)</f>
        <v>TrueNorth Sauces &amp; Seasonings</v>
      </c>
      <c r="E191" t="str">
        <f>_xlfn.XLOOKUP(Products[[#This Row],[Supplier]],'Supplier Mapping'!$A$2:$A$11,'Supplier Mapping'!$B$2:$B$11)</f>
        <v>SUP08</v>
      </c>
      <c r="F191" s="4">
        <v>0.51</v>
      </c>
      <c r="G191" s="4">
        <v>1.49</v>
      </c>
    </row>
    <row r="192" spans="1:7">
      <c r="A192" t="s">
        <v>404</v>
      </c>
      <c r="B192" t="s">
        <v>405</v>
      </c>
      <c r="C192" t="s">
        <v>406</v>
      </c>
      <c r="D192" t="str">
        <f>_xlfn.XLOOKUP(Products[[#This Row],[Category]],'Supplier Mapping'!$C$2:$C$11,'Supplier Mapping'!$A$2:$A$11)</f>
        <v>Canada QuickServe Distribution</v>
      </c>
      <c r="E192" t="str">
        <f>_xlfn.XLOOKUP(Products[[#This Row],[Supplier]],'Supplier Mapping'!$A$2:$A$11,'Supplier Mapping'!$B$2:$B$11)</f>
        <v>SUP07</v>
      </c>
      <c r="F192" s="4">
        <v>3.08</v>
      </c>
      <c r="G192" s="4">
        <v>8.99</v>
      </c>
    </row>
    <row r="193" spans="1:7">
      <c r="A193" t="s">
        <v>407</v>
      </c>
      <c r="B193" t="s">
        <v>408</v>
      </c>
      <c r="C193" t="s">
        <v>406</v>
      </c>
      <c r="D193" t="str">
        <f>_xlfn.XLOOKUP(Products[[#This Row],[Category]],'Supplier Mapping'!$C$2:$C$11,'Supplier Mapping'!$A$2:$A$11)</f>
        <v>Canada QuickServe Distribution</v>
      </c>
      <c r="E193" t="str">
        <f>_xlfn.XLOOKUP(Products[[#This Row],[Supplier]],'Supplier Mapping'!$A$2:$A$11,'Supplier Mapping'!$B$2:$B$11)</f>
        <v>SUP07</v>
      </c>
      <c r="F193" s="4">
        <v>3.96</v>
      </c>
      <c r="G193" s="4">
        <v>10.99</v>
      </c>
    </row>
    <row r="194" spans="1:7">
      <c r="A194" t="s">
        <v>409</v>
      </c>
      <c r="B194" t="s">
        <v>410</v>
      </c>
      <c r="C194" t="s">
        <v>406</v>
      </c>
      <c r="D194" t="str">
        <f>_xlfn.XLOOKUP(Products[[#This Row],[Category]],'Supplier Mapping'!$C$2:$C$11,'Supplier Mapping'!$A$2:$A$11)</f>
        <v>Canada QuickServe Distribution</v>
      </c>
      <c r="E194" t="str">
        <f>_xlfn.XLOOKUP(Products[[#This Row],[Supplier]],'Supplier Mapping'!$A$2:$A$11,'Supplier Mapping'!$B$2:$B$11)</f>
        <v>SUP07</v>
      </c>
      <c r="F194" s="4">
        <v>4.34</v>
      </c>
      <c r="G194" s="4">
        <v>11.99</v>
      </c>
    </row>
    <row r="195" spans="1:7">
      <c r="A195" t="s">
        <v>411</v>
      </c>
      <c r="B195" t="s">
        <v>412</v>
      </c>
      <c r="C195" t="s">
        <v>406</v>
      </c>
      <c r="D195" t="str">
        <f>_xlfn.XLOOKUP(Products[[#This Row],[Category]],'Supplier Mapping'!$C$2:$C$11,'Supplier Mapping'!$A$2:$A$11)</f>
        <v>Canada QuickServe Distribution</v>
      </c>
      <c r="E195" t="str">
        <f>_xlfn.XLOOKUP(Products[[#This Row],[Supplier]],'Supplier Mapping'!$A$2:$A$11,'Supplier Mapping'!$B$2:$B$11)</f>
        <v>SUP07</v>
      </c>
      <c r="F195" s="4">
        <v>3.76</v>
      </c>
      <c r="G195" s="4">
        <v>10.99</v>
      </c>
    </row>
    <row r="196" spans="1:7">
      <c r="A196" t="s">
        <v>413</v>
      </c>
      <c r="B196" t="s">
        <v>414</v>
      </c>
      <c r="C196" t="s">
        <v>406</v>
      </c>
      <c r="D196" t="str">
        <f>_xlfn.XLOOKUP(Products[[#This Row],[Category]],'Supplier Mapping'!$C$2:$C$11,'Supplier Mapping'!$A$2:$A$11)</f>
        <v>Canada QuickServe Distribution</v>
      </c>
      <c r="E196" t="str">
        <f>_xlfn.XLOOKUP(Products[[#This Row],[Supplier]],'Supplier Mapping'!$A$2:$A$11,'Supplier Mapping'!$B$2:$B$11)</f>
        <v>SUP07</v>
      </c>
      <c r="F196" s="4">
        <v>4.09</v>
      </c>
      <c r="G196" s="4">
        <v>10.99</v>
      </c>
    </row>
    <row r="197" spans="1:7">
      <c r="A197" t="s">
        <v>415</v>
      </c>
      <c r="B197" t="s">
        <v>416</v>
      </c>
      <c r="C197" t="s">
        <v>406</v>
      </c>
      <c r="D197" t="str">
        <f>_xlfn.XLOOKUP(Products[[#This Row],[Category]],'Supplier Mapping'!$C$2:$C$11,'Supplier Mapping'!$A$2:$A$11)</f>
        <v>Canada QuickServe Distribution</v>
      </c>
      <c r="E197" t="str">
        <f>_xlfn.XLOOKUP(Products[[#This Row],[Supplier]],'Supplier Mapping'!$A$2:$A$11,'Supplier Mapping'!$B$2:$B$11)</f>
        <v>SUP07</v>
      </c>
      <c r="F197" s="4">
        <v>3.82</v>
      </c>
      <c r="G197" s="4">
        <v>9.99</v>
      </c>
    </row>
    <row r="198" spans="1:7">
      <c r="A198" t="s">
        <v>417</v>
      </c>
      <c r="B198" t="s">
        <v>418</v>
      </c>
      <c r="C198" t="s">
        <v>406</v>
      </c>
      <c r="D198" t="str">
        <f>_xlfn.XLOOKUP(Products[[#This Row],[Category]],'Supplier Mapping'!$C$2:$C$11,'Supplier Mapping'!$A$2:$A$11)</f>
        <v>Canada QuickServe Distribution</v>
      </c>
      <c r="E198" t="str">
        <f>_xlfn.XLOOKUP(Products[[#This Row],[Supplier]],'Supplier Mapping'!$A$2:$A$11,'Supplier Mapping'!$B$2:$B$11)</f>
        <v>SUP07</v>
      </c>
      <c r="F198" s="4">
        <v>3.75</v>
      </c>
      <c r="G198" s="4">
        <v>9.99</v>
      </c>
    </row>
    <row r="199" spans="1:7">
      <c r="A199" t="s">
        <v>419</v>
      </c>
      <c r="B199" t="s">
        <v>420</v>
      </c>
      <c r="C199" t="s">
        <v>406</v>
      </c>
      <c r="D199" t="str">
        <f>_xlfn.XLOOKUP(Products[[#This Row],[Category]],'Supplier Mapping'!$C$2:$C$11,'Supplier Mapping'!$A$2:$A$11)</f>
        <v>Canada QuickServe Distribution</v>
      </c>
      <c r="E199" t="str">
        <f>_xlfn.XLOOKUP(Products[[#This Row],[Supplier]],'Supplier Mapping'!$A$2:$A$11,'Supplier Mapping'!$B$2:$B$11)</f>
        <v>SUP07</v>
      </c>
      <c r="F199" s="4">
        <v>2.85</v>
      </c>
      <c r="G199" s="4">
        <v>7.99</v>
      </c>
    </row>
    <row r="200" spans="1:7">
      <c r="A200" t="s">
        <v>421</v>
      </c>
      <c r="B200" t="s">
        <v>422</v>
      </c>
      <c r="C200" t="s">
        <v>406</v>
      </c>
      <c r="D200" t="str">
        <f>_xlfn.XLOOKUP(Products[[#This Row],[Category]],'Supplier Mapping'!$C$2:$C$11,'Supplier Mapping'!$A$2:$A$11)</f>
        <v>Canada QuickServe Distribution</v>
      </c>
      <c r="E200" t="str">
        <f>_xlfn.XLOOKUP(Products[[#This Row],[Supplier]],'Supplier Mapping'!$A$2:$A$11,'Supplier Mapping'!$B$2:$B$11)</f>
        <v>SUP07</v>
      </c>
      <c r="F200" s="4">
        <v>3.09</v>
      </c>
      <c r="G200" s="4">
        <v>8.99</v>
      </c>
    </row>
    <row r="201" spans="1:7">
      <c r="A201" t="s">
        <v>423</v>
      </c>
      <c r="B201" t="s">
        <v>424</v>
      </c>
      <c r="C201" t="s">
        <v>406</v>
      </c>
      <c r="D201" t="str">
        <f>_xlfn.XLOOKUP(Products[[#This Row],[Category]],'Supplier Mapping'!$C$2:$C$11,'Supplier Mapping'!$A$2:$A$11)</f>
        <v>Canada QuickServe Distribution</v>
      </c>
      <c r="E201" t="str">
        <f>_xlfn.XLOOKUP(Products[[#This Row],[Supplier]],'Supplier Mapping'!$A$2:$A$11,'Supplier Mapping'!$B$2:$B$11)</f>
        <v>SUP07</v>
      </c>
      <c r="F201" s="4">
        <v>4.66</v>
      </c>
      <c r="G201" s="4">
        <v>12.99</v>
      </c>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289FA5E-A89E-449C-84F6-2B77ED25B511}">
          <x14:formula1>
            <xm:f>'Supplier Mapping'!$C$2:$C$11</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2C0D-2FCB-41B2-A36B-7486B20A4873}">
  <dimension ref="A1:C11"/>
  <sheetViews>
    <sheetView workbookViewId="0">
      <selection activeCell="A3" sqref="A3:C9"/>
    </sheetView>
  </sheetViews>
  <sheetFormatPr defaultRowHeight="13.8"/>
  <cols>
    <col min="1" max="1" width="27.59765625" bestFit="1" customWidth="1"/>
    <col min="2" max="2" width="12.19921875" customWidth="1"/>
    <col min="3" max="3" width="18" customWidth="1"/>
  </cols>
  <sheetData>
    <row r="1" spans="1:3">
      <c r="A1" s="1" t="s">
        <v>435</v>
      </c>
      <c r="B1" s="1" t="s">
        <v>426</v>
      </c>
      <c r="C1" s="1" t="s">
        <v>0</v>
      </c>
    </row>
    <row r="2" spans="1:3">
      <c r="A2" t="s">
        <v>1</v>
      </c>
      <c r="B2" t="s">
        <v>427</v>
      </c>
      <c r="C2" t="s">
        <v>14</v>
      </c>
    </row>
    <row r="3" spans="1:3">
      <c r="A3" t="s">
        <v>1</v>
      </c>
      <c r="B3" t="s">
        <v>427</v>
      </c>
      <c r="C3" t="s">
        <v>84</v>
      </c>
    </row>
    <row r="4" spans="1:3">
      <c r="A4" t="s">
        <v>2</v>
      </c>
      <c r="B4" t="s">
        <v>428</v>
      </c>
      <c r="C4" t="s">
        <v>3</v>
      </c>
    </row>
    <row r="5" spans="1:3">
      <c r="A5" t="s">
        <v>10</v>
      </c>
      <c r="B5" t="s">
        <v>429</v>
      </c>
      <c r="C5" t="s">
        <v>11</v>
      </c>
    </row>
    <row r="6" spans="1:3">
      <c r="A6" t="s">
        <v>15</v>
      </c>
      <c r="B6" t="s">
        <v>430</v>
      </c>
      <c r="C6" t="s">
        <v>16</v>
      </c>
    </row>
    <row r="7" spans="1:3">
      <c r="A7" t="s">
        <v>19</v>
      </c>
      <c r="B7" t="s">
        <v>431</v>
      </c>
      <c r="C7" t="s">
        <v>20</v>
      </c>
    </row>
    <row r="8" spans="1:3">
      <c r="A8" t="s">
        <v>23</v>
      </c>
      <c r="B8" t="s">
        <v>432</v>
      </c>
      <c r="C8" t="s">
        <v>24</v>
      </c>
    </row>
    <row r="9" spans="1:3">
      <c r="A9" t="s">
        <v>27</v>
      </c>
      <c r="B9" t="s">
        <v>433</v>
      </c>
      <c r="C9" t="s">
        <v>365</v>
      </c>
    </row>
    <row r="10" spans="1:3">
      <c r="A10" t="s">
        <v>27</v>
      </c>
      <c r="B10" t="s">
        <v>433</v>
      </c>
      <c r="C10" t="s">
        <v>406</v>
      </c>
    </row>
    <row r="11" spans="1:3">
      <c r="A11" t="s">
        <v>30</v>
      </c>
      <c r="B11" t="s">
        <v>434</v>
      </c>
      <c r="C11"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292E6-0B46-402F-B9E8-29862D921DEE}">
  <dimension ref="A1:J1801"/>
  <sheetViews>
    <sheetView topLeftCell="A1694" zoomScaleNormal="100" workbookViewId="0">
      <selection activeCell="C1721" sqref="C1721"/>
    </sheetView>
  </sheetViews>
  <sheetFormatPr defaultRowHeight="13.8"/>
  <cols>
    <col min="1" max="1" width="9.796875" bestFit="1" customWidth="1"/>
    <col min="2" max="2" width="10.8984375" customWidth="1"/>
    <col min="3" max="3" width="13.59765625" bestFit="1" customWidth="1"/>
    <col min="4" max="4" width="30.09765625" bestFit="1" customWidth="1"/>
    <col min="5" max="5" width="15.796875" bestFit="1" customWidth="1"/>
    <col min="6" max="6" width="19" bestFit="1" customWidth="1"/>
    <col min="7" max="7" width="15.09765625" customWidth="1"/>
    <col min="8" max="8" width="14.3984375" customWidth="1"/>
    <col min="9" max="9" width="23.19921875" customWidth="1"/>
    <col min="10" max="10" width="21.3984375" customWidth="1"/>
  </cols>
  <sheetData>
    <row r="1" spans="1:10">
      <c r="A1" t="s">
        <v>436</v>
      </c>
      <c r="B1" t="s">
        <v>437</v>
      </c>
      <c r="C1" t="s">
        <v>4</v>
      </c>
      <c r="D1" t="s">
        <v>5</v>
      </c>
      <c r="E1" t="s">
        <v>6</v>
      </c>
      <c r="F1" t="s">
        <v>438</v>
      </c>
      <c r="G1" t="s">
        <v>439</v>
      </c>
      <c r="H1" t="s">
        <v>440</v>
      </c>
      <c r="I1" t="s">
        <v>441</v>
      </c>
      <c r="J1" t="s">
        <v>442</v>
      </c>
    </row>
    <row r="2" spans="1:10">
      <c r="A2" t="s">
        <v>443</v>
      </c>
      <c r="B2" s="2">
        <v>46023</v>
      </c>
      <c r="C2" t="s">
        <v>415</v>
      </c>
      <c r="D2" t="s">
        <v>416</v>
      </c>
      <c r="E2" t="str">
        <f>_xlfn.XLOOKUP(Sales[[#This Row],[Product Name]],Products[Product Name],Products[Category])</f>
        <v>Combo Meals</v>
      </c>
      <c r="F2" t="s">
        <v>444</v>
      </c>
      <c r="G2" t="s">
        <v>445</v>
      </c>
      <c r="H2">
        <v>61</v>
      </c>
      <c r="I2" s="5">
        <f>_xlfn.XLOOKUP(Sales[[#This Row],[Product Name]],Products[Product Name],Products[Selling Price (CAD)])</f>
        <v>9.99</v>
      </c>
      <c r="J2" s="5">
        <f>PRODUCT(Sales[[#This Row],[Quantity Sold]],Sales[[#This Row],[Unit Selling Price (CAD)]])</f>
        <v>609.39</v>
      </c>
    </row>
    <row r="3" spans="1:10">
      <c r="A3" t="s">
        <v>446</v>
      </c>
      <c r="B3" s="2">
        <v>46023</v>
      </c>
      <c r="C3" t="s">
        <v>376</v>
      </c>
      <c r="D3" t="s">
        <v>377</v>
      </c>
      <c r="E3" t="str">
        <f>_xlfn.XLOOKUP(Sales[[#This Row],[Product Name]],Products[Product Name],Products[Category])</f>
        <v>Kids Meals</v>
      </c>
      <c r="F3" t="s">
        <v>447</v>
      </c>
      <c r="G3" t="s">
        <v>445</v>
      </c>
      <c r="H3">
        <v>42</v>
      </c>
      <c r="I3" s="5">
        <f>_xlfn.XLOOKUP(Sales[[#This Row],[Product Name]],Products[Product Name],Products[Selling Price (CAD)])</f>
        <v>5.99</v>
      </c>
      <c r="J3" s="5">
        <f>PRODUCT(Sales[[#This Row],[Quantity Sold]],Sales[[#This Row],[Unit Selling Price (CAD)]])</f>
        <v>251.58</v>
      </c>
    </row>
    <row r="4" spans="1:10">
      <c r="A4" t="s">
        <v>448</v>
      </c>
      <c r="B4" s="2">
        <v>46023</v>
      </c>
      <c r="C4" t="s">
        <v>85</v>
      </c>
      <c r="D4" t="s">
        <v>86</v>
      </c>
      <c r="E4" t="str">
        <f>_xlfn.XLOOKUP(Sales[[#This Row],[Product Name]],Products[Product Name],Products[Category])</f>
        <v>Chicken</v>
      </c>
      <c r="F4" t="s">
        <v>449</v>
      </c>
      <c r="G4" t="s">
        <v>450</v>
      </c>
      <c r="H4">
        <v>62</v>
      </c>
      <c r="I4" s="5">
        <f>_xlfn.XLOOKUP(Sales[[#This Row],[Product Name]],Products[Product Name],Products[Selling Price (CAD)])</f>
        <v>6.99</v>
      </c>
      <c r="J4" s="5">
        <f>PRODUCT(Sales[[#This Row],[Quantity Sold]],Sales[[#This Row],[Unit Selling Price (CAD)]])</f>
        <v>433.38</v>
      </c>
    </row>
    <row r="5" spans="1:10">
      <c r="A5" t="s">
        <v>451</v>
      </c>
      <c r="B5" s="2">
        <v>46023</v>
      </c>
      <c r="C5" t="s">
        <v>221</v>
      </c>
      <c r="D5" t="s">
        <v>222</v>
      </c>
      <c r="E5" t="str">
        <f>_xlfn.XLOOKUP(Sales[[#This Row],[Product Name]],Products[Product Name],Products[Category])</f>
        <v>Sides</v>
      </c>
      <c r="F5" t="s">
        <v>444</v>
      </c>
      <c r="G5" t="s">
        <v>452</v>
      </c>
      <c r="H5">
        <v>62</v>
      </c>
      <c r="I5" s="5">
        <f>_xlfn.XLOOKUP(Sales[[#This Row],[Product Name]],Products[Product Name],Products[Selling Price (CAD)])</f>
        <v>5.99</v>
      </c>
      <c r="J5" s="5">
        <f>PRODUCT(Sales[[#This Row],[Quantity Sold]],Sales[[#This Row],[Unit Selling Price (CAD)]])</f>
        <v>371.38</v>
      </c>
    </row>
    <row r="6" spans="1:10">
      <c r="A6" t="s">
        <v>453</v>
      </c>
      <c r="B6" s="2">
        <v>46023</v>
      </c>
      <c r="C6" t="s">
        <v>301</v>
      </c>
      <c r="D6" t="s">
        <v>302</v>
      </c>
      <c r="E6" t="str">
        <f>_xlfn.XLOOKUP(Sales[[#This Row],[Product Name]],Products[Product Name],Products[Category])</f>
        <v>Beverages</v>
      </c>
      <c r="F6" t="s">
        <v>444</v>
      </c>
      <c r="G6" t="s">
        <v>454</v>
      </c>
      <c r="H6">
        <v>78</v>
      </c>
      <c r="I6" s="5">
        <f>_xlfn.XLOOKUP(Sales[[#This Row],[Product Name]],Products[Product Name],Products[Selling Price (CAD)])</f>
        <v>1.99</v>
      </c>
      <c r="J6" s="5">
        <f>PRODUCT(Sales[[#This Row],[Quantity Sold]],Sales[[#This Row],[Unit Selling Price (CAD)]])</f>
        <v>155.22</v>
      </c>
    </row>
    <row r="7" spans="1:10">
      <c r="A7" t="s">
        <v>455</v>
      </c>
      <c r="B7" s="2">
        <v>46023</v>
      </c>
      <c r="C7" t="s">
        <v>305</v>
      </c>
      <c r="D7" t="s">
        <v>306</v>
      </c>
      <c r="E7" t="str">
        <f>_xlfn.XLOOKUP(Sales[[#This Row],[Product Name]],Products[Product Name],Products[Category])</f>
        <v>Beverages</v>
      </c>
      <c r="F7" t="s">
        <v>447</v>
      </c>
      <c r="G7" t="s">
        <v>450</v>
      </c>
      <c r="H7">
        <v>78</v>
      </c>
      <c r="I7" s="5">
        <f>_xlfn.XLOOKUP(Sales[[#This Row],[Product Name]],Products[Product Name],Products[Selling Price (CAD)])</f>
        <v>2.99</v>
      </c>
      <c r="J7" s="5">
        <f>PRODUCT(Sales[[#This Row],[Quantity Sold]],Sales[[#This Row],[Unit Selling Price (CAD)]])</f>
        <v>233.22000000000003</v>
      </c>
    </row>
    <row r="8" spans="1:10">
      <c r="A8" t="s">
        <v>456</v>
      </c>
      <c r="B8" s="2">
        <v>46023</v>
      </c>
      <c r="C8" t="s">
        <v>163</v>
      </c>
      <c r="D8" t="s">
        <v>164</v>
      </c>
      <c r="E8" t="str">
        <f>_xlfn.XLOOKUP(Sales[[#This Row],[Product Name]],Products[Product Name],Products[Category])</f>
        <v>Breakfast</v>
      </c>
      <c r="F8" t="s">
        <v>444</v>
      </c>
      <c r="G8" t="s">
        <v>454</v>
      </c>
      <c r="H8">
        <v>34</v>
      </c>
      <c r="I8" s="5">
        <f>_xlfn.XLOOKUP(Sales[[#This Row],[Product Name]],Products[Product Name],Products[Selling Price (CAD)])</f>
        <v>3.99</v>
      </c>
      <c r="J8" s="5">
        <f>PRODUCT(Sales[[#This Row],[Quantity Sold]],Sales[[#This Row],[Unit Selling Price (CAD)]])</f>
        <v>135.66</v>
      </c>
    </row>
    <row r="9" spans="1:10">
      <c r="A9" t="s">
        <v>457</v>
      </c>
      <c r="B9" s="2">
        <v>46024</v>
      </c>
      <c r="C9" t="s">
        <v>390</v>
      </c>
      <c r="D9" t="s">
        <v>391</v>
      </c>
      <c r="E9" t="str">
        <f>_xlfn.XLOOKUP(Sales[[#This Row],[Product Name]],Products[Product Name],Products[Category])</f>
        <v>Sauces &amp; Add-ons</v>
      </c>
      <c r="F9" t="s">
        <v>449</v>
      </c>
      <c r="G9" t="s">
        <v>450</v>
      </c>
      <c r="H9">
        <v>54</v>
      </c>
      <c r="I9" s="5">
        <f>_xlfn.XLOOKUP(Sales[[#This Row],[Product Name]],Products[Product Name],Products[Selling Price (CAD)])</f>
        <v>0.5</v>
      </c>
      <c r="J9" s="5">
        <f>PRODUCT(Sales[[#This Row],[Quantity Sold]],Sales[[#This Row],[Unit Selling Price (CAD)]])</f>
        <v>27</v>
      </c>
    </row>
    <row r="10" spans="1:10">
      <c r="A10" t="s">
        <v>458</v>
      </c>
      <c r="B10" s="2">
        <v>46024</v>
      </c>
      <c r="C10" t="s">
        <v>357</v>
      </c>
      <c r="D10" t="s">
        <v>358</v>
      </c>
      <c r="E10" t="str">
        <f>_xlfn.XLOOKUP(Sales[[#This Row],[Product Name]],Products[Product Name],Products[Category])</f>
        <v>Desserts</v>
      </c>
      <c r="F10" t="s">
        <v>444</v>
      </c>
      <c r="G10" t="s">
        <v>450</v>
      </c>
      <c r="H10">
        <v>36</v>
      </c>
      <c r="I10" s="5">
        <f>_xlfn.XLOOKUP(Sales[[#This Row],[Product Name]],Products[Product Name],Products[Selling Price (CAD)])</f>
        <v>4.99</v>
      </c>
      <c r="J10" s="5">
        <f>PRODUCT(Sales[[#This Row],[Quantity Sold]],Sales[[#This Row],[Unit Selling Price (CAD)]])</f>
        <v>179.64000000000001</v>
      </c>
    </row>
    <row r="11" spans="1:10">
      <c r="A11" t="s">
        <v>459</v>
      </c>
      <c r="B11" s="2">
        <v>46024</v>
      </c>
      <c r="C11" t="s">
        <v>21</v>
      </c>
      <c r="D11" t="s">
        <v>22</v>
      </c>
      <c r="E11" t="str">
        <f>_xlfn.XLOOKUP(Sales[[#This Row],[Product Name]],Products[Product Name],Products[Category])</f>
        <v>Burgers</v>
      </c>
      <c r="F11" t="s">
        <v>444</v>
      </c>
      <c r="G11" t="s">
        <v>452</v>
      </c>
      <c r="H11">
        <v>70</v>
      </c>
      <c r="I11" s="5">
        <f>_xlfn.XLOOKUP(Sales[[#This Row],[Product Name]],Products[Product Name],Products[Selling Price (CAD)])</f>
        <v>9.99</v>
      </c>
      <c r="J11" s="5">
        <f>PRODUCT(Sales[[#This Row],[Quantity Sold]],Sales[[#This Row],[Unit Selling Price (CAD)]])</f>
        <v>699.30000000000007</v>
      </c>
    </row>
    <row r="12" spans="1:10">
      <c r="A12" t="s">
        <v>460</v>
      </c>
      <c r="B12" s="2">
        <v>46024</v>
      </c>
      <c r="C12" t="s">
        <v>259</v>
      </c>
      <c r="D12" t="s">
        <v>260</v>
      </c>
      <c r="E12" t="str">
        <f>_xlfn.XLOOKUP(Sales[[#This Row],[Product Name]],Products[Product Name],Products[Category])</f>
        <v>Beverages</v>
      </c>
      <c r="F12" t="s">
        <v>449</v>
      </c>
      <c r="G12" t="s">
        <v>450</v>
      </c>
      <c r="H12">
        <v>63</v>
      </c>
      <c r="I12" s="5">
        <f>_xlfn.XLOOKUP(Sales[[#This Row],[Product Name]],Products[Product Name],Products[Selling Price (CAD)])</f>
        <v>1.99</v>
      </c>
      <c r="J12" s="5">
        <f>PRODUCT(Sales[[#This Row],[Quantity Sold]],Sales[[#This Row],[Unit Selling Price (CAD)]])</f>
        <v>125.37</v>
      </c>
    </row>
    <row r="13" spans="1:10">
      <c r="A13" t="s">
        <v>461</v>
      </c>
      <c r="B13" s="2">
        <v>46024</v>
      </c>
      <c r="C13" t="s">
        <v>361</v>
      </c>
      <c r="D13" t="s">
        <v>362</v>
      </c>
      <c r="E13" t="str">
        <f>_xlfn.XLOOKUP(Sales[[#This Row],[Product Name]],Products[Product Name],Products[Category])</f>
        <v>Desserts</v>
      </c>
      <c r="F13" t="s">
        <v>449</v>
      </c>
      <c r="G13" t="s">
        <v>445</v>
      </c>
      <c r="H13">
        <v>57</v>
      </c>
      <c r="I13" s="5">
        <f>_xlfn.XLOOKUP(Sales[[#This Row],[Product Name]],Products[Product Name],Products[Selling Price (CAD)])</f>
        <v>5.99</v>
      </c>
      <c r="J13" s="5">
        <f>PRODUCT(Sales[[#This Row],[Quantity Sold]],Sales[[#This Row],[Unit Selling Price (CAD)]])</f>
        <v>341.43</v>
      </c>
    </row>
    <row r="14" spans="1:10">
      <c r="A14" t="s">
        <v>462</v>
      </c>
      <c r="B14" s="2">
        <v>46025</v>
      </c>
      <c r="C14" t="s">
        <v>417</v>
      </c>
      <c r="D14" t="s">
        <v>418</v>
      </c>
      <c r="E14" t="str">
        <f>_xlfn.XLOOKUP(Sales[[#This Row],[Product Name]],Products[Product Name],Products[Category])</f>
        <v>Combo Meals</v>
      </c>
      <c r="F14" t="s">
        <v>447</v>
      </c>
      <c r="G14" t="s">
        <v>452</v>
      </c>
      <c r="H14">
        <v>75</v>
      </c>
      <c r="I14" s="5">
        <f>_xlfn.XLOOKUP(Sales[[#This Row],[Product Name]],Products[Product Name],Products[Selling Price (CAD)])</f>
        <v>9.99</v>
      </c>
      <c r="J14" s="5">
        <f>PRODUCT(Sales[[#This Row],[Quantity Sold]],Sales[[#This Row],[Unit Selling Price (CAD)]])</f>
        <v>749.25</v>
      </c>
    </row>
    <row r="15" spans="1:10">
      <c r="A15" t="s">
        <v>463</v>
      </c>
      <c r="B15" s="2">
        <v>46025</v>
      </c>
      <c r="C15" t="s">
        <v>285</v>
      </c>
      <c r="D15" t="s">
        <v>286</v>
      </c>
      <c r="E15" t="str">
        <f>_xlfn.XLOOKUP(Sales[[#This Row],[Product Name]],Products[Product Name],Products[Category])</f>
        <v>Beverages</v>
      </c>
      <c r="F15" t="s">
        <v>444</v>
      </c>
      <c r="G15" t="s">
        <v>450</v>
      </c>
      <c r="H15">
        <v>39</v>
      </c>
      <c r="I15" s="5">
        <f>_xlfn.XLOOKUP(Sales[[#This Row],[Product Name]],Products[Product Name],Products[Selling Price (CAD)])</f>
        <v>2.99</v>
      </c>
      <c r="J15" s="5">
        <f>PRODUCT(Sales[[#This Row],[Quantity Sold]],Sales[[#This Row],[Unit Selling Price (CAD)]])</f>
        <v>116.61000000000001</v>
      </c>
    </row>
    <row r="16" spans="1:10">
      <c r="A16" t="s">
        <v>464</v>
      </c>
      <c r="B16" s="2">
        <v>46025</v>
      </c>
      <c r="C16" t="s">
        <v>419</v>
      </c>
      <c r="D16" t="s">
        <v>420</v>
      </c>
      <c r="E16" t="str">
        <f>_xlfn.XLOOKUP(Sales[[#This Row],[Product Name]],Products[Product Name],Products[Category])</f>
        <v>Combo Meals</v>
      </c>
      <c r="F16" t="s">
        <v>444</v>
      </c>
      <c r="G16" t="s">
        <v>452</v>
      </c>
      <c r="H16">
        <v>79</v>
      </c>
      <c r="I16" s="5">
        <f>_xlfn.XLOOKUP(Sales[[#This Row],[Product Name]],Products[Product Name],Products[Selling Price (CAD)])</f>
        <v>7.99</v>
      </c>
      <c r="J16" s="5">
        <f>PRODUCT(Sales[[#This Row],[Quantity Sold]],Sales[[#This Row],[Unit Selling Price (CAD)]])</f>
        <v>631.21</v>
      </c>
    </row>
    <row r="17" spans="1:10">
      <c r="A17" t="s">
        <v>465</v>
      </c>
      <c r="B17" s="2">
        <v>46025</v>
      </c>
      <c r="C17" t="s">
        <v>301</v>
      </c>
      <c r="D17" t="s">
        <v>302</v>
      </c>
      <c r="E17" t="str">
        <f>_xlfn.XLOOKUP(Sales[[#This Row],[Product Name]],Products[Product Name],Products[Category])</f>
        <v>Beverages</v>
      </c>
      <c r="F17" t="s">
        <v>447</v>
      </c>
      <c r="G17" t="s">
        <v>450</v>
      </c>
      <c r="H17">
        <v>40</v>
      </c>
      <c r="I17" s="5">
        <f>_xlfn.XLOOKUP(Sales[[#This Row],[Product Name]],Products[Product Name],Products[Selling Price (CAD)])</f>
        <v>1.99</v>
      </c>
      <c r="J17" s="5">
        <f>PRODUCT(Sales[[#This Row],[Quantity Sold]],Sales[[#This Row],[Unit Selling Price (CAD)]])</f>
        <v>79.599999999999994</v>
      </c>
    </row>
    <row r="18" spans="1:10">
      <c r="A18" t="s">
        <v>466</v>
      </c>
      <c r="B18" s="2">
        <v>46025</v>
      </c>
      <c r="C18" t="s">
        <v>12</v>
      </c>
      <c r="D18" t="s">
        <v>13</v>
      </c>
      <c r="E18" t="str">
        <f>_xlfn.XLOOKUP(Sales[[#This Row],[Product Name]],Products[Product Name],Products[Category])</f>
        <v>Burgers</v>
      </c>
      <c r="F18" t="s">
        <v>447</v>
      </c>
      <c r="G18" t="s">
        <v>450</v>
      </c>
      <c r="H18">
        <v>35</v>
      </c>
      <c r="I18" s="5">
        <f>_xlfn.XLOOKUP(Sales[[#This Row],[Product Name]],Products[Product Name],Products[Selling Price (CAD)])</f>
        <v>5.99</v>
      </c>
      <c r="J18" s="5">
        <f>PRODUCT(Sales[[#This Row],[Quantity Sold]],Sales[[#This Row],[Unit Selling Price (CAD)]])</f>
        <v>209.65</v>
      </c>
    </row>
    <row r="19" spans="1:10">
      <c r="A19" t="s">
        <v>467</v>
      </c>
      <c r="B19" s="2">
        <v>46025</v>
      </c>
      <c r="C19" t="s">
        <v>42</v>
      </c>
      <c r="D19" t="s">
        <v>43</v>
      </c>
      <c r="E19" t="str">
        <f>_xlfn.XLOOKUP(Sales[[#This Row],[Product Name]],Products[Product Name],Products[Category])</f>
        <v>Burgers</v>
      </c>
      <c r="F19" t="s">
        <v>447</v>
      </c>
      <c r="G19" t="s">
        <v>450</v>
      </c>
      <c r="H19">
        <v>44</v>
      </c>
      <c r="I19" s="5">
        <f>_xlfn.XLOOKUP(Sales[[#This Row],[Product Name]],Products[Product Name],Products[Selling Price (CAD)])</f>
        <v>8.99</v>
      </c>
      <c r="J19" s="5">
        <f>PRODUCT(Sales[[#This Row],[Quantity Sold]],Sales[[#This Row],[Unit Selling Price (CAD)]])</f>
        <v>395.56</v>
      </c>
    </row>
    <row r="20" spans="1:10">
      <c r="A20" t="s">
        <v>468</v>
      </c>
      <c r="B20" s="2">
        <v>46026</v>
      </c>
      <c r="C20" t="s">
        <v>261</v>
      </c>
      <c r="D20" t="s">
        <v>262</v>
      </c>
      <c r="E20" t="str">
        <f>_xlfn.XLOOKUP(Sales[[#This Row],[Product Name]],Products[Product Name],Products[Category])</f>
        <v>Beverages</v>
      </c>
      <c r="F20" t="s">
        <v>444</v>
      </c>
      <c r="G20" t="s">
        <v>450</v>
      </c>
      <c r="H20">
        <v>53</v>
      </c>
      <c r="I20" s="5">
        <f>_xlfn.XLOOKUP(Sales[[#This Row],[Product Name]],Products[Product Name],Products[Selling Price (CAD)])</f>
        <v>2.99</v>
      </c>
      <c r="J20" s="5">
        <f>PRODUCT(Sales[[#This Row],[Quantity Sold]],Sales[[#This Row],[Unit Selling Price (CAD)]])</f>
        <v>158.47</v>
      </c>
    </row>
    <row r="21" spans="1:10">
      <c r="A21" t="s">
        <v>469</v>
      </c>
      <c r="B21" s="2">
        <v>46026</v>
      </c>
      <c r="C21" t="s">
        <v>149</v>
      </c>
      <c r="D21" t="s">
        <v>150</v>
      </c>
      <c r="E21" t="str">
        <f>_xlfn.XLOOKUP(Sales[[#This Row],[Product Name]],Products[Product Name],Products[Category])</f>
        <v>Breakfast</v>
      </c>
      <c r="F21" t="s">
        <v>447</v>
      </c>
      <c r="G21" t="s">
        <v>450</v>
      </c>
      <c r="H21">
        <v>64</v>
      </c>
      <c r="I21" s="5">
        <f>_xlfn.XLOOKUP(Sales[[#This Row],[Product Name]],Products[Product Name],Products[Selling Price (CAD)])</f>
        <v>5.99</v>
      </c>
      <c r="J21" s="5">
        <f>PRODUCT(Sales[[#This Row],[Quantity Sold]],Sales[[#This Row],[Unit Selling Price (CAD)]])</f>
        <v>383.36</v>
      </c>
    </row>
    <row r="22" spans="1:10">
      <c r="A22" t="s">
        <v>470</v>
      </c>
      <c r="B22" s="2">
        <v>46026</v>
      </c>
      <c r="C22" t="s">
        <v>261</v>
      </c>
      <c r="D22" t="s">
        <v>262</v>
      </c>
      <c r="E22" t="str">
        <f>_xlfn.XLOOKUP(Sales[[#This Row],[Product Name]],Products[Product Name],Products[Category])</f>
        <v>Beverages</v>
      </c>
      <c r="F22" t="s">
        <v>449</v>
      </c>
      <c r="G22" t="s">
        <v>454</v>
      </c>
      <c r="H22">
        <v>70</v>
      </c>
      <c r="I22" s="5">
        <f>_xlfn.XLOOKUP(Sales[[#This Row],[Product Name]],Products[Product Name],Products[Selling Price (CAD)])</f>
        <v>2.99</v>
      </c>
      <c r="J22" s="5">
        <f>PRODUCT(Sales[[#This Row],[Quantity Sold]],Sales[[#This Row],[Unit Selling Price (CAD)]])</f>
        <v>209.3</v>
      </c>
    </row>
    <row r="23" spans="1:10">
      <c r="A23" t="s">
        <v>471</v>
      </c>
      <c r="B23" s="2">
        <v>46026</v>
      </c>
      <c r="C23" t="s">
        <v>215</v>
      </c>
      <c r="D23" t="s">
        <v>216</v>
      </c>
      <c r="E23" t="str">
        <f>_xlfn.XLOOKUP(Sales[[#This Row],[Product Name]],Products[Product Name],Products[Category])</f>
        <v>Sides</v>
      </c>
      <c r="F23" t="s">
        <v>447</v>
      </c>
      <c r="G23" t="s">
        <v>450</v>
      </c>
      <c r="H23">
        <v>48</v>
      </c>
      <c r="I23" s="5">
        <f>_xlfn.XLOOKUP(Sales[[#This Row],[Product Name]],Products[Product Name],Products[Selling Price (CAD)])</f>
        <v>2.99</v>
      </c>
      <c r="J23" s="5">
        <f>PRODUCT(Sales[[#This Row],[Quantity Sold]],Sales[[#This Row],[Unit Selling Price (CAD)]])</f>
        <v>143.52000000000001</v>
      </c>
    </row>
    <row r="24" spans="1:10">
      <c r="A24" t="s">
        <v>472</v>
      </c>
      <c r="B24" s="2">
        <v>46026</v>
      </c>
      <c r="C24" t="s">
        <v>193</v>
      </c>
      <c r="D24" t="s">
        <v>194</v>
      </c>
      <c r="E24" t="str">
        <f>_xlfn.XLOOKUP(Sales[[#This Row],[Product Name]],Products[Product Name],Products[Category])</f>
        <v>Sides</v>
      </c>
      <c r="F24" t="s">
        <v>444</v>
      </c>
      <c r="G24" t="s">
        <v>452</v>
      </c>
      <c r="H24">
        <v>46</v>
      </c>
      <c r="I24" s="5">
        <f>_xlfn.XLOOKUP(Sales[[#This Row],[Product Name]],Products[Product Name],Products[Selling Price (CAD)])</f>
        <v>4.99</v>
      </c>
      <c r="J24" s="5">
        <f>PRODUCT(Sales[[#This Row],[Quantity Sold]],Sales[[#This Row],[Unit Selling Price (CAD)]])</f>
        <v>229.54000000000002</v>
      </c>
    </row>
    <row r="25" spans="1:10">
      <c r="A25" t="s">
        <v>473</v>
      </c>
      <c r="B25" s="2">
        <v>46026</v>
      </c>
      <c r="C25" t="s">
        <v>323</v>
      </c>
      <c r="D25" t="s">
        <v>324</v>
      </c>
      <c r="E25" t="str">
        <f>_xlfn.XLOOKUP(Sales[[#This Row],[Product Name]],Products[Product Name],Products[Category])</f>
        <v>Desserts</v>
      </c>
      <c r="F25" t="s">
        <v>444</v>
      </c>
      <c r="G25" t="s">
        <v>454</v>
      </c>
      <c r="H25">
        <v>41</v>
      </c>
      <c r="I25" s="5">
        <f>_xlfn.XLOOKUP(Sales[[#This Row],[Product Name]],Products[Product Name],Products[Selling Price (CAD)])</f>
        <v>2.99</v>
      </c>
      <c r="J25" s="5">
        <f>PRODUCT(Sales[[#This Row],[Quantity Sold]],Sales[[#This Row],[Unit Selling Price (CAD)]])</f>
        <v>122.59</v>
      </c>
    </row>
    <row r="26" spans="1:10">
      <c r="A26" t="s">
        <v>474</v>
      </c>
      <c r="B26" s="2">
        <v>46026</v>
      </c>
      <c r="C26" t="s">
        <v>273</v>
      </c>
      <c r="D26" t="s">
        <v>274</v>
      </c>
      <c r="E26" t="str">
        <f>_xlfn.XLOOKUP(Sales[[#This Row],[Product Name]],Products[Product Name],Products[Category])</f>
        <v>Beverages</v>
      </c>
      <c r="F26" t="s">
        <v>447</v>
      </c>
      <c r="G26" t="s">
        <v>452</v>
      </c>
      <c r="H26">
        <v>55</v>
      </c>
      <c r="I26" s="5">
        <f>_xlfn.XLOOKUP(Sales[[#This Row],[Product Name]],Products[Product Name],Products[Selling Price (CAD)])</f>
        <v>2.99</v>
      </c>
      <c r="J26" s="5">
        <f>PRODUCT(Sales[[#This Row],[Quantity Sold]],Sales[[#This Row],[Unit Selling Price (CAD)]])</f>
        <v>164.45000000000002</v>
      </c>
    </row>
    <row r="27" spans="1:10">
      <c r="A27" t="s">
        <v>475</v>
      </c>
      <c r="B27" s="2">
        <v>46026</v>
      </c>
      <c r="C27" t="s">
        <v>38</v>
      </c>
      <c r="D27" t="s">
        <v>39</v>
      </c>
      <c r="E27" t="str">
        <f>_xlfn.XLOOKUP(Sales[[#This Row],[Product Name]],Products[Product Name],Products[Category])</f>
        <v>Burgers</v>
      </c>
      <c r="F27" t="s">
        <v>447</v>
      </c>
      <c r="G27" t="s">
        <v>450</v>
      </c>
      <c r="H27">
        <v>58</v>
      </c>
      <c r="I27" s="5">
        <f>_xlfn.XLOOKUP(Sales[[#This Row],[Product Name]],Products[Product Name],Products[Selling Price (CAD)])</f>
        <v>10.99</v>
      </c>
      <c r="J27" s="5">
        <f>PRODUCT(Sales[[#This Row],[Quantity Sold]],Sales[[#This Row],[Unit Selling Price (CAD)]])</f>
        <v>637.41999999999996</v>
      </c>
    </row>
    <row r="28" spans="1:10">
      <c r="A28" t="s">
        <v>476</v>
      </c>
      <c r="B28" s="2">
        <v>46027</v>
      </c>
      <c r="C28" t="s">
        <v>413</v>
      </c>
      <c r="D28" t="s">
        <v>414</v>
      </c>
      <c r="E28" t="str">
        <f>_xlfn.XLOOKUP(Sales[[#This Row],[Product Name]],Products[Product Name],Products[Category])</f>
        <v>Combo Meals</v>
      </c>
      <c r="F28" t="s">
        <v>447</v>
      </c>
      <c r="G28" t="s">
        <v>450</v>
      </c>
      <c r="H28">
        <v>33</v>
      </c>
      <c r="I28" s="5">
        <f>_xlfn.XLOOKUP(Sales[[#This Row],[Product Name]],Products[Product Name],Products[Selling Price (CAD)])</f>
        <v>10.99</v>
      </c>
      <c r="J28" s="5">
        <f>PRODUCT(Sales[[#This Row],[Quantity Sold]],Sales[[#This Row],[Unit Selling Price (CAD)]])</f>
        <v>362.67</v>
      </c>
    </row>
    <row r="29" spans="1:10">
      <c r="A29" t="s">
        <v>477</v>
      </c>
      <c r="B29" s="2">
        <v>46027</v>
      </c>
      <c r="C29" t="s">
        <v>87</v>
      </c>
      <c r="D29" t="s">
        <v>88</v>
      </c>
      <c r="E29" t="str">
        <f>_xlfn.XLOOKUP(Sales[[#This Row],[Product Name]],Products[Product Name],Products[Category])</f>
        <v>Chicken</v>
      </c>
      <c r="F29" t="s">
        <v>449</v>
      </c>
      <c r="G29" t="s">
        <v>450</v>
      </c>
      <c r="H29">
        <v>75</v>
      </c>
      <c r="I29" s="5">
        <f>_xlfn.XLOOKUP(Sales[[#This Row],[Product Name]],Products[Product Name],Products[Selling Price (CAD)])</f>
        <v>6.99</v>
      </c>
      <c r="J29" s="5">
        <f>PRODUCT(Sales[[#This Row],[Quantity Sold]],Sales[[#This Row],[Unit Selling Price (CAD)]])</f>
        <v>524.25</v>
      </c>
    </row>
    <row r="30" spans="1:10">
      <c r="A30" t="s">
        <v>478</v>
      </c>
      <c r="B30" s="2">
        <v>46027</v>
      </c>
      <c r="C30" t="s">
        <v>267</v>
      </c>
      <c r="D30" t="s">
        <v>268</v>
      </c>
      <c r="E30" t="str">
        <f>_xlfn.XLOOKUP(Sales[[#This Row],[Product Name]],Products[Product Name],Products[Category])</f>
        <v>Beverages</v>
      </c>
      <c r="F30" t="s">
        <v>444</v>
      </c>
      <c r="G30" t="s">
        <v>450</v>
      </c>
      <c r="H30">
        <v>34</v>
      </c>
      <c r="I30" s="5">
        <f>_xlfn.XLOOKUP(Sales[[#This Row],[Product Name]],Products[Product Name],Products[Selling Price (CAD)])</f>
        <v>2.99</v>
      </c>
      <c r="J30" s="5">
        <f>PRODUCT(Sales[[#This Row],[Quantity Sold]],Sales[[#This Row],[Unit Selling Price (CAD)]])</f>
        <v>101.66000000000001</v>
      </c>
    </row>
    <row r="31" spans="1:10">
      <c r="A31" t="s">
        <v>479</v>
      </c>
      <c r="B31" s="2">
        <v>46027</v>
      </c>
      <c r="C31" t="s">
        <v>315</v>
      </c>
      <c r="D31" t="s">
        <v>316</v>
      </c>
      <c r="E31" t="str">
        <f>_xlfn.XLOOKUP(Sales[[#This Row],[Product Name]],Products[Product Name],Products[Category])</f>
        <v>Beverages</v>
      </c>
      <c r="F31" t="s">
        <v>449</v>
      </c>
      <c r="G31" t="s">
        <v>454</v>
      </c>
      <c r="H31">
        <v>60</v>
      </c>
      <c r="I31" s="5">
        <f>_xlfn.XLOOKUP(Sales[[#This Row],[Product Name]],Products[Product Name],Products[Selling Price (CAD)])</f>
        <v>3.99</v>
      </c>
      <c r="J31" s="5">
        <f>PRODUCT(Sales[[#This Row],[Quantity Sold]],Sales[[#This Row],[Unit Selling Price (CAD)]])</f>
        <v>239.4</v>
      </c>
    </row>
    <row r="32" spans="1:10">
      <c r="A32" t="s">
        <v>480</v>
      </c>
      <c r="B32" s="2">
        <v>46027</v>
      </c>
      <c r="C32" t="s">
        <v>361</v>
      </c>
      <c r="D32" t="s">
        <v>362</v>
      </c>
      <c r="E32" t="str">
        <f>_xlfn.XLOOKUP(Sales[[#This Row],[Product Name]],Products[Product Name],Products[Category])</f>
        <v>Desserts</v>
      </c>
      <c r="F32" t="s">
        <v>444</v>
      </c>
      <c r="G32" t="s">
        <v>450</v>
      </c>
      <c r="H32">
        <v>34</v>
      </c>
      <c r="I32" s="5">
        <f>_xlfn.XLOOKUP(Sales[[#This Row],[Product Name]],Products[Product Name],Products[Selling Price (CAD)])</f>
        <v>5.99</v>
      </c>
      <c r="J32" s="5">
        <f>PRODUCT(Sales[[#This Row],[Quantity Sold]],Sales[[#This Row],[Unit Selling Price (CAD)]])</f>
        <v>203.66</v>
      </c>
    </row>
    <row r="33" spans="1:10">
      <c r="A33" t="s">
        <v>481</v>
      </c>
      <c r="B33" s="2">
        <v>46028</v>
      </c>
      <c r="C33" t="s">
        <v>103</v>
      </c>
      <c r="D33" t="s">
        <v>104</v>
      </c>
      <c r="E33" t="str">
        <f>_xlfn.XLOOKUP(Sales[[#This Row],[Product Name]],Products[Product Name],Products[Category])</f>
        <v>Chicken</v>
      </c>
      <c r="F33" t="s">
        <v>444</v>
      </c>
      <c r="G33" t="s">
        <v>450</v>
      </c>
      <c r="H33">
        <v>39</v>
      </c>
      <c r="I33" s="5">
        <f>_xlfn.XLOOKUP(Sales[[#This Row],[Product Name]],Products[Product Name],Products[Selling Price (CAD)])</f>
        <v>7.99</v>
      </c>
      <c r="J33" s="5">
        <f>PRODUCT(Sales[[#This Row],[Quantity Sold]],Sales[[#This Row],[Unit Selling Price (CAD)]])</f>
        <v>311.61</v>
      </c>
    </row>
    <row r="34" spans="1:10">
      <c r="A34" t="s">
        <v>482</v>
      </c>
      <c r="B34" s="2">
        <v>46028</v>
      </c>
      <c r="C34" t="s">
        <v>165</v>
      </c>
      <c r="D34" t="s">
        <v>166</v>
      </c>
      <c r="E34" t="str">
        <f>_xlfn.XLOOKUP(Sales[[#This Row],[Product Name]],Products[Product Name],Products[Category])</f>
        <v>Breakfast</v>
      </c>
      <c r="F34" t="s">
        <v>449</v>
      </c>
      <c r="G34" t="s">
        <v>454</v>
      </c>
      <c r="H34">
        <v>78</v>
      </c>
      <c r="I34" s="5">
        <f>_xlfn.XLOOKUP(Sales[[#This Row],[Product Name]],Products[Product Name],Products[Selling Price (CAD)])</f>
        <v>3.99</v>
      </c>
      <c r="J34" s="5">
        <f>PRODUCT(Sales[[#This Row],[Quantity Sold]],Sales[[#This Row],[Unit Selling Price (CAD)]])</f>
        <v>311.22000000000003</v>
      </c>
    </row>
    <row r="35" spans="1:10">
      <c r="A35" t="s">
        <v>483</v>
      </c>
      <c r="B35" s="2">
        <v>46029</v>
      </c>
      <c r="C35" t="s">
        <v>335</v>
      </c>
      <c r="D35" t="s">
        <v>336</v>
      </c>
      <c r="E35" t="str">
        <f>_xlfn.XLOOKUP(Sales[[#This Row],[Product Name]],Products[Product Name],Products[Category])</f>
        <v>Desserts</v>
      </c>
      <c r="F35" t="s">
        <v>447</v>
      </c>
      <c r="G35" t="s">
        <v>445</v>
      </c>
      <c r="H35">
        <v>48</v>
      </c>
      <c r="I35" s="5">
        <f>_xlfn.XLOOKUP(Sales[[#This Row],[Product Name]],Products[Product Name],Products[Selling Price (CAD)])</f>
        <v>1.49</v>
      </c>
      <c r="J35" s="5">
        <f>PRODUCT(Sales[[#This Row],[Quantity Sold]],Sales[[#This Row],[Unit Selling Price (CAD)]])</f>
        <v>71.52</v>
      </c>
    </row>
    <row r="36" spans="1:10">
      <c r="A36" t="s">
        <v>484</v>
      </c>
      <c r="B36" s="2">
        <v>46029</v>
      </c>
      <c r="C36" t="s">
        <v>293</v>
      </c>
      <c r="D36" t="s">
        <v>294</v>
      </c>
      <c r="E36" t="str">
        <f>_xlfn.XLOOKUP(Sales[[#This Row],[Product Name]],Products[Product Name],Products[Category])</f>
        <v>Beverages</v>
      </c>
      <c r="F36" t="s">
        <v>444</v>
      </c>
      <c r="G36" t="s">
        <v>450</v>
      </c>
      <c r="H36">
        <v>70</v>
      </c>
      <c r="I36" s="5">
        <f>_xlfn.XLOOKUP(Sales[[#This Row],[Product Name]],Products[Product Name],Products[Selling Price (CAD)])</f>
        <v>3.99</v>
      </c>
      <c r="J36" s="5">
        <f>PRODUCT(Sales[[#This Row],[Quantity Sold]],Sales[[#This Row],[Unit Selling Price (CAD)]])</f>
        <v>279.3</v>
      </c>
    </row>
    <row r="37" spans="1:10">
      <c r="A37" t="s">
        <v>485</v>
      </c>
      <c r="B37" s="2">
        <v>46029</v>
      </c>
      <c r="C37" t="s">
        <v>394</v>
      </c>
      <c r="D37" t="s">
        <v>395</v>
      </c>
      <c r="E37" t="str">
        <f>_xlfn.XLOOKUP(Sales[[#This Row],[Product Name]],Products[Product Name],Products[Category])</f>
        <v>Sauces &amp; Add-ons</v>
      </c>
      <c r="F37" t="s">
        <v>449</v>
      </c>
      <c r="G37" t="s">
        <v>454</v>
      </c>
      <c r="H37">
        <v>34</v>
      </c>
      <c r="I37" s="5">
        <f>_xlfn.XLOOKUP(Sales[[#This Row],[Product Name]],Products[Product Name],Products[Selling Price (CAD)])</f>
        <v>0.5</v>
      </c>
      <c r="J37" s="5">
        <f>PRODUCT(Sales[[#This Row],[Quantity Sold]],Sales[[#This Row],[Unit Selling Price (CAD)]])</f>
        <v>17</v>
      </c>
    </row>
    <row r="38" spans="1:10">
      <c r="A38" t="s">
        <v>486</v>
      </c>
      <c r="B38" s="2">
        <v>46029</v>
      </c>
      <c r="C38" t="s">
        <v>40</v>
      </c>
      <c r="D38" t="s">
        <v>41</v>
      </c>
      <c r="E38" t="str">
        <f>_xlfn.XLOOKUP(Sales[[#This Row],[Product Name]],Products[Product Name],Products[Category])</f>
        <v>Burgers</v>
      </c>
      <c r="F38" t="s">
        <v>444</v>
      </c>
      <c r="G38" t="s">
        <v>450</v>
      </c>
      <c r="H38">
        <v>54</v>
      </c>
      <c r="I38" s="5">
        <f>_xlfn.XLOOKUP(Sales[[#This Row],[Product Name]],Products[Product Name],Products[Selling Price (CAD)])</f>
        <v>6.99</v>
      </c>
      <c r="J38" s="5">
        <f>PRODUCT(Sales[[#This Row],[Quantity Sold]],Sales[[#This Row],[Unit Selling Price (CAD)]])</f>
        <v>377.46000000000004</v>
      </c>
    </row>
    <row r="39" spans="1:10">
      <c r="A39" t="s">
        <v>487</v>
      </c>
      <c r="B39" s="2">
        <v>46029</v>
      </c>
      <c r="C39" t="s">
        <v>259</v>
      </c>
      <c r="D39" t="s">
        <v>260</v>
      </c>
      <c r="E39" t="str">
        <f>_xlfn.XLOOKUP(Sales[[#This Row],[Product Name]],Products[Product Name],Products[Category])</f>
        <v>Beverages</v>
      </c>
      <c r="F39" t="s">
        <v>449</v>
      </c>
      <c r="G39" t="s">
        <v>450</v>
      </c>
      <c r="H39">
        <v>43</v>
      </c>
      <c r="I39" s="5">
        <f>_xlfn.XLOOKUP(Sales[[#This Row],[Product Name]],Products[Product Name],Products[Selling Price (CAD)])</f>
        <v>1.99</v>
      </c>
      <c r="J39" s="5">
        <f>PRODUCT(Sales[[#This Row],[Quantity Sold]],Sales[[#This Row],[Unit Selling Price (CAD)]])</f>
        <v>85.57</v>
      </c>
    </row>
    <row r="40" spans="1:10">
      <c r="A40" t="s">
        <v>488</v>
      </c>
      <c r="B40" s="2">
        <v>46029</v>
      </c>
      <c r="C40" t="s">
        <v>351</v>
      </c>
      <c r="D40" t="s">
        <v>352</v>
      </c>
      <c r="E40" t="str">
        <f>_xlfn.XLOOKUP(Sales[[#This Row],[Product Name]],Products[Product Name],Products[Category])</f>
        <v>Desserts</v>
      </c>
      <c r="F40" t="s">
        <v>449</v>
      </c>
      <c r="G40" t="s">
        <v>450</v>
      </c>
      <c r="H40">
        <v>34</v>
      </c>
      <c r="I40" s="5">
        <f>_xlfn.XLOOKUP(Sales[[#This Row],[Product Name]],Products[Product Name],Products[Selling Price (CAD)])</f>
        <v>4.99</v>
      </c>
      <c r="J40" s="5">
        <f>PRODUCT(Sales[[#This Row],[Quantity Sold]],Sales[[#This Row],[Unit Selling Price (CAD)]])</f>
        <v>169.66</v>
      </c>
    </row>
    <row r="41" spans="1:10">
      <c r="A41" t="s">
        <v>489</v>
      </c>
      <c r="B41" s="2">
        <v>46029</v>
      </c>
      <c r="C41" t="s">
        <v>349</v>
      </c>
      <c r="D41" t="s">
        <v>350</v>
      </c>
      <c r="E41" t="str">
        <f>_xlfn.XLOOKUP(Sales[[#This Row],[Product Name]],Products[Product Name],Products[Category])</f>
        <v>Desserts</v>
      </c>
      <c r="F41" t="s">
        <v>444</v>
      </c>
      <c r="G41" t="s">
        <v>445</v>
      </c>
      <c r="H41">
        <v>38</v>
      </c>
      <c r="I41" s="5">
        <f>_xlfn.XLOOKUP(Sales[[#This Row],[Product Name]],Products[Product Name],Products[Selling Price (CAD)])</f>
        <v>4.99</v>
      </c>
      <c r="J41" s="5">
        <f>PRODUCT(Sales[[#This Row],[Quantity Sold]],Sales[[#This Row],[Unit Selling Price (CAD)]])</f>
        <v>189.62</v>
      </c>
    </row>
    <row r="42" spans="1:10">
      <c r="A42" t="s">
        <v>490</v>
      </c>
      <c r="B42" s="2">
        <v>46029</v>
      </c>
      <c r="C42" t="s">
        <v>123</v>
      </c>
      <c r="D42" t="s">
        <v>124</v>
      </c>
      <c r="E42" t="str">
        <f>_xlfn.XLOOKUP(Sales[[#This Row],[Product Name]],Products[Product Name],Products[Category])</f>
        <v>Chicken</v>
      </c>
      <c r="F42" t="s">
        <v>449</v>
      </c>
      <c r="G42" t="s">
        <v>450</v>
      </c>
      <c r="H42">
        <v>51</v>
      </c>
      <c r="I42" s="5">
        <f>_xlfn.XLOOKUP(Sales[[#This Row],[Product Name]],Products[Product Name],Products[Selling Price (CAD)])</f>
        <v>2.99</v>
      </c>
      <c r="J42" s="5">
        <f>PRODUCT(Sales[[#This Row],[Quantity Sold]],Sales[[#This Row],[Unit Selling Price (CAD)]])</f>
        <v>152.49</v>
      </c>
    </row>
    <row r="43" spans="1:10">
      <c r="A43" t="s">
        <v>491</v>
      </c>
      <c r="B43" s="2">
        <v>46029</v>
      </c>
      <c r="C43" t="s">
        <v>199</v>
      </c>
      <c r="D43" t="s">
        <v>200</v>
      </c>
      <c r="E43" t="str">
        <f>_xlfn.XLOOKUP(Sales[[#This Row],[Product Name]],Products[Product Name],Products[Category])</f>
        <v>Sides</v>
      </c>
      <c r="F43" t="s">
        <v>444</v>
      </c>
      <c r="G43" t="s">
        <v>450</v>
      </c>
      <c r="H43">
        <v>46</v>
      </c>
      <c r="I43" s="5">
        <f>_xlfn.XLOOKUP(Sales[[#This Row],[Product Name]],Products[Product Name],Products[Selling Price (CAD)])</f>
        <v>4.99</v>
      </c>
      <c r="J43" s="5">
        <f>PRODUCT(Sales[[#This Row],[Quantity Sold]],Sales[[#This Row],[Unit Selling Price (CAD)]])</f>
        <v>229.54000000000002</v>
      </c>
    </row>
    <row r="44" spans="1:10">
      <c r="A44" t="s">
        <v>492</v>
      </c>
      <c r="B44" s="2">
        <v>46029</v>
      </c>
      <c r="C44" t="s">
        <v>249</v>
      </c>
      <c r="D44" t="s">
        <v>250</v>
      </c>
      <c r="E44" t="str">
        <f>_xlfn.XLOOKUP(Sales[[#This Row],[Product Name]],Products[Product Name],Products[Category])</f>
        <v>Salads</v>
      </c>
      <c r="F44" t="s">
        <v>444</v>
      </c>
      <c r="G44" t="s">
        <v>450</v>
      </c>
      <c r="H44">
        <v>53</v>
      </c>
      <c r="I44" s="5">
        <f>_xlfn.XLOOKUP(Sales[[#This Row],[Product Name]],Products[Product Name],Products[Selling Price (CAD)])</f>
        <v>7.49</v>
      </c>
      <c r="J44" s="5">
        <f>PRODUCT(Sales[[#This Row],[Quantity Sold]],Sales[[#This Row],[Unit Selling Price (CAD)]])</f>
        <v>396.97</v>
      </c>
    </row>
    <row r="45" spans="1:10">
      <c r="A45" t="s">
        <v>493</v>
      </c>
      <c r="B45" s="2">
        <v>46029</v>
      </c>
      <c r="C45" t="s">
        <v>123</v>
      </c>
      <c r="D45" t="s">
        <v>124</v>
      </c>
      <c r="E45" t="str">
        <f>_xlfn.XLOOKUP(Sales[[#This Row],[Product Name]],Products[Product Name],Products[Category])</f>
        <v>Chicken</v>
      </c>
      <c r="F45" t="s">
        <v>447</v>
      </c>
      <c r="G45" t="s">
        <v>454</v>
      </c>
      <c r="H45">
        <v>73</v>
      </c>
      <c r="I45" s="5">
        <f>_xlfn.XLOOKUP(Sales[[#This Row],[Product Name]],Products[Product Name],Products[Selling Price (CAD)])</f>
        <v>2.99</v>
      </c>
      <c r="J45" s="5">
        <f>PRODUCT(Sales[[#This Row],[Quantity Sold]],Sales[[#This Row],[Unit Selling Price (CAD)]])</f>
        <v>218.27</v>
      </c>
    </row>
    <row r="46" spans="1:10">
      <c r="A46" t="s">
        <v>494</v>
      </c>
      <c r="B46" s="2">
        <v>46029</v>
      </c>
      <c r="C46" t="s">
        <v>131</v>
      </c>
      <c r="D46" t="s">
        <v>132</v>
      </c>
      <c r="E46" t="str">
        <f>_xlfn.XLOOKUP(Sales[[#This Row],[Product Name]],Products[Product Name],Products[Category])</f>
        <v>Chicken</v>
      </c>
      <c r="F46" t="s">
        <v>447</v>
      </c>
      <c r="G46" t="s">
        <v>450</v>
      </c>
      <c r="H46">
        <v>38</v>
      </c>
      <c r="I46" s="5">
        <f>_xlfn.XLOOKUP(Sales[[#This Row],[Product Name]],Products[Product Name],Products[Selling Price (CAD)])</f>
        <v>8.99</v>
      </c>
      <c r="J46" s="5">
        <f>PRODUCT(Sales[[#This Row],[Quantity Sold]],Sales[[#This Row],[Unit Selling Price (CAD)]])</f>
        <v>341.62</v>
      </c>
    </row>
    <row r="47" spans="1:10">
      <c r="A47" t="s">
        <v>495</v>
      </c>
      <c r="B47" s="2">
        <v>46030</v>
      </c>
      <c r="C47" t="s">
        <v>163</v>
      </c>
      <c r="D47" t="s">
        <v>164</v>
      </c>
      <c r="E47" t="str">
        <f>_xlfn.XLOOKUP(Sales[[#This Row],[Product Name]],Products[Product Name],Products[Category])</f>
        <v>Breakfast</v>
      </c>
      <c r="F47" t="s">
        <v>444</v>
      </c>
      <c r="G47" t="s">
        <v>445</v>
      </c>
      <c r="H47">
        <v>57</v>
      </c>
      <c r="I47" s="5">
        <f>_xlfn.XLOOKUP(Sales[[#This Row],[Product Name]],Products[Product Name],Products[Selling Price (CAD)])</f>
        <v>3.99</v>
      </c>
      <c r="J47" s="5">
        <f>PRODUCT(Sales[[#This Row],[Quantity Sold]],Sales[[#This Row],[Unit Selling Price (CAD)]])</f>
        <v>227.43</v>
      </c>
    </row>
    <row r="48" spans="1:10">
      <c r="A48" t="s">
        <v>496</v>
      </c>
      <c r="B48" s="2">
        <v>46030</v>
      </c>
      <c r="C48" t="s">
        <v>415</v>
      </c>
      <c r="D48" t="s">
        <v>416</v>
      </c>
      <c r="E48" t="str">
        <f>_xlfn.XLOOKUP(Sales[[#This Row],[Product Name]],Products[Product Name],Products[Category])</f>
        <v>Combo Meals</v>
      </c>
      <c r="F48" t="s">
        <v>444</v>
      </c>
      <c r="G48" t="s">
        <v>454</v>
      </c>
      <c r="H48">
        <v>67</v>
      </c>
      <c r="I48" s="5">
        <f>_xlfn.XLOOKUP(Sales[[#This Row],[Product Name]],Products[Product Name],Products[Selling Price (CAD)])</f>
        <v>9.99</v>
      </c>
      <c r="J48" s="5">
        <f>PRODUCT(Sales[[#This Row],[Quantity Sold]],Sales[[#This Row],[Unit Selling Price (CAD)]])</f>
        <v>669.33</v>
      </c>
    </row>
    <row r="49" spans="1:10">
      <c r="A49" t="s">
        <v>497</v>
      </c>
      <c r="B49" s="2">
        <v>46030</v>
      </c>
      <c r="C49" t="s">
        <v>307</v>
      </c>
      <c r="D49" t="s">
        <v>308</v>
      </c>
      <c r="E49" t="str">
        <f>_xlfn.XLOOKUP(Sales[[#This Row],[Product Name]],Products[Product Name],Products[Category])</f>
        <v>Beverages</v>
      </c>
      <c r="F49" t="s">
        <v>449</v>
      </c>
      <c r="G49" t="s">
        <v>445</v>
      </c>
      <c r="H49">
        <v>34</v>
      </c>
      <c r="I49" s="5">
        <f>_xlfn.XLOOKUP(Sales[[#This Row],[Product Name]],Products[Product Name],Products[Selling Price (CAD)])</f>
        <v>2.99</v>
      </c>
      <c r="J49" s="5">
        <f>PRODUCT(Sales[[#This Row],[Quantity Sold]],Sales[[#This Row],[Unit Selling Price (CAD)]])</f>
        <v>101.66000000000001</v>
      </c>
    </row>
    <row r="50" spans="1:10">
      <c r="A50" t="s">
        <v>498</v>
      </c>
      <c r="B50" s="2">
        <v>46030</v>
      </c>
      <c r="C50" t="s">
        <v>125</v>
      </c>
      <c r="D50" t="s">
        <v>126</v>
      </c>
      <c r="E50" t="str">
        <f>_xlfn.XLOOKUP(Sales[[#This Row],[Product Name]],Products[Product Name],Products[Category])</f>
        <v>Chicken</v>
      </c>
      <c r="F50" t="s">
        <v>449</v>
      </c>
      <c r="G50" t="s">
        <v>450</v>
      </c>
      <c r="H50">
        <v>37</v>
      </c>
      <c r="I50" s="5">
        <f>_xlfn.XLOOKUP(Sales[[#This Row],[Product Name]],Products[Product Name],Products[Selling Price (CAD)])</f>
        <v>4.99</v>
      </c>
      <c r="J50" s="5">
        <f>PRODUCT(Sales[[#This Row],[Quantity Sold]],Sales[[#This Row],[Unit Selling Price (CAD)]])</f>
        <v>184.63</v>
      </c>
    </row>
    <row r="51" spans="1:10">
      <c r="A51" t="s">
        <v>499</v>
      </c>
      <c r="B51" s="2">
        <v>46030</v>
      </c>
      <c r="C51" t="s">
        <v>187</v>
      </c>
      <c r="D51" t="s">
        <v>188</v>
      </c>
      <c r="E51" t="str">
        <f>_xlfn.XLOOKUP(Sales[[#This Row],[Product Name]],Products[Product Name],Products[Category])</f>
        <v>Sides</v>
      </c>
      <c r="F51" t="s">
        <v>449</v>
      </c>
      <c r="G51" t="s">
        <v>450</v>
      </c>
      <c r="H51">
        <v>73</v>
      </c>
      <c r="I51" s="5">
        <f>_xlfn.XLOOKUP(Sales[[#This Row],[Product Name]],Products[Product Name],Products[Selling Price (CAD)])</f>
        <v>4.49</v>
      </c>
      <c r="J51" s="5">
        <f>PRODUCT(Sales[[#This Row],[Quantity Sold]],Sales[[#This Row],[Unit Selling Price (CAD)]])</f>
        <v>327.77000000000004</v>
      </c>
    </row>
    <row r="52" spans="1:10">
      <c r="A52" t="s">
        <v>500</v>
      </c>
      <c r="B52" s="2">
        <v>46030</v>
      </c>
      <c r="C52" t="s">
        <v>117</v>
      </c>
      <c r="D52" t="s">
        <v>118</v>
      </c>
      <c r="E52" t="str">
        <f>_xlfn.XLOOKUP(Sales[[#This Row],[Product Name]],Products[Product Name],Products[Category])</f>
        <v>Chicken</v>
      </c>
      <c r="F52" t="s">
        <v>447</v>
      </c>
      <c r="G52" t="s">
        <v>450</v>
      </c>
      <c r="H52">
        <v>55</v>
      </c>
      <c r="I52" s="5">
        <f>_xlfn.XLOOKUP(Sales[[#This Row],[Product Name]],Products[Product Name],Products[Selling Price (CAD)])</f>
        <v>4.99</v>
      </c>
      <c r="J52" s="5">
        <f>PRODUCT(Sales[[#This Row],[Quantity Sold]],Sales[[#This Row],[Unit Selling Price (CAD)]])</f>
        <v>274.45</v>
      </c>
    </row>
    <row r="53" spans="1:10">
      <c r="A53" t="s">
        <v>501</v>
      </c>
      <c r="B53" s="2">
        <v>46030</v>
      </c>
      <c r="C53" t="s">
        <v>169</v>
      </c>
      <c r="D53" t="s">
        <v>170</v>
      </c>
      <c r="E53" t="str">
        <f>_xlfn.XLOOKUP(Sales[[#This Row],[Product Name]],Products[Product Name],Products[Category])</f>
        <v>Breakfast</v>
      </c>
      <c r="F53" t="s">
        <v>444</v>
      </c>
      <c r="G53" t="s">
        <v>452</v>
      </c>
      <c r="H53">
        <v>60</v>
      </c>
      <c r="I53" s="5">
        <f>_xlfn.XLOOKUP(Sales[[#This Row],[Product Name]],Products[Product Name],Products[Selling Price (CAD)])</f>
        <v>2.99</v>
      </c>
      <c r="J53" s="5">
        <f>PRODUCT(Sales[[#This Row],[Quantity Sold]],Sales[[#This Row],[Unit Selling Price (CAD)]])</f>
        <v>179.4</v>
      </c>
    </row>
    <row r="54" spans="1:10">
      <c r="A54" t="s">
        <v>502</v>
      </c>
      <c r="B54" s="2">
        <v>46030</v>
      </c>
      <c r="C54" t="s">
        <v>273</v>
      </c>
      <c r="D54" t="s">
        <v>274</v>
      </c>
      <c r="E54" t="str">
        <f>_xlfn.XLOOKUP(Sales[[#This Row],[Product Name]],Products[Product Name],Products[Category])</f>
        <v>Beverages</v>
      </c>
      <c r="F54" t="s">
        <v>447</v>
      </c>
      <c r="G54" t="s">
        <v>445</v>
      </c>
      <c r="H54">
        <v>61</v>
      </c>
      <c r="I54" s="5">
        <f>_xlfn.XLOOKUP(Sales[[#This Row],[Product Name]],Products[Product Name],Products[Selling Price (CAD)])</f>
        <v>2.99</v>
      </c>
      <c r="J54" s="5">
        <f>PRODUCT(Sales[[#This Row],[Quantity Sold]],Sales[[#This Row],[Unit Selling Price (CAD)]])</f>
        <v>182.39000000000001</v>
      </c>
    </row>
    <row r="55" spans="1:10">
      <c r="A55" t="s">
        <v>503</v>
      </c>
      <c r="B55" s="2">
        <v>46031</v>
      </c>
      <c r="C55" t="s">
        <v>407</v>
      </c>
      <c r="D55" t="s">
        <v>408</v>
      </c>
      <c r="E55" t="str">
        <f>_xlfn.XLOOKUP(Sales[[#This Row],[Product Name]],Products[Product Name],Products[Category])</f>
        <v>Combo Meals</v>
      </c>
      <c r="F55" t="s">
        <v>447</v>
      </c>
      <c r="G55" t="s">
        <v>452</v>
      </c>
      <c r="H55">
        <v>57</v>
      </c>
      <c r="I55" s="5">
        <f>_xlfn.XLOOKUP(Sales[[#This Row],[Product Name]],Products[Product Name],Products[Selling Price (CAD)])</f>
        <v>10.99</v>
      </c>
      <c r="J55" s="5">
        <f>PRODUCT(Sales[[#This Row],[Quantity Sold]],Sales[[#This Row],[Unit Selling Price (CAD)]])</f>
        <v>626.43000000000006</v>
      </c>
    </row>
    <row r="56" spans="1:10">
      <c r="A56" t="s">
        <v>504</v>
      </c>
      <c r="B56" s="2">
        <v>46031</v>
      </c>
      <c r="C56" t="s">
        <v>289</v>
      </c>
      <c r="D56" t="s">
        <v>290</v>
      </c>
      <c r="E56" t="str">
        <f>_xlfn.XLOOKUP(Sales[[#This Row],[Product Name]],Products[Product Name],Products[Category])</f>
        <v>Beverages</v>
      </c>
      <c r="F56" t="s">
        <v>444</v>
      </c>
      <c r="G56" t="s">
        <v>452</v>
      </c>
      <c r="H56">
        <v>68</v>
      </c>
      <c r="I56" s="5">
        <f>_xlfn.XLOOKUP(Sales[[#This Row],[Product Name]],Products[Product Name],Products[Selling Price (CAD)])</f>
        <v>2.99</v>
      </c>
      <c r="J56" s="5">
        <f>PRODUCT(Sales[[#This Row],[Quantity Sold]],Sales[[#This Row],[Unit Selling Price (CAD)]])</f>
        <v>203.32000000000002</v>
      </c>
    </row>
    <row r="57" spans="1:10">
      <c r="A57" t="s">
        <v>505</v>
      </c>
      <c r="B57" s="2">
        <v>46031</v>
      </c>
      <c r="C57" t="s">
        <v>417</v>
      </c>
      <c r="D57" t="s">
        <v>418</v>
      </c>
      <c r="E57" t="str">
        <f>_xlfn.XLOOKUP(Sales[[#This Row],[Product Name]],Products[Product Name],Products[Category])</f>
        <v>Combo Meals</v>
      </c>
      <c r="F57" t="s">
        <v>449</v>
      </c>
      <c r="G57" t="s">
        <v>454</v>
      </c>
      <c r="H57">
        <v>62</v>
      </c>
      <c r="I57" s="5">
        <f>_xlfn.XLOOKUP(Sales[[#This Row],[Product Name]],Products[Product Name],Products[Selling Price (CAD)])</f>
        <v>9.99</v>
      </c>
      <c r="J57" s="5">
        <f>PRODUCT(Sales[[#This Row],[Quantity Sold]],Sales[[#This Row],[Unit Selling Price (CAD)]])</f>
        <v>619.38</v>
      </c>
    </row>
    <row r="58" spans="1:10">
      <c r="A58" t="s">
        <v>506</v>
      </c>
      <c r="B58" s="2">
        <v>46031</v>
      </c>
      <c r="C58" t="s">
        <v>307</v>
      </c>
      <c r="D58" t="s">
        <v>308</v>
      </c>
      <c r="E58" t="str">
        <f>_xlfn.XLOOKUP(Sales[[#This Row],[Product Name]],Products[Product Name],Products[Category])</f>
        <v>Beverages</v>
      </c>
      <c r="F58" t="s">
        <v>449</v>
      </c>
      <c r="G58" t="s">
        <v>452</v>
      </c>
      <c r="H58">
        <v>38</v>
      </c>
      <c r="I58" s="5">
        <f>_xlfn.XLOOKUP(Sales[[#This Row],[Product Name]],Products[Product Name],Products[Selling Price (CAD)])</f>
        <v>2.99</v>
      </c>
      <c r="J58" s="5">
        <f>PRODUCT(Sales[[#This Row],[Quantity Sold]],Sales[[#This Row],[Unit Selling Price (CAD)]])</f>
        <v>113.62</v>
      </c>
    </row>
    <row r="59" spans="1:10">
      <c r="A59" t="s">
        <v>507</v>
      </c>
      <c r="B59" s="2">
        <v>46031</v>
      </c>
      <c r="C59" t="s">
        <v>80</v>
      </c>
      <c r="D59" t="s">
        <v>81</v>
      </c>
      <c r="E59" t="str">
        <f>_xlfn.XLOOKUP(Sales[[#This Row],[Product Name]],Products[Product Name],Products[Category])</f>
        <v>Burgers</v>
      </c>
      <c r="F59" t="s">
        <v>449</v>
      </c>
      <c r="G59" t="s">
        <v>454</v>
      </c>
      <c r="H59">
        <v>50</v>
      </c>
      <c r="I59" s="5">
        <f>_xlfn.XLOOKUP(Sales[[#This Row],[Product Name]],Products[Product Name],Products[Selling Price (CAD)])</f>
        <v>2.99</v>
      </c>
      <c r="J59" s="5">
        <f>PRODUCT(Sales[[#This Row],[Quantity Sold]],Sales[[#This Row],[Unit Selling Price (CAD)]])</f>
        <v>149.5</v>
      </c>
    </row>
    <row r="60" spans="1:10">
      <c r="A60" t="s">
        <v>508</v>
      </c>
      <c r="B60" s="2">
        <v>46031</v>
      </c>
      <c r="C60" t="s">
        <v>87</v>
      </c>
      <c r="D60" t="s">
        <v>88</v>
      </c>
      <c r="E60" t="str">
        <f>_xlfn.XLOOKUP(Sales[[#This Row],[Product Name]],Products[Product Name],Products[Category])</f>
        <v>Chicken</v>
      </c>
      <c r="F60" t="s">
        <v>449</v>
      </c>
      <c r="G60" t="s">
        <v>450</v>
      </c>
      <c r="H60">
        <v>45</v>
      </c>
      <c r="I60" s="5">
        <f>_xlfn.XLOOKUP(Sales[[#This Row],[Product Name]],Products[Product Name],Products[Selling Price (CAD)])</f>
        <v>6.99</v>
      </c>
      <c r="J60" s="5">
        <f>PRODUCT(Sales[[#This Row],[Quantity Sold]],Sales[[#This Row],[Unit Selling Price (CAD)]])</f>
        <v>314.55</v>
      </c>
    </row>
    <row r="61" spans="1:10">
      <c r="A61" t="s">
        <v>509</v>
      </c>
      <c r="B61" s="2">
        <v>46032</v>
      </c>
      <c r="C61" t="s">
        <v>317</v>
      </c>
      <c r="D61" t="s">
        <v>318</v>
      </c>
      <c r="E61" t="str">
        <f>_xlfn.XLOOKUP(Sales[[#This Row],[Product Name]],Products[Product Name],Products[Category])</f>
        <v>Beverages</v>
      </c>
      <c r="F61" t="s">
        <v>449</v>
      </c>
      <c r="G61" t="s">
        <v>450</v>
      </c>
      <c r="H61">
        <v>55</v>
      </c>
      <c r="I61" s="5">
        <f>_xlfn.XLOOKUP(Sales[[#This Row],[Product Name]],Products[Product Name],Products[Selling Price (CAD)])</f>
        <v>3.99</v>
      </c>
      <c r="J61" s="5">
        <f>PRODUCT(Sales[[#This Row],[Quantity Sold]],Sales[[#This Row],[Unit Selling Price (CAD)]])</f>
        <v>219.45000000000002</v>
      </c>
    </row>
    <row r="62" spans="1:10">
      <c r="A62" t="s">
        <v>510</v>
      </c>
      <c r="B62" s="2">
        <v>46032</v>
      </c>
      <c r="C62" t="s">
        <v>301</v>
      </c>
      <c r="D62" t="s">
        <v>302</v>
      </c>
      <c r="E62" t="str">
        <f>_xlfn.XLOOKUP(Sales[[#This Row],[Product Name]],Products[Product Name],Products[Category])</f>
        <v>Beverages</v>
      </c>
      <c r="F62" t="s">
        <v>449</v>
      </c>
      <c r="G62" t="s">
        <v>450</v>
      </c>
      <c r="H62">
        <v>76</v>
      </c>
      <c r="I62" s="5">
        <f>_xlfn.XLOOKUP(Sales[[#This Row],[Product Name]],Products[Product Name],Products[Selling Price (CAD)])</f>
        <v>1.99</v>
      </c>
      <c r="J62" s="5">
        <f>PRODUCT(Sales[[#This Row],[Quantity Sold]],Sales[[#This Row],[Unit Selling Price (CAD)]])</f>
        <v>151.24</v>
      </c>
    </row>
    <row r="63" spans="1:10">
      <c r="A63" t="s">
        <v>511</v>
      </c>
      <c r="B63" s="2">
        <v>46032</v>
      </c>
      <c r="C63" t="s">
        <v>309</v>
      </c>
      <c r="D63" t="s">
        <v>310</v>
      </c>
      <c r="E63" t="str">
        <f>_xlfn.XLOOKUP(Sales[[#This Row],[Product Name]],Products[Product Name],Products[Category])</f>
        <v>Beverages</v>
      </c>
      <c r="F63" t="s">
        <v>447</v>
      </c>
      <c r="G63" t="s">
        <v>454</v>
      </c>
      <c r="H63">
        <v>75</v>
      </c>
      <c r="I63" s="5">
        <f>_xlfn.XLOOKUP(Sales[[#This Row],[Product Name]],Products[Product Name],Products[Selling Price (CAD)])</f>
        <v>2.99</v>
      </c>
      <c r="J63" s="5">
        <f>PRODUCT(Sales[[#This Row],[Quantity Sold]],Sales[[#This Row],[Unit Selling Price (CAD)]])</f>
        <v>224.25000000000003</v>
      </c>
    </row>
    <row r="64" spans="1:10">
      <c r="A64" t="s">
        <v>512</v>
      </c>
      <c r="B64" s="2">
        <v>46032</v>
      </c>
      <c r="C64" t="s">
        <v>247</v>
      </c>
      <c r="D64" t="s">
        <v>248</v>
      </c>
      <c r="E64" t="str">
        <f>_xlfn.XLOOKUP(Sales[[#This Row],[Product Name]],Products[Product Name],Products[Category])</f>
        <v>Salads</v>
      </c>
      <c r="F64" t="s">
        <v>449</v>
      </c>
      <c r="G64" t="s">
        <v>454</v>
      </c>
      <c r="H64">
        <v>61</v>
      </c>
      <c r="I64" s="5">
        <f>_xlfn.XLOOKUP(Sales[[#This Row],[Product Name]],Products[Product Name],Products[Selling Price (CAD)])</f>
        <v>6.99</v>
      </c>
      <c r="J64" s="5">
        <f>PRODUCT(Sales[[#This Row],[Quantity Sold]],Sales[[#This Row],[Unit Selling Price (CAD)]])</f>
        <v>426.39</v>
      </c>
    </row>
    <row r="65" spans="1:10">
      <c r="A65" t="s">
        <v>513</v>
      </c>
      <c r="B65" s="2">
        <v>46032</v>
      </c>
      <c r="C65" t="s">
        <v>423</v>
      </c>
      <c r="D65" t="s">
        <v>424</v>
      </c>
      <c r="E65" t="str">
        <f>_xlfn.XLOOKUP(Sales[[#This Row],[Product Name]],Products[Product Name],Products[Category])</f>
        <v>Combo Meals</v>
      </c>
      <c r="F65" t="s">
        <v>444</v>
      </c>
      <c r="G65" t="s">
        <v>445</v>
      </c>
      <c r="H65">
        <v>47</v>
      </c>
      <c r="I65" s="5">
        <f>_xlfn.XLOOKUP(Sales[[#This Row],[Product Name]],Products[Product Name],Products[Selling Price (CAD)])</f>
        <v>12.99</v>
      </c>
      <c r="J65" s="5">
        <f>PRODUCT(Sales[[#This Row],[Quantity Sold]],Sales[[#This Row],[Unit Selling Price (CAD)]])</f>
        <v>610.53</v>
      </c>
    </row>
    <row r="66" spans="1:10">
      <c r="A66" t="s">
        <v>514</v>
      </c>
      <c r="B66" s="2">
        <v>46032</v>
      </c>
      <c r="C66" t="s">
        <v>121</v>
      </c>
      <c r="D66" t="s">
        <v>122</v>
      </c>
      <c r="E66" t="str">
        <f>_xlfn.XLOOKUP(Sales[[#This Row],[Product Name]],Products[Product Name],Products[Category])</f>
        <v>Chicken</v>
      </c>
      <c r="F66" t="s">
        <v>449</v>
      </c>
      <c r="G66" t="s">
        <v>454</v>
      </c>
      <c r="H66">
        <v>64</v>
      </c>
      <c r="I66" s="5">
        <f>_xlfn.XLOOKUP(Sales[[#This Row],[Product Name]],Products[Product Name],Products[Selling Price (CAD)])</f>
        <v>11.99</v>
      </c>
      <c r="J66" s="5">
        <f>PRODUCT(Sales[[#This Row],[Quantity Sold]],Sales[[#This Row],[Unit Selling Price (CAD)]])</f>
        <v>767.36</v>
      </c>
    </row>
    <row r="67" spans="1:10">
      <c r="A67" t="s">
        <v>515</v>
      </c>
      <c r="B67" s="2">
        <v>46032</v>
      </c>
      <c r="C67" t="s">
        <v>281</v>
      </c>
      <c r="D67" t="s">
        <v>282</v>
      </c>
      <c r="E67" t="str">
        <f>_xlfn.XLOOKUP(Sales[[#This Row],[Product Name]],Products[Product Name],Products[Category])</f>
        <v>Beverages</v>
      </c>
      <c r="F67" t="s">
        <v>449</v>
      </c>
      <c r="G67" t="s">
        <v>445</v>
      </c>
      <c r="H67">
        <v>33</v>
      </c>
      <c r="I67" s="5">
        <f>_xlfn.XLOOKUP(Sales[[#This Row],[Product Name]],Products[Product Name],Products[Selling Price (CAD)])</f>
        <v>2.99</v>
      </c>
      <c r="J67" s="5">
        <f>PRODUCT(Sales[[#This Row],[Quantity Sold]],Sales[[#This Row],[Unit Selling Price (CAD)]])</f>
        <v>98.67</v>
      </c>
    </row>
    <row r="68" spans="1:10">
      <c r="A68" t="s">
        <v>516</v>
      </c>
      <c r="B68" s="2">
        <v>46032</v>
      </c>
      <c r="C68" t="s">
        <v>91</v>
      </c>
      <c r="D68" t="s">
        <v>92</v>
      </c>
      <c r="E68" t="str">
        <f>_xlfn.XLOOKUP(Sales[[#This Row],[Product Name]],Products[Product Name],Products[Category])</f>
        <v>Chicken</v>
      </c>
      <c r="F68" t="s">
        <v>447</v>
      </c>
      <c r="G68" t="s">
        <v>452</v>
      </c>
      <c r="H68">
        <v>76</v>
      </c>
      <c r="I68" s="5">
        <f>_xlfn.XLOOKUP(Sales[[#This Row],[Product Name]],Products[Product Name],Products[Selling Price (CAD)])</f>
        <v>7.49</v>
      </c>
      <c r="J68" s="5">
        <f>PRODUCT(Sales[[#This Row],[Quantity Sold]],Sales[[#This Row],[Unit Selling Price (CAD)]])</f>
        <v>569.24</v>
      </c>
    </row>
    <row r="69" spans="1:10">
      <c r="A69" t="s">
        <v>517</v>
      </c>
      <c r="B69" s="2">
        <v>46032</v>
      </c>
      <c r="C69" t="s">
        <v>331</v>
      </c>
      <c r="D69" t="s">
        <v>332</v>
      </c>
      <c r="E69" t="str">
        <f>_xlfn.XLOOKUP(Sales[[#This Row],[Product Name]],Products[Product Name],Products[Category])</f>
        <v>Desserts</v>
      </c>
      <c r="F69" t="s">
        <v>444</v>
      </c>
      <c r="G69" t="s">
        <v>450</v>
      </c>
      <c r="H69">
        <v>52</v>
      </c>
      <c r="I69" s="5">
        <f>_xlfn.XLOOKUP(Sales[[#This Row],[Product Name]],Products[Product Name],Products[Selling Price (CAD)])</f>
        <v>3.49</v>
      </c>
      <c r="J69" s="5">
        <f>PRODUCT(Sales[[#This Row],[Quantity Sold]],Sales[[#This Row],[Unit Selling Price (CAD)]])</f>
        <v>181.48000000000002</v>
      </c>
    </row>
    <row r="70" spans="1:10">
      <c r="A70" t="s">
        <v>518</v>
      </c>
      <c r="B70" s="2">
        <v>46032</v>
      </c>
      <c r="C70" t="s">
        <v>85</v>
      </c>
      <c r="D70" t="s">
        <v>86</v>
      </c>
      <c r="E70" t="str">
        <f>_xlfn.XLOOKUP(Sales[[#This Row],[Product Name]],Products[Product Name],Products[Category])</f>
        <v>Chicken</v>
      </c>
      <c r="F70" t="s">
        <v>449</v>
      </c>
      <c r="G70" t="s">
        <v>452</v>
      </c>
      <c r="H70">
        <v>75</v>
      </c>
      <c r="I70" s="5">
        <f>_xlfn.XLOOKUP(Sales[[#This Row],[Product Name]],Products[Product Name],Products[Selling Price (CAD)])</f>
        <v>6.99</v>
      </c>
      <c r="J70" s="5">
        <f>PRODUCT(Sales[[#This Row],[Quantity Sold]],Sales[[#This Row],[Unit Selling Price (CAD)]])</f>
        <v>524.25</v>
      </c>
    </row>
    <row r="71" spans="1:10">
      <c r="A71" t="s">
        <v>519</v>
      </c>
      <c r="B71" s="2">
        <v>46033</v>
      </c>
      <c r="C71" t="s">
        <v>413</v>
      </c>
      <c r="D71" t="s">
        <v>414</v>
      </c>
      <c r="E71" t="str">
        <f>_xlfn.XLOOKUP(Sales[[#This Row],[Product Name]],Products[Product Name],Products[Category])</f>
        <v>Combo Meals</v>
      </c>
      <c r="F71" t="s">
        <v>449</v>
      </c>
      <c r="G71" t="s">
        <v>450</v>
      </c>
      <c r="H71">
        <v>36</v>
      </c>
      <c r="I71" s="5">
        <f>_xlfn.XLOOKUP(Sales[[#This Row],[Product Name]],Products[Product Name],Products[Selling Price (CAD)])</f>
        <v>10.99</v>
      </c>
      <c r="J71" s="5">
        <f>PRODUCT(Sales[[#This Row],[Quantity Sold]],Sales[[#This Row],[Unit Selling Price (CAD)]])</f>
        <v>395.64</v>
      </c>
    </row>
    <row r="72" spans="1:10">
      <c r="A72" t="s">
        <v>520</v>
      </c>
      <c r="B72" s="2">
        <v>46033</v>
      </c>
      <c r="C72" t="s">
        <v>283</v>
      </c>
      <c r="D72" t="s">
        <v>284</v>
      </c>
      <c r="E72" t="str">
        <f>_xlfn.XLOOKUP(Sales[[#This Row],[Product Name]],Products[Product Name],Products[Category])</f>
        <v>Beverages</v>
      </c>
      <c r="F72" t="s">
        <v>447</v>
      </c>
      <c r="G72" t="s">
        <v>452</v>
      </c>
      <c r="H72">
        <v>48</v>
      </c>
      <c r="I72" s="5">
        <f>_xlfn.XLOOKUP(Sales[[#This Row],[Product Name]],Products[Product Name],Products[Selling Price (CAD)])</f>
        <v>2.99</v>
      </c>
      <c r="J72" s="5">
        <f>PRODUCT(Sales[[#This Row],[Quantity Sold]],Sales[[#This Row],[Unit Selling Price (CAD)]])</f>
        <v>143.52000000000001</v>
      </c>
    </row>
    <row r="73" spans="1:10">
      <c r="A73" t="s">
        <v>521</v>
      </c>
      <c r="B73" s="2">
        <v>46033</v>
      </c>
      <c r="C73" t="s">
        <v>129</v>
      </c>
      <c r="D73" t="s">
        <v>130</v>
      </c>
      <c r="E73" t="str">
        <f>_xlfn.XLOOKUP(Sales[[#This Row],[Product Name]],Products[Product Name],Products[Category])</f>
        <v>Chicken</v>
      </c>
      <c r="F73" t="s">
        <v>444</v>
      </c>
      <c r="G73" t="s">
        <v>450</v>
      </c>
      <c r="H73">
        <v>74</v>
      </c>
      <c r="I73" s="5">
        <f>_xlfn.XLOOKUP(Sales[[#This Row],[Product Name]],Products[Product Name],Products[Selling Price (CAD)])</f>
        <v>11.99</v>
      </c>
      <c r="J73" s="5">
        <f>PRODUCT(Sales[[#This Row],[Quantity Sold]],Sales[[#This Row],[Unit Selling Price (CAD)]])</f>
        <v>887.26</v>
      </c>
    </row>
    <row r="74" spans="1:10">
      <c r="A74" t="s">
        <v>522</v>
      </c>
      <c r="B74" s="2">
        <v>46033</v>
      </c>
      <c r="C74" t="s">
        <v>66</v>
      </c>
      <c r="D74" t="s">
        <v>67</v>
      </c>
      <c r="E74" t="str">
        <f>_xlfn.XLOOKUP(Sales[[#This Row],[Product Name]],Products[Product Name],Products[Category])</f>
        <v>Burgers</v>
      </c>
      <c r="F74" t="s">
        <v>444</v>
      </c>
      <c r="G74" t="s">
        <v>445</v>
      </c>
      <c r="H74">
        <v>46</v>
      </c>
      <c r="I74" s="5">
        <f>_xlfn.XLOOKUP(Sales[[#This Row],[Product Name]],Products[Product Name],Products[Selling Price (CAD)])</f>
        <v>8.49</v>
      </c>
      <c r="J74" s="5">
        <f>PRODUCT(Sales[[#This Row],[Quantity Sold]],Sales[[#This Row],[Unit Selling Price (CAD)]])</f>
        <v>390.54</v>
      </c>
    </row>
    <row r="75" spans="1:10">
      <c r="A75" t="s">
        <v>523</v>
      </c>
      <c r="B75" s="2">
        <v>46033</v>
      </c>
      <c r="C75" t="s">
        <v>261</v>
      </c>
      <c r="D75" t="s">
        <v>262</v>
      </c>
      <c r="E75" t="str">
        <f>_xlfn.XLOOKUP(Sales[[#This Row],[Product Name]],Products[Product Name],Products[Category])</f>
        <v>Beverages</v>
      </c>
      <c r="F75" t="s">
        <v>449</v>
      </c>
      <c r="G75" t="s">
        <v>445</v>
      </c>
      <c r="H75">
        <v>69</v>
      </c>
      <c r="I75" s="5">
        <f>_xlfn.XLOOKUP(Sales[[#This Row],[Product Name]],Products[Product Name],Products[Selling Price (CAD)])</f>
        <v>2.99</v>
      </c>
      <c r="J75" s="5">
        <f>PRODUCT(Sales[[#This Row],[Quantity Sold]],Sales[[#This Row],[Unit Selling Price (CAD)]])</f>
        <v>206.31</v>
      </c>
    </row>
    <row r="76" spans="1:10">
      <c r="A76" t="s">
        <v>524</v>
      </c>
      <c r="B76" s="2">
        <v>46033</v>
      </c>
      <c r="C76" t="s">
        <v>12</v>
      </c>
      <c r="D76" t="s">
        <v>13</v>
      </c>
      <c r="E76" t="str">
        <f>_xlfn.XLOOKUP(Sales[[#This Row],[Product Name]],Products[Product Name],Products[Category])</f>
        <v>Burgers</v>
      </c>
      <c r="F76" t="s">
        <v>444</v>
      </c>
      <c r="G76" t="s">
        <v>452</v>
      </c>
      <c r="H76">
        <v>56</v>
      </c>
      <c r="I76" s="5">
        <f>_xlfn.XLOOKUP(Sales[[#This Row],[Product Name]],Products[Product Name],Products[Selling Price (CAD)])</f>
        <v>5.99</v>
      </c>
      <c r="J76" s="5">
        <f>PRODUCT(Sales[[#This Row],[Quantity Sold]],Sales[[#This Row],[Unit Selling Price (CAD)]])</f>
        <v>335.44</v>
      </c>
    </row>
    <row r="77" spans="1:10">
      <c r="A77" t="s">
        <v>525</v>
      </c>
      <c r="B77" s="2">
        <v>46034</v>
      </c>
      <c r="C77" t="s">
        <v>99</v>
      </c>
      <c r="D77" t="s">
        <v>100</v>
      </c>
      <c r="E77" t="str">
        <f>_xlfn.XLOOKUP(Sales[[#This Row],[Product Name]],Products[Product Name],Products[Category])</f>
        <v>Chicken</v>
      </c>
      <c r="F77" t="s">
        <v>449</v>
      </c>
      <c r="G77" t="s">
        <v>454</v>
      </c>
      <c r="H77">
        <v>59</v>
      </c>
      <c r="I77" s="5">
        <f>_xlfn.XLOOKUP(Sales[[#This Row],[Product Name]],Products[Product Name],Products[Selling Price (CAD)])</f>
        <v>7.99</v>
      </c>
      <c r="J77" s="5">
        <f>PRODUCT(Sales[[#This Row],[Quantity Sold]],Sales[[#This Row],[Unit Selling Price (CAD)]])</f>
        <v>471.41</v>
      </c>
    </row>
    <row r="78" spans="1:10">
      <c r="A78" t="s">
        <v>526</v>
      </c>
      <c r="B78" s="2">
        <v>46034</v>
      </c>
      <c r="C78" t="s">
        <v>317</v>
      </c>
      <c r="D78" t="s">
        <v>318</v>
      </c>
      <c r="E78" t="str">
        <f>_xlfn.XLOOKUP(Sales[[#This Row],[Product Name]],Products[Product Name],Products[Category])</f>
        <v>Beverages</v>
      </c>
      <c r="F78" t="s">
        <v>447</v>
      </c>
      <c r="G78" t="s">
        <v>452</v>
      </c>
      <c r="H78">
        <v>63</v>
      </c>
      <c r="I78" s="5">
        <f>_xlfn.XLOOKUP(Sales[[#This Row],[Product Name]],Products[Product Name],Products[Selling Price (CAD)])</f>
        <v>3.99</v>
      </c>
      <c r="J78" s="5">
        <f>PRODUCT(Sales[[#This Row],[Quantity Sold]],Sales[[#This Row],[Unit Selling Price (CAD)]])</f>
        <v>251.37</v>
      </c>
    </row>
    <row r="79" spans="1:10">
      <c r="A79" t="s">
        <v>527</v>
      </c>
      <c r="B79" s="2">
        <v>46034</v>
      </c>
      <c r="C79" t="s">
        <v>72</v>
      </c>
      <c r="D79" t="s">
        <v>73</v>
      </c>
      <c r="E79" t="str">
        <f>_xlfn.XLOOKUP(Sales[[#This Row],[Product Name]],Products[Product Name],Products[Category])</f>
        <v>Burgers</v>
      </c>
      <c r="F79" t="s">
        <v>444</v>
      </c>
      <c r="G79" t="s">
        <v>452</v>
      </c>
      <c r="H79">
        <v>61</v>
      </c>
      <c r="I79" s="5">
        <f>_xlfn.XLOOKUP(Sales[[#This Row],[Product Name]],Products[Product Name],Products[Selling Price (CAD)])</f>
        <v>6.99</v>
      </c>
      <c r="J79" s="5">
        <f>PRODUCT(Sales[[#This Row],[Quantity Sold]],Sales[[#This Row],[Unit Selling Price (CAD)]])</f>
        <v>426.39</v>
      </c>
    </row>
    <row r="80" spans="1:10">
      <c r="A80" t="s">
        <v>528</v>
      </c>
      <c r="B80" s="2">
        <v>46034</v>
      </c>
      <c r="C80" t="s">
        <v>335</v>
      </c>
      <c r="D80" t="s">
        <v>336</v>
      </c>
      <c r="E80" t="str">
        <f>_xlfn.XLOOKUP(Sales[[#This Row],[Product Name]],Products[Product Name],Products[Category])</f>
        <v>Desserts</v>
      </c>
      <c r="F80" t="s">
        <v>444</v>
      </c>
      <c r="G80" t="s">
        <v>454</v>
      </c>
      <c r="H80">
        <v>48</v>
      </c>
      <c r="I80" s="5">
        <f>_xlfn.XLOOKUP(Sales[[#This Row],[Product Name]],Products[Product Name],Products[Selling Price (CAD)])</f>
        <v>1.49</v>
      </c>
      <c r="J80" s="5">
        <f>PRODUCT(Sales[[#This Row],[Quantity Sold]],Sales[[#This Row],[Unit Selling Price (CAD)]])</f>
        <v>71.52</v>
      </c>
    </row>
    <row r="81" spans="1:10">
      <c r="A81" t="s">
        <v>529</v>
      </c>
      <c r="B81" s="2">
        <v>46034</v>
      </c>
      <c r="C81" t="s">
        <v>66</v>
      </c>
      <c r="D81" t="s">
        <v>67</v>
      </c>
      <c r="E81" t="str">
        <f>_xlfn.XLOOKUP(Sales[[#This Row],[Product Name]],Products[Product Name],Products[Category])</f>
        <v>Burgers</v>
      </c>
      <c r="F81" t="s">
        <v>449</v>
      </c>
      <c r="G81" t="s">
        <v>450</v>
      </c>
      <c r="H81">
        <v>35</v>
      </c>
      <c r="I81" s="5">
        <f>_xlfn.XLOOKUP(Sales[[#This Row],[Product Name]],Products[Product Name],Products[Selling Price (CAD)])</f>
        <v>8.49</v>
      </c>
      <c r="J81" s="5">
        <f>PRODUCT(Sales[[#This Row],[Quantity Sold]],Sales[[#This Row],[Unit Selling Price (CAD)]])</f>
        <v>297.15000000000003</v>
      </c>
    </row>
    <row r="82" spans="1:10">
      <c r="A82" t="s">
        <v>530</v>
      </c>
      <c r="B82" s="2">
        <v>46034</v>
      </c>
      <c r="C82" t="s">
        <v>64</v>
      </c>
      <c r="D82" t="s">
        <v>65</v>
      </c>
      <c r="E82" t="str">
        <f>_xlfn.XLOOKUP(Sales[[#This Row],[Product Name]],Products[Product Name],Products[Category])</f>
        <v>Burgers</v>
      </c>
      <c r="F82" t="s">
        <v>444</v>
      </c>
      <c r="G82" t="s">
        <v>450</v>
      </c>
      <c r="H82">
        <v>30</v>
      </c>
      <c r="I82" s="5">
        <f>_xlfn.XLOOKUP(Sales[[#This Row],[Product Name]],Products[Product Name],Products[Selling Price (CAD)])</f>
        <v>6.49</v>
      </c>
      <c r="J82" s="5">
        <f>PRODUCT(Sales[[#This Row],[Quantity Sold]],Sales[[#This Row],[Unit Selling Price (CAD)]])</f>
        <v>194.70000000000002</v>
      </c>
    </row>
    <row r="83" spans="1:10">
      <c r="A83" t="s">
        <v>531</v>
      </c>
      <c r="B83" s="2">
        <v>46035</v>
      </c>
      <c r="C83" t="s">
        <v>409</v>
      </c>
      <c r="D83" t="s">
        <v>410</v>
      </c>
      <c r="E83" t="str">
        <f>_xlfn.XLOOKUP(Sales[[#This Row],[Product Name]],Products[Product Name],Products[Category])</f>
        <v>Combo Meals</v>
      </c>
      <c r="F83" t="s">
        <v>449</v>
      </c>
      <c r="G83" t="s">
        <v>450</v>
      </c>
      <c r="H83">
        <v>38</v>
      </c>
      <c r="I83" s="5">
        <f>_xlfn.XLOOKUP(Sales[[#This Row],[Product Name]],Products[Product Name],Products[Selling Price (CAD)])</f>
        <v>11.99</v>
      </c>
      <c r="J83" s="5">
        <f>PRODUCT(Sales[[#This Row],[Quantity Sold]],Sales[[#This Row],[Unit Selling Price (CAD)]])</f>
        <v>455.62</v>
      </c>
    </row>
    <row r="84" spans="1:10">
      <c r="A84" t="s">
        <v>532</v>
      </c>
      <c r="B84" s="2">
        <v>46035</v>
      </c>
      <c r="C84" t="s">
        <v>273</v>
      </c>
      <c r="D84" t="s">
        <v>274</v>
      </c>
      <c r="E84" t="str">
        <f>_xlfn.XLOOKUP(Sales[[#This Row],[Product Name]],Products[Product Name],Products[Category])</f>
        <v>Beverages</v>
      </c>
      <c r="F84" t="s">
        <v>447</v>
      </c>
      <c r="G84" t="s">
        <v>450</v>
      </c>
      <c r="H84">
        <v>35</v>
      </c>
      <c r="I84" s="5">
        <f>_xlfn.XLOOKUP(Sales[[#This Row],[Product Name]],Products[Product Name],Products[Selling Price (CAD)])</f>
        <v>2.99</v>
      </c>
      <c r="J84" s="5">
        <f>PRODUCT(Sales[[#This Row],[Quantity Sold]],Sales[[#This Row],[Unit Selling Price (CAD)]])</f>
        <v>104.65</v>
      </c>
    </row>
    <row r="85" spans="1:10">
      <c r="A85" t="s">
        <v>533</v>
      </c>
      <c r="B85" s="2">
        <v>46035</v>
      </c>
      <c r="C85" t="s">
        <v>56</v>
      </c>
      <c r="D85" t="s">
        <v>57</v>
      </c>
      <c r="E85" t="str">
        <f>_xlfn.XLOOKUP(Sales[[#This Row],[Product Name]],Products[Product Name],Products[Category])</f>
        <v>Burgers</v>
      </c>
      <c r="F85" t="s">
        <v>447</v>
      </c>
      <c r="G85" t="s">
        <v>454</v>
      </c>
      <c r="H85">
        <v>49</v>
      </c>
      <c r="I85" s="5">
        <f>_xlfn.XLOOKUP(Sales[[#This Row],[Product Name]],Products[Product Name],Products[Selling Price (CAD)])</f>
        <v>6.49</v>
      </c>
      <c r="J85" s="5">
        <f>PRODUCT(Sales[[#This Row],[Quantity Sold]],Sales[[#This Row],[Unit Selling Price (CAD)]])</f>
        <v>318.01</v>
      </c>
    </row>
    <row r="86" spans="1:10">
      <c r="A86" t="s">
        <v>534</v>
      </c>
      <c r="B86" s="2">
        <v>46035</v>
      </c>
      <c r="C86" t="s">
        <v>207</v>
      </c>
      <c r="D86" t="s">
        <v>208</v>
      </c>
      <c r="E86" t="str">
        <f>_xlfn.XLOOKUP(Sales[[#This Row],[Product Name]],Products[Product Name],Products[Category])</f>
        <v>Sides</v>
      </c>
      <c r="F86" t="s">
        <v>444</v>
      </c>
      <c r="G86" t="s">
        <v>450</v>
      </c>
      <c r="H86">
        <v>75</v>
      </c>
      <c r="I86" s="5">
        <f>_xlfn.XLOOKUP(Sales[[#This Row],[Product Name]],Products[Product Name],Products[Selling Price (CAD)])</f>
        <v>3.99</v>
      </c>
      <c r="J86" s="5">
        <f>PRODUCT(Sales[[#This Row],[Quantity Sold]],Sales[[#This Row],[Unit Selling Price (CAD)]])</f>
        <v>299.25</v>
      </c>
    </row>
    <row r="87" spans="1:10">
      <c r="A87" t="s">
        <v>535</v>
      </c>
      <c r="B87" s="2">
        <v>46035</v>
      </c>
      <c r="C87" t="s">
        <v>325</v>
      </c>
      <c r="D87" t="s">
        <v>326</v>
      </c>
      <c r="E87" t="str">
        <f>_xlfn.XLOOKUP(Sales[[#This Row],[Product Name]],Products[Product Name],Products[Category])</f>
        <v>Desserts</v>
      </c>
      <c r="F87" t="s">
        <v>449</v>
      </c>
      <c r="G87" t="s">
        <v>450</v>
      </c>
      <c r="H87">
        <v>60</v>
      </c>
      <c r="I87" s="5">
        <f>_xlfn.XLOOKUP(Sales[[#This Row],[Product Name]],Products[Product Name],Products[Selling Price (CAD)])</f>
        <v>3.49</v>
      </c>
      <c r="J87" s="5">
        <f>PRODUCT(Sales[[#This Row],[Quantity Sold]],Sales[[#This Row],[Unit Selling Price (CAD)]])</f>
        <v>209.4</v>
      </c>
    </row>
    <row r="88" spans="1:10">
      <c r="A88" t="s">
        <v>536</v>
      </c>
      <c r="B88" s="2">
        <v>46036</v>
      </c>
      <c r="C88" t="s">
        <v>197</v>
      </c>
      <c r="D88" t="s">
        <v>198</v>
      </c>
      <c r="E88" t="str">
        <f>_xlfn.XLOOKUP(Sales[[#This Row],[Product Name]],Products[Product Name],Products[Category])</f>
        <v>Sides</v>
      </c>
      <c r="F88" t="s">
        <v>449</v>
      </c>
      <c r="G88" t="s">
        <v>452</v>
      </c>
      <c r="H88">
        <v>75</v>
      </c>
      <c r="I88" s="5">
        <f>_xlfn.XLOOKUP(Sales[[#This Row],[Product Name]],Products[Product Name],Products[Selling Price (CAD)])</f>
        <v>4.49</v>
      </c>
      <c r="J88" s="5">
        <f>PRODUCT(Sales[[#This Row],[Quantity Sold]],Sales[[#This Row],[Unit Selling Price (CAD)]])</f>
        <v>336.75</v>
      </c>
    </row>
    <row r="89" spans="1:10">
      <c r="A89" t="s">
        <v>537</v>
      </c>
      <c r="B89" s="2">
        <v>46036</v>
      </c>
      <c r="C89" t="s">
        <v>78</v>
      </c>
      <c r="D89" t="s">
        <v>79</v>
      </c>
      <c r="E89" t="str">
        <f>_xlfn.XLOOKUP(Sales[[#This Row],[Product Name]],Products[Product Name],Products[Category])</f>
        <v>Burgers</v>
      </c>
      <c r="F89" t="s">
        <v>449</v>
      </c>
      <c r="G89" t="s">
        <v>452</v>
      </c>
      <c r="H89">
        <v>76</v>
      </c>
      <c r="I89" s="5">
        <f>_xlfn.XLOOKUP(Sales[[#This Row],[Product Name]],Products[Product Name],Products[Selling Price (CAD)])</f>
        <v>3.99</v>
      </c>
      <c r="J89" s="5">
        <f>PRODUCT(Sales[[#This Row],[Quantity Sold]],Sales[[#This Row],[Unit Selling Price (CAD)]])</f>
        <v>303.24</v>
      </c>
    </row>
    <row r="90" spans="1:10">
      <c r="A90" t="s">
        <v>538</v>
      </c>
      <c r="B90" s="2">
        <v>46036</v>
      </c>
      <c r="C90" t="s">
        <v>203</v>
      </c>
      <c r="D90" t="s">
        <v>204</v>
      </c>
      <c r="E90" t="str">
        <f>_xlfn.XLOOKUP(Sales[[#This Row],[Product Name]],Products[Product Name],Products[Category])</f>
        <v>Sides</v>
      </c>
      <c r="F90" t="s">
        <v>447</v>
      </c>
      <c r="G90" t="s">
        <v>450</v>
      </c>
      <c r="H90">
        <v>73</v>
      </c>
      <c r="I90" s="5">
        <f>_xlfn.XLOOKUP(Sales[[#This Row],[Product Name]],Products[Product Name],Products[Selling Price (CAD)])</f>
        <v>4.49</v>
      </c>
      <c r="J90" s="5">
        <f>PRODUCT(Sales[[#This Row],[Quantity Sold]],Sales[[#This Row],[Unit Selling Price (CAD)]])</f>
        <v>327.77000000000004</v>
      </c>
    </row>
    <row r="91" spans="1:10">
      <c r="A91" t="s">
        <v>539</v>
      </c>
      <c r="B91" s="2">
        <v>46036</v>
      </c>
      <c r="C91" t="s">
        <v>235</v>
      </c>
      <c r="D91" t="s">
        <v>236</v>
      </c>
      <c r="E91" t="str">
        <f>_xlfn.XLOOKUP(Sales[[#This Row],[Product Name]],Products[Product Name],Products[Category])</f>
        <v>Salads</v>
      </c>
      <c r="F91" t="s">
        <v>444</v>
      </c>
      <c r="G91" t="s">
        <v>454</v>
      </c>
      <c r="H91">
        <v>56</v>
      </c>
      <c r="I91" s="5">
        <f>_xlfn.XLOOKUP(Sales[[#This Row],[Product Name]],Products[Product Name],Products[Selling Price (CAD)])</f>
        <v>9.49</v>
      </c>
      <c r="J91" s="5">
        <f>PRODUCT(Sales[[#This Row],[Quantity Sold]],Sales[[#This Row],[Unit Selling Price (CAD)]])</f>
        <v>531.44000000000005</v>
      </c>
    </row>
    <row r="92" spans="1:10">
      <c r="A92" t="s">
        <v>540</v>
      </c>
      <c r="B92" s="2">
        <v>46036</v>
      </c>
      <c r="C92" t="s">
        <v>317</v>
      </c>
      <c r="D92" t="s">
        <v>318</v>
      </c>
      <c r="E92" t="str">
        <f>_xlfn.XLOOKUP(Sales[[#This Row],[Product Name]],Products[Product Name],Products[Category])</f>
        <v>Beverages</v>
      </c>
      <c r="F92" t="s">
        <v>444</v>
      </c>
      <c r="G92" t="s">
        <v>454</v>
      </c>
      <c r="H92">
        <v>61</v>
      </c>
      <c r="I92" s="5">
        <f>_xlfn.XLOOKUP(Sales[[#This Row],[Product Name]],Products[Product Name],Products[Selling Price (CAD)])</f>
        <v>3.99</v>
      </c>
      <c r="J92" s="5">
        <f>PRODUCT(Sales[[#This Row],[Quantity Sold]],Sales[[#This Row],[Unit Selling Price (CAD)]])</f>
        <v>243.39000000000001</v>
      </c>
    </row>
    <row r="93" spans="1:10">
      <c r="A93" t="s">
        <v>541</v>
      </c>
      <c r="B93" s="2">
        <v>46036</v>
      </c>
      <c r="C93" t="s">
        <v>227</v>
      </c>
      <c r="D93" t="s">
        <v>228</v>
      </c>
      <c r="E93" t="str">
        <f>_xlfn.XLOOKUP(Sales[[#This Row],[Product Name]],Products[Product Name],Products[Category])</f>
        <v>Salads</v>
      </c>
      <c r="F93" t="s">
        <v>449</v>
      </c>
      <c r="G93" t="s">
        <v>454</v>
      </c>
      <c r="H93">
        <v>38</v>
      </c>
      <c r="I93" s="5">
        <f>_xlfn.XLOOKUP(Sales[[#This Row],[Product Name]],Products[Product Name],Products[Selling Price (CAD)])</f>
        <v>8.99</v>
      </c>
      <c r="J93" s="5">
        <f>PRODUCT(Sales[[#This Row],[Quantity Sold]],Sales[[#This Row],[Unit Selling Price (CAD)]])</f>
        <v>341.62</v>
      </c>
    </row>
    <row r="94" spans="1:10">
      <c r="A94" t="s">
        <v>542</v>
      </c>
      <c r="B94" s="2">
        <v>46036</v>
      </c>
      <c r="C94" t="s">
        <v>315</v>
      </c>
      <c r="D94" t="s">
        <v>316</v>
      </c>
      <c r="E94" t="str">
        <f>_xlfn.XLOOKUP(Sales[[#This Row],[Product Name]],Products[Product Name],Products[Category])</f>
        <v>Beverages</v>
      </c>
      <c r="F94" t="s">
        <v>449</v>
      </c>
      <c r="G94" t="s">
        <v>445</v>
      </c>
      <c r="H94">
        <v>61</v>
      </c>
      <c r="I94" s="5">
        <f>_xlfn.XLOOKUP(Sales[[#This Row],[Product Name]],Products[Product Name],Products[Selling Price (CAD)])</f>
        <v>3.99</v>
      </c>
      <c r="J94" s="5">
        <f>PRODUCT(Sales[[#This Row],[Quantity Sold]],Sales[[#This Row],[Unit Selling Price (CAD)]])</f>
        <v>243.39000000000001</v>
      </c>
    </row>
    <row r="95" spans="1:10">
      <c r="A95" t="s">
        <v>543</v>
      </c>
      <c r="B95" s="2">
        <v>46037</v>
      </c>
      <c r="C95" t="s">
        <v>271</v>
      </c>
      <c r="D95" t="s">
        <v>272</v>
      </c>
      <c r="E95" t="str">
        <f>_xlfn.XLOOKUP(Sales[[#This Row],[Product Name]],Products[Product Name],Products[Category])</f>
        <v>Beverages</v>
      </c>
      <c r="F95" t="s">
        <v>447</v>
      </c>
      <c r="G95" t="s">
        <v>454</v>
      </c>
      <c r="H95">
        <v>72</v>
      </c>
      <c r="I95" s="5">
        <f>_xlfn.XLOOKUP(Sales[[#This Row],[Product Name]],Products[Product Name],Products[Selling Price (CAD)])</f>
        <v>1.99</v>
      </c>
      <c r="J95" s="5">
        <f>PRODUCT(Sales[[#This Row],[Quantity Sold]],Sales[[#This Row],[Unit Selling Price (CAD)]])</f>
        <v>143.28</v>
      </c>
    </row>
    <row r="96" spans="1:10">
      <c r="A96" t="s">
        <v>544</v>
      </c>
      <c r="B96" s="2">
        <v>46037</v>
      </c>
      <c r="C96" t="s">
        <v>273</v>
      </c>
      <c r="D96" t="s">
        <v>274</v>
      </c>
      <c r="E96" t="str">
        <f>_xlfn.XLOOKUP(Sales[[#This Row],[Product Name]],Products[Product Name],Products[Category])</f>
        <v>Beverages</v>
      </c>
      <c r="F96" t="s">
        <v>449</v>
      </c>
      <c r="G96" t="s">
        <v>450</v>
      </c>
      <c r="H96">
        <v>41</v>
      </c>
      <c r="I96" s="5">
        <f>_xlfn.XLOOKUP(Sales[[#This Row],[Product Name]],Products[Product Name],Products[Selling Price (CAD)])</f>
        <v>2.99</v>
      </c>
      <c r="J96" s="5">
        <f>PRODUCT(Sales[[#This Row],[Quantity Sold]],Sales[[#This Row],[Unit Selling Price (CAD)]])</f>
        <v>122.59</v>
      </c>
    </row>
    <row r="97" spans="1:10">
      <c r="A97" t="s">
        <v>545</v>
      </c>
      <c r="B97" s="2">
        <v>46037</v>
      </c>
      <c r="C97" t="s">
        <v>60</v>
      </c>
      <c r="D97" t="s">
        <v>61</v>
      </c>
      <c r="E97" t="str">
        <f>_xlfn.XLOOKUP(Sales[[#This Row],[Product Name]],Products[Product Name],Products[Category])</f>
        <v>Burgers</v>
      </c>
      <c r="F97" t="s">
        <v>444</v>
      </c>
      <c r="G97" t="s">
        <v>450</v>
      </c>
      <c r="H97">
        <v>48</v>
      </c>
      <c r="I97" s="5">
        <f>_xlfn.XLOOKUP(Sales[[#This Row],[Product Name]],Products[Product Name],Products[Selling Price (CAD)])</f>
        <v>6.99</v>
      </c>
      <c r="J97" s="5">
        <f>PRODUCT(Sales[[#This Row],[Quantity Sold]],Sales[[#This Row],[Unit Selling Price (CAD)]])</f>
        <v>335.52</v>
      </c>
    </row>
    <row r="98" spans="1:10">
      <c r="A98" t="s">
        <v>546</v>
      </c>
      <c r="B98" s="2">
        <v>46037</v>
      </c>
      <c r="C98" t="s">
        <v>123</v>
      </c>
      <c r="D98" t="s">
        <v>124</v>
      </c>
      <c r="E98" t="str">
        <f>_xlfn.XLOOKUP(Sales[[#This Row],[Product Name]],Products[Product Name],Products[Category])</f>
        <v>Chicken</v>
      </c>
      <c r="F98" t="s">
        <v>447</v>
      </c>
      <c r="G98" t="s">
        <v>450</v>
      </c>
      <c r="H98">
        <v>63</v>
      </c>
      <c r="I98" s="5">
        <f>_xlfn.XLOOKUP(Sales[[#This Row],[Product Name]],Products[Product Name],Products[Selling Price (CAD)])</f>
        <v>2.99</v>
      </c>
      <c r="J98" s="5">
        <f>PRODUCT(Sales[[#This Row],[Quantity Sold]],Sales[[#This Row],[Unit Selling Price (CAD)]])</f>
        <v>188.37</v>
      </c>
    </row>
    <row r="99" spans="1:10">
      <c r="A99" t="s">
        <v>547</v>
      </c>
      <c r="B99" s="2">
        <v>46038</v>
      </c>
      <c r="C99" t="s">
        <v>321</v>
      </c>
      <c r="D99" t="s">
        <v>322</v>
      </c>
      <c r="E99" t="str">
        <f>_xlfn.XLOOKUP(Sales[[#This Row],[Product Name]],Products[Product Name],Products[Category])</f>
        <v>Beverages</v>
      </c>
      <c r="F99" t="s">
        <v>444</v>
      </c>
      <c r="G99" t="s">
        <v>454</v>
      </c>
      <c r="H99">
        <v>62</v>
      </c>
      <c r="I99" s="5">
        <f>_xlfn.XLOOKUP(Sales[[#This Row],[Product Name]],Products[Product Name],Products[Selling Price (CAD)])</f>
        <v>2.4900000000000002</v>
      </c>
      <c r="J99" s="5">
        <f>PRODUCT(Sales[[#This Row],[Quantity Sold]],Sales[[#This Row],[Unit Selling Price (CAD)]])</f>
        <v>154.38000000000002</v>
      </c>
    </row>
    <row r="100" spans="1:10">
      <c r="A100" t="s">
        <v>548</v>
      </c>
      <c r="B100" s="2">
        <v>46038</v>
      </c>
      <c r="C100" t="s">
        <v>135</v>
      </c>
      <c r="D100" t="s">
        <v>136</v>
      </c>
      <c r="E100" t="str">
        <f>_xlfn.XLOOKUP(Sales[[#This Row],[Product Name]],Products[Product Name],Products[Category])</f>
        <v>Breakfast</v>
      </c>
      <c r="F100" t="s">
        <v>444</v>
      </c>
      <c r="G100" t="s">
        <v>445</v>
      </c>
      <c r="H100">
        <v>68</v>
      </c>
      <c r="I100" s="5">
        <f>_xlfn.XLOOKUP(Sales[[#This Row],[Product Name]],Products[Product Name],Products[Selling Price (CAD)])</f>
        <v>4.99</v>
      </c>
      <c r="J100" s="5">
        <f>PRODUCT(Sales[[#This Row],[Quantity Sold]],Sales[[#This Row],[Unit Selling Price (CAD)]])</f>
        <v>339.32</v>
      </c>
    </row>
    <row r="101" spans="1:10">
      <c r="A101" t="s">
        <v>549</v>
      </c>
      <c r="B101" s="2">
        <v>46038</v>
      </c>
      <c r="C101" t="s">
        <v>407</v>
      </c>
      <c r="D101" t="s">
        <v>408</v>
      </c>
      <c r="E101" t="str">
        <f>_xlfn.XLOOKUP(Sales[[#This Row],[Product Name]],Products[Product Name],Products[Category])</f>
        <v>Combo Meals</v>
      </c>
      <c r="F101" t="s">
        <v>449</v>
      </c>
      <c r="G101" t="s">
        <v>445</v>
      </c>
      <c r="H101">
        <v>52</v>
      </c>
      <c r="I101" s="5">
        <f>_xlfn.XLOOKUP(Sales[[#This Row],[Product Name]],Products[Product Name],Products[Selling Price (CAD)])</f>
        <v>10.99</v>
      </c>
      <c r="J101" s="5">
        <f>PRODUCT(Sales[[#This Row],[Quantity Sold]],Sales[[#This Row],[Unit Selling Price (CAD)]])</f>
        <v>571.48</v>
      </c>
    </row>
    <row r="102" spans="1:10">
      <c r="A102" t="s">
        <v>550</v>
      </c>
      <c r="B102" s="2">
        <v>46038</v>
      </c>
      <c r="C102" t="s">
        <v>269</v>
      </c>
      <c r="D102" t="s">
        <v>270</v>
      </c>
      <c r="E102" t="str">
        <f>_xlfn.XLOOKUP(Sales[[#This Row],[Product Name]],Products[Product Name],Products[Category])</f>
        <v>Beverages</v>
      </c>
      <c r="F102" t="s">
        <v>444</v>
      </c>
      <c r="G102" t="s">
        <v>454</v>
      </c>
      <c r="H102">
        <v>49</v>
      </c>
      <c r="I102" s="5">
        <f>_xlfn.XLOOKUP(Sales[[#This Row],[Product Name]],Products[Product Name],Products[Selling Price (CAD)])</f>
        <v>2.99</v>
      </c>
      <c r="J102" s="5">
        <f>PRODUCT(Sales[[#This Row],[Quantity Sold]],Sales[[#This Row],[Unit Selling Price (CAD)]])</f>
        <v>146.51000000000002</v>
      </c>
    </row>
    <row r="103" spans="1:10">
      <c r="A103" t="s">
        <v>551</v>
      </c>
      <c r="B103" s="2">
        <v>46038</v>
      </c>
      <c r="C103" t="s">
        <v>131</v>
      </c>
      <c r="D103" t="s">
        <v>132</v>
      </c>
      <c r="E103" t="str">
        <f>_xlfn.XLOOKUP(Sales[[#This Row],[Product Name]],Products[Product Name],Products[Category])</f>
        <v>Chicken</v>
      </c>
      <c r="F103" t="s">
        <v>444</v>
      </c>
      <c r="G103" t="s">
        <v>445</v>
      </c>
      <c r="H103">
        <v>33</v>
      </c>
      <c r="I103" s="5">
        <f>_xlfn.XLOOKUP(Sales[[#This Row],[Product Name]],Products[Product Name],Products[Selling Price (CAD)])</f>
        <v>8.99</v>
      </c>
      <c r="J103" s="5">
        <f>PRODUCT(Sales[[#This Row],[Quantity Sold]],Sales[[#This Row],[Unit Selling Price (CAD)]])</f>
        <v>296.67</v>
      </c>
    </row>
    <row r="104" spans="1:10">
      <c r="A104" t="s">
        <v>552</v>
      </c>
      <c r="B104" s="2">
        <v>46038</v>
      </c>
      <c r="C104" t="s">
        <v>291</v>
      </c>
      <c r="D104" t="s">
        <v>292</v>
      </c>
      <c r="E104" t="str">
        <f>_xlfn.XLOOKUP(Sales[[#This Row],[Product Name]],Products[Product Name],Products[Category])</f>
        <v>Beverages</v>
      </c>
      <c r="F104" t="s">
        <v>444</v>
      </c>
      <c r="G104" t="s">
        <v>452</v>
      </c>
      <c r="H104">
        <v>38</v>
      </c>
      <c r="I104" s="5">
        <f>_xlfn.XLOOKUP(Sales[[#This Row],[Product Name]],Products[Product Name],Products[Selling Price (CAD)])</f>
        <v>3.99</v>
      </c>
      <c r="J104" s="5">
        <f>PRODUCT(Sales[[#This Row],[Quantity Sold]],Sales[[#This Row],[Unit Selling Price (CAD)]])</f>
        <v>151.62</v>
      </c>
    </row>
    <row r="105" spans="1:10">
      <c r="A105" t="s">
        <v>553</v>
      </c>
      <c r="B105" s="2">
        <v>46038</v>
      </c>
      <c r="C105" t="s">
        <v>287</v>
      </c>
      <c r="D105" t="s">
        <v>288</v>
      </c>
      <c r="E105" t="str">
        <f>_xlfn.XLOOKUP(Sales[[#This Row],[Product Name]],Products[Product Name],Products[Category])</f>
        <v>Beverages</v>
      </c>
      <c r="F105" t="s">
        <v>447</v>
      </c>
      <c r="G105" t="s">
        <v>454</v>
      </c>
      <c r="H105">
        <v>39</v>
      </c>
      <c r="I105" s="5">
        <f>_xlfn.XLOOKUP(Sales[[#This Row],[Product Name]],Products[Product Name],Products[Selling Price (CAD)])</f>
        <v>3.99</v>
      </c>
      <c r="J105" s="5">
        <f>PRODUCT(Sales[[#This Row],[Quantity Sold]],Sales[[#This Row],[Unit Selling Price (CAD)]])</f>
        <v>155.61000000000001</v>
      </c>
    </row>
    <row r="106" spans="1:10">
      <c r="A106" t="s">
        <v>554</v>
      </c>
      <c r="B106" s="2">
        <v>46038</v>
      </c>
      <c r="C106" t="s">
        <v>386</v>
      </c>
      <c r="D106" t="s">
        <v>387</v>
      </c>
      <c r="E106" t="str">
        <f>_xlfn.XLOOKUP(Sales[[#This Row],[Product Name]],Products[Product Name],Products[Category])</f>
        <v>Sauces &amp; Add-ons</v>
      </c>
      <c r="F106" t="s">
        <v>444</v>
      </c>
      <c r="G106" t="s">
        <v>454</v>
      </c>
      <c r="H106">
        <v>69</v>
      </c>
      <c r="I106" s="5">
        <f>_xlfn.XLOOKUP(Sales[[#This Row],[Product Name]],Products[Product Name],Products[Selling Price (CAD)])</f>
        <v>0.25</v>
      </c>
      <c r="J106" s="5">
        <f>PRODUCT(Sales[[#This Row],[Quantity Sold]],Sales[[#This Row],[Unit Selling Price (CAD)]])</f>
        <v>17.25</v>
      </c>
    </row>
    <row r="107" spans="1:10">
      <c r="A107" t="s">
        <v>555</v>
      </c>
      <c r="B107" s="2">
        <v>46039</v>
      </c>
      <c r="C107" t="s">
        <v>115</v>
      </c>
      <c r="D107" t="s">
        <v>116</v>
      </c>
      <c r="E107" t="str">
        <f>_xlfn.XLOOKUP(Sales[[#This Row],[Product Name]],Products[Product Name],Products[Category])</f>
        <v>Chicken</v>
      </c>
      <c r="F107" t="s">
        <v>447</v>
      </c>
      <c r="G107" t="s">
        <v>450</v>
      </c>
      <c r="H107">
        <v>78</v>
      </c>
      <c r="I107" s="5">
        <f>_xlfn.XLOOKUP(Sales[[#This Row],[Product Name]],Products[Product Name],Products[Selling Price (CAD)])</f>
        <v>2.99</v>
      </c>
      <c r="J107" s="5">
        <f>PRODUCT(Sales[[#This Row],[Quantity Sold]],Sales[[#This Row],[Unit Selling Price (CAD)]])</f>
        <v>233.22000000000003</v>
      </c>
    </row>
    <row r="108" spans="1:10">
      <c r="A108" t="s">
        <v>556</v>
      </c>
      <c r="B108" s="2">
        <v>46039</v>
      </c>
      <c r="C108" t="s">
        <v>163</v>
      </c>
      <c r="D108" t="s">
        <v>164</v>
      </c>
      <c r="E108" t="str">
        <f>_xlfn.XLOOKUP(Sales[[#This Row],[Product Name]],Products[Product Name],Products[Category])</f>
        <v>Breakfast</v>
      </c>
      <c r="F108" t="s">
        <v>444</v>
      </c>
      <c r="G108" t="s">
        <v>450</v>
      </c>
      <c r="H108">
        <v>55</v>
      </c>
      <c r="I108" s="5">
        <f>_xlfn.XLOOKUP(Sales[[#This Row],[Product Name]],Products[Product Name],Products[Selling Price (CAD)])</f>
        <v>3.99</v>
      </c>
      <c r="J108" s="5">
        <f>PRODUCT(Sales[[#This Row],[Quantity Sold]],Sales[[#This Row],[Unit Selling Price (CAD)]])</f>
        <v>219.45000000000002</v>
      </c>
    </row>
    <row r="109" spans="1:10">
      <c r="A109" t="s">
        <v>557</v>
      </c>
      <c r="B109" s="2">
        <v>46039</v>
      </c>
      <c r="C109" t="s">
        <v>333</v>
      </c>
      <c r="D109" t="s">
        <v>334</v>
      </c>
      <c r="E109" t="str">
        <f>_xlfn.XLOOKUP(Sales[[#This Row],[Product Name]],Products[Product Name],Products[Category])</f>
        <v>Desserts</v>
      </c>
      <c r="F109" t="s">
        <v>447</v>
      </c>
      <c r="G109" t="s">
        <v>454</v>
      </c>
      <c r="H109">
        <v>64</v>
      </c>
      <c r="I109" s="5">
        <f>_xlfn.XLOOKUP(Sales[[#This Row],[Product Name]],Products[Product Name],Products[Selling Price (CAD)])</f>
        <v>4.49</v>
      </c>
      <c r="J109" s="5">
        <f>PRODUCT(Sales[[#This Row],[Quantity Sold]],Sales[[#This Row],[Unit Selling Price (CAD)]])</f>
        <v>287.36</v>
      </c>
    </row>
    <row r="110" spans="1:10">
      <c r="A110" t="s">
        <v>558</v>
      </c>
      <c r="B110" s="2">
        <v>46039</v>
      </c>
      <c r="C110" t="s">
        <v>307</v>
      </c>
      <c r="D110" t="s">
        <v>308</v>
      </c>
      <c r="E110" t="str">
        <f>_xlfn.XLOOKUP(Sales[[#This Row],[Product Name]],Products[Product Name],Products[Category])</f>
        <v>Beverages</v>
      </c>
      <c r="F110" t="s">
        <v>447</v>
      </c>
      <c r="G110" t="s">
        <v>450</v>
      </c>
      <c r="H110">
        <v>64</v>
      </c>
      <c r="I110" s="5">
        <f>_xlfn.XLOOKUP(Sales[[#This Row],[Product Name]],Products[Product Name],Products[Selling Price (CAD)])</f>
        <v>2.99</v>
      </c>
      <c r="J110" s="5">
        <f>PRODUCT(Sales[[#This Row],[Quantity Sold]],Sales[[#This Row],[Unit Selling Price (CAD)]])</f>
        <v>191.36</v>
      </c>
    </row>
    <row r="111" spans="1:10">
      <c r="A111" t="s">
        <v>559</v>
      </c>
      <c r="B111" s="2">
        <v>46039</v>
      </c>
      <c r="C111" t="s">
        <v>363</v>
      </c>
      <c r="D111" t="s">
        <v>364</v>
      </c>
      <c r="E111" t="str">
        <f>_xlfn.XLOOKUP(Sales[[#This Row],[Product Name]],Products[Product Name],Products[Category])</f>
        <v>Kids Meals</v>
      </c>
      <c r="F111" t="s">
        <v>444</v>
      </c>
      <c r="G111" t="s">
        <v>454</v>
      </c>
      <c r="H111">
        <v>73</v>
      </c>
      <c r="I111" s="5">
        <f>_xlfn.XLOOKUP(Sales[[#This Row],[Product Name]],Products[Product Name],Products[Selling Price (CAD)])</f>
        <v>5.99</v>
      </c>
      <c r="J111" s="5">
        <f>PRODUCT(Sales[[#This Row],[Quantity Sold]],Sales[[#This Row],[Unit Selling Price (CAD)]])</f>
        <v>437.27000000000004</v>
      </c>
    </row>
    <row r="112" spans="1:10">
      <c r="A112" t="s">
        <v>560</v>
      </c>
      <c r="B112" s="2">
        <v>46039</v>
      </c>
      <c r="C112" t="s">
        <v>257</v>
      </c>
      <c r="D112" t="s">
        <v>258</v>
      </c>
      <c r="E112" t="str">
        <f>_xlfn.XLOOKUP(Sales[[#This Row],[Product Name]],Products[Product Name],Products[Category])</f>
        <v>Beverages</v>
      </c>
      <c r="F112" t="s">
        <v>444</v>
      </c>
      <c r="G112" t="s">
        <v>450</v>
      </c>
      <c r="H112">
        <v>40</v>
      </c>
      <c r="I112" s="5">
        <f>_xlfn.XLOOKUP(Sales[[#This Row],[Product Name]],Products[Product Name],Products[Selling Price (CAD)])</f>
        <v>2.99</v>
      </c>
      <c r="J112" s="5">
        <f>PRODUCT(Sales[[#This Row],[Quantity Sold]],Sales[[#This Row],[Unit Selling Price (CAD)]])</f>
        <v>119.60000000000001</v>
      </c>
    </row>
    <row r="113" spans="1:10">
      <c r="A113" t="s">
        <v>561</v>
      </c>
      <c r="B113" s="2">
        <v>46039</v>
      </c>
      <c r="C113" t="s">
        <v>315</v>
      </c>
      <c r="D113" t="s">
        <v>316</v>
      </c>
      <c r="E113" t="str">
        <f>_xlfn.XLOOKUP(Sales[[#This Row],[Product Name]],Products[Product Name],Products[Category])</f>
        <v>Beverages</v>
      </c>
      <c r="F113" t="s">
        <v>447</v>
      </c>
      <c r="G113" t="s">
        <v>452</v>
      </c>
      <c r="H113">
        <v>52</v>
      </c>
      <c r="I113" s="5">
        <f>_xlfn.XLOOKUP(Sales[[#This Row],[Product Name]],Products[Product Name],Products[Selling Price (CAD)])</f>
        <v>3.99</v>
      </c>
      <c r="J113" s="5">
        <f>PRODUCT(Sales[[#This Row],[Quantity Sold]],Sales[[#This Row],[Unit Selling Price (CAD)]])</f>
        <v>207.48000000000002</v>
      </c>
    </row>
    <row r="114" spans="1:10">
      <c r="A114" t="s">
        <v>562</v>
      </c>
      <c r="B114" s="2">
        <v>46039</v>
      </c>
      <c r="C114" t="s">
        <v>201</v>
      </c>
      <c r="D114" t="s">
        <v>202</v>
      </c>
      <c r="E114" t="str">
        <f>_xlfn.XLOOKUP(Sales[[#This Row],[Product Name]],Products[Product Name],Products[Category])</f>
        <v>Sides</v>
      </c>
      <c r="F114" t="s">
        <v>444</v>
      </c>
      <c r="G114" t="s">
        <v>454</v>
      </c>
      <c r="H114">
        <v>44</v>
      </c>
      <c r="I114" s="5">
        <f>_xlfn.XLOOKUP(Sales[[#This Row],[Product Name]],Products[Product Name],Products[Selling Price (CAD)])</f>
        <v>3.99</v>
      </c>
      <c r="J114" s="5">
        <f>PRODUCT(Sales[[#This Row],[Quantity Sold]],Sales[[#This Row],[Unit Selling Price (CAD)]])</f>
        <v>175.56</v>
      </c>
    </row>
    <row r="115" spans="1:10">
      <c r="A115" t="s">
        <v>563</v>
      </c>
      <c r="B115" s="2">
        <v>46039</v>
      </c>
      <c r="C115" t="s">
        <v>315</v>
      </c>
      <c r="D115" t="s">
        <v>316</v>
      </c>
      <c r="E115" t="str">
        <f>_xlfn.XLOOKUP(Sales[[#This Row],[Product Name]],Products[Product Name],Products[Category])</f>
        <v>Beverages</v>
      </c>
      <c r="F115" t="s">
        <v>447</v>
      </c>
      <c r="G115" t="s">
        <v>450</v>
      </c>
      <c r="H115">
        <v>79</v>
      </c>
      <c r="I115" s="5">
        <f>_xlfn.XLOOKUP(Sales[[#This Row],[Product Name]],Products[Product Name],Products[Selling Price (CAD)])</f>
        <v>3.99</v>
      </c>
      <c r="J115" s="5">
        <f>PRODUCT(Sales[[#This Row],[Quantity Sold]],Sales[[#This Row],[Unit Selling Price (CAD)]])</f>
        <v>315.21000000000004</v>
      </c>
    </row>
    <row r="116" spans="1:10">
      <c r="A116" t="s">
        <v>564</v>
      </c>
      <c r="B116" s="2">
        <v>46039</v>
      </c>
      <c r="C116" t="s">
        <v>119</v>
      </c>
      <c r="D116" t="s">
        <v>120</v>
      </c>
      <c r="E116" t="str">
        <f>_xlfn.XLOOKUP(Sales[[#This Row],[Product Name]],Products[Product Name],Products[Category])</f>
        <v>Chicken</v>
      </c>
      <c r="F116" t="s">
        <v>444</v>
      </c>
      <c r="G116" t="s">
        <v>452</v>
      </c>
      <c r="H116">
        <v>76</v>
      </c>
      <c r="I116" s="5">
        <f>_xlfn.XLOOKUP(Sales[[#This Row],[Product Name]],Products[Product Name],Products[Selling Price (CAD)])</f>
        <v>6.99</v>
      </c>
      <c r="J116" s="5">
        <f>PRODUCT(Sales[[#This Row],[Quantity Sold]],Sales[[#This Row],[Unit Selling Price (CAD)]])</f>
        <v>531.24</v>
      </c>
    </row>
    <row r="117" spans="1:10">
      <c r="A117" t="s">
        <v>565</v>
      </c>
      <c r="B117" s="2">
        <v>46039</v>
      </c>
      <c r="C117" t="s">
        <v>331</v>
      </c>
      <c r="D117" t="s">
        <v>332</v>
      </c>
      <c r="E117" t="str">
        <f>_xlfn.XLOOKUP(Sales[[#This Row],[Product Name]],Products[Product Name],Products[Category])</f>
        <v>Desserts</v>
      </c>
      <c r="F117" t="s">
        <v>447</v>
      </c>
      <c r="G117" t="s">
        <v>450</v>
      </c>
      <c r="H117">
        <v>40</v>
      </c>
      <c r="I117" s="5">
        <f>_xlfn.XLOOKUP(Sales[[#This Row],[Product Name]],Products[Product Name],Products[Selling Price (CAD)])</f>
        <v>3.49</v>
      </c>
      <c r="J117" s="5">
        <f>PRODUCT(Sales[[#This Row],[Quantity Sold]],Sales[[#This Row],[Unit Selling Price (CAD)]])</f>
        <v>139.60000000000002</v>
      </c>
    </row>
    <row r="118" spans="1:10">
      <c r="A118" t="s">
        <v>566</v>
      </c>
      <c r="B118" s="2">
        <v>46039</v>
      </c>
      <c r="C118" t="s">
        <v>309</v>
      </c>
      <c r="D118" t="s">
        <v>310</v>
      </c>
      <c r="E118" t="str">
        <f>_xlfn.XLOOKUP(Sales[[#This Row],[Product Name]],Products[Product Name],Products[Category])</f>
        <v>Beverages</v>
      </c>
      <c r="F118" t="s">
        <v>444</v>
      </c>
      <c r="G118" t="s">
        <v>450</v>
      </c>
      <c r="H118">
        <v>74</v>
      </c>
      <c r="I118" s="5">
        <f>_xlfn.XLOOKUP(Sales[[#This Row],[Product Name]],Products[Product Name],Products[Selling Price (CAD)])</f>
        <v>2.99</v>
      </c>
      <c r="J118" s="5">
        <f>PRODUCT(Sales[[#This Row],[Quantity Sold]],Sales[[#This Row],[Unit Selling Price (CAD)]])</f>
        <v>221.26000000000002</v>
      </c>
    </row>
    <row r="119" spans="1:10">
      <c r="A119" t="s">
        <v>567</v>
      </c>
      <c r="B119" s="2">
        <v>46039</v>
      </c>
      <c r="C119" t="s">
        <v>374</v>
      </c>
      <c r="D119" t="s">
        <v>375</v>
      </c>
      <c r="E119" t="str">
        <f>_xlfn.XLOOKUP(Sales[[#This Row],[Product Name]],Products[Product Name],Products[Category])</f>
        <v>Kids Meals</v>
      </c>
      <c r="F119" t="s">
        <v>444</v>
      </c>
      <c r="G119" t="s">
        <v>452</v>
      </c>
      <c r="H119">
        <v>77</v>
      </c>
      <c r="I119" s="5">
        <f>_xlfn.XLOOKUP(Sales[[#This Row],[Product Name]],Products[Product Name],Products[Selling Price (CAD)])</f>
        <v>6.49</v>
      </c>
      <c r="J119" s="5">
        <f>PRODUCT(Sales[[#This Row],[Quantity Sold]],Sales[[#This Row],[Unit Selling Price (CAD)]])</f>
        <v>499.73</v>
      </c>
    </row>
    <row r="120" spans="1:10">
      <c r="A120" t="s">
        <v>568</v>
      </c>
      <c r="B120" s="2">
        <v>46040</v>
      </c>
      <c r="C120" t="s">
        <v>239</v>
      </c>
      <c r="D120" t="s">
        <v>240</v>
      </c>
      <c r="E120" t="str">
        <f>_xlfn.XLOOKUP(Sales[[#This Row],[Product Name]],Products[Product Name],Products[Category])</f>
        <v>Salads</v>
      </c>
      <c r="F120" t="s">
        <v>444</v>
      </c>
      <c r="G120" t="s">
        <v>452</v>
      </c>
      <c r="H120">
        <v>62</v>
      </c>
      <c r="I120" s="5">
        <f>_xlfn.XLOOKUP(Sales[[#This Row],[Product Name]],Products[Product Name],Products[Selling Price (CAD)])</f>
        <v>9.49</v>
      </c>
      <c r="J120" s="5">
        <f>PRODUCT(Sales[[#This Row],[Quantity Sold]],Sales[[#This Row],[Unit Selling Price (CAD)]])</f>
        <v>588.38</v>
      </c>
    </row>
    <row r="121" spans="1:10">
      <c r="A121" t="s">
        <v>569</v>
      </c>
      <c r="B121" s="2">
        <v>46040</v>
      </c>
      <c r="C121" t="s">
        <v>34</v>
      </c>
      <c r="D121" t="s">
        <v>35</v>
      </c>
      <c r="E121" t="str">
        <f>_xlfn.XLOOKUP(Sales[[#This Row],[Product Name]],Products[Product Name],Products[Category])</f>
        <v>Burgers</v>
      </c>
      <c r="F121" t="s">
        <v>449</v>
      </c>
      <c r="G121" t="s">
        <v>450</v>
      </c>
      <c r="H121">
        <v>65</v>
      </c>
      <c r="I121" s="5">
        <f>_xlfn.XLOOKUP(Sales[[#This Row],[Product Name]],Products[Product Name],Products[Selling Price (CAD)])</f>
        <v>6.99</v>
      </c>
      <c r="J121" s="5">
        <f>PRODUCT(Sales[[#This Row],[Quantity Sold]],Sales[[#This Row],[Unit Selling Price (CAD)]])</f>
        <v>454.35</v>
      </c>
    </row>
    <row r="122" spans="1:10">
      <c r="A122" t="s">
        <v>570</v>
      </c>
      <c r="B122" s="2">
        <v>46040</v>
      </c>
      <c r="C122" t="s">
        <v>235</v>
      </c>
      <c r="D122" t="s">
        <v>236</v>
      </c>
      <c r="E122" t="str">
        <f>_xlfn.XLOOKUP(Sales[[#This Row],[Product Name]],Products[Product Name],Products[Category])</f>
        <v>Salads</v>
      </c>
      <c r="F122" t="s">
        <v>447</v>
      </c>
      <c r="G122" t="s">
        <v>452</v>
      </c>
      <c r="H122">
        <v>56</v>
      </c>
      <c r="I122" s="5">
        <f>_xlfn.XLOOKUP(Sales[[#This Row],[Product Name]],Products[Product Name],Products[Selling Price (CAD)])</f>
        <v>9.49</v>
      </c>
      <c r="J122" s="5">
        <f>PRODUCT(Sales[[#This Row],[Quantity Sold]],Sales[[#This Row],[Unit Selling Price (CAD)]])</f>
        <v>531.44000000000005</v>
      </c>
    </row>
    <row r="123" spans="1:10">
      <c r="A123" t="s">
        <v>571</v>
      </c>
      <c r="B123" s="2">
        <v>46040</v>
      </c>
      <c r="C123" t="s">
        <v>279</v>
      </c>
      <c r="D123" t="s">
        <v>280</v>
      </c>
      <c r="E123" t="str">
        <f>_xlfn.XLOOKUP(Sales[[#This Row],[Product Name]],Products[Product Name],Products[Category])</f>
        <v>Beverages</v>
      </c>
      <c r="F123" t="s">
        <v>449</v>
      </c>
      <c r="G123" t="s">
        <v>452</v>
      </c>
      <c r="H123">
        <v>62</v>
      </c>
      <c r="I123" s="5">
        <f>_xlfn.XLOOKUP(Sales[[#This Row],[Product Name]],Products[Product Name],Products[Selling Price (CAD)])</f>
        <v>2.99</v>
      </c>
      <c r="J123" s="5">
        <f>PRODUCT(Sales[[#This Row],[Quantity Sold]],Sales[[#This Row],[Unit Selling Price (CAD)]])</f>
        <v>185.38000000000002</v>
      </c>
    </row>
    <row r="124" spans="1:10">
      <c r="A124" t="s">
        <v>572</v>
      </c>
      <c r="B124" s="2">
        <v>46040</v>
      </c>
      <c r="C124" t="s">
        <v>183</v>
      </c>
      <c r="D124" t="s">
        <v>184</v>
      </c>
      <c r="E124" t="str">
        <f>_xlfn.XLOOKUP(Sales[[#This Row],[Product Name]],Products[Product Name],Products[Category])</f>
        <v>Sides</v>
      </c>
      <c r="F124" t="s">
        <v>447</v>
      </c>
      <c r="G124" t="s">
        <v>452</v>
      </c>
      <c r="H124">
        <v>40</v>
      </c>
      <c r="I124" s="5">
        <f>_xlfn.XLOOKUP(Sales[[#This Row],[Product Name]],Products[Product Name],Products[Selling Price (CAD)])</f>
        <v>2.99</v>
      </c>
      <c r="J124" s="5">
        <f>PRODUCT(Sales[[#This Row],[Quantity Sold]],Sales[[#This Row],[Unit Selling Price (CAD)]])</f>
        <v>119.60000000000001</v>
      </c>
    </row>
    <row r="125" spans="1:10">
      <c r="A125" t="s">
        <v>573</v>
      </c>
      <c r="B125" s="2">
        <v>46040</v>
      </c>
      <c r="C125" t="s">
        <v>36</v>
      </c>
      <c r="D125" t="s">
        <v>37</v>
      </c>
      <c r="E125" t="str">
        <f>_xlfn.XLOOKUP(Sales[[#This Row],[Product Name]],Products[Product Name],Products[Category])</f>
        <v>Burgers</v>
      </c>
      <c r="F125" t="s">
        <v>444</v>
      </c>
      <c r="G125" t="s">
        <v>450</v>
      </c>
      <c r="H125">
        <v>64</v>
      </c>
      <c r="I125" s="5">
        <f>_xlfn.XLOOKUP(Sales[[#This Row],[Product Name]],Products[Product Name],Products[Selling Price (CAD)])</f>
        <v>8.99</v>
      </c>
      <c r="J125" s="5">
        <f>PRODUCT(Sales[[#This Row],[Quantity Sold]],Sales[[#This Row],[Unit Selling Price (CAD)]])</f>
        <v>575.36</v>
      </c>
    </row>
    <row r="126" spans="1:10">
      <c r="A126" t="s">
        <v>574</v>
      </c>
      <c r="B126" s="2">
        <v>46040</v>
      </c>
      <c r="C126" t="s">
        <v>213</v>
      </c>
      <c r="D126" t="s">
        <v>214</v>
      </c>
      <c r="E126" t="str">
        <f>_xlfn.XLOOKUP(Sales[[#This Row],[Product Name]],Products[Product Name],Products[Category])</f>
        <v>Sides</v>
      </c>
      <c r="F126" t="s">
        <v>444</v>
      </c>
      <c r="G126" t="s">
        <v>450</v>
      </c>
      <c r="H126">
        <v>63</v>
      </c>
      <c r="I126" s="5">
        <f>_xlfn.XLOOKUP(Sales[[#This Row],[Product Name]],Products[Product Name],Products[Selling Price (CAD)])</f>
        <v>4.99</v>
      </c>
      <c r="J126" s="5">
        <f>PRODUCT(Sales[[#This Row],[Quantity Sold]],Sales[[#This Row],[Unit Selling Price (CAD)]])</f>
        <v>314.37</v>
      </c>
    </row>
    <row r="127" spans="1:10">
      <c r="A127" t="s">
        <v>575</v>
      </c>
      <c r="B127" s="2">
        <v>46040</v>
      </c>
      <c r="C127" t="s">
        <v>173</v>
      </c>
      <c r="D127" t="s">
        <v>174</v>
      </c>
      <c r="E127" t="str">
        <f>_xlfn.XLOOKUP(Sales[[#This Row],[Product Name]],Products[Product Name],Products[Category])</f>
        <v>Breakfast</v>
      </c>
      <c r="F127" t="s">
        <v>447</v>
      </c>
      <c r="G127" t="s">
        <v>452</v>
      </c>
      <c r="H127">
        <v>61</v>
      </c>
      <c r="I127" s="5">
        <f>_xlfn.XLOOKUP(Sales[[#This Row],[Product Name]],Products[Product Name],Products[Selling Price (CAD)])</f>
        <v>6.99</v>
      </c>
      <c r="J127" s="5">
        <f>PRODUCT(Sales[[#This Row],[Quantity Sold]],Sales[[#This Row],[Unit Selling Price (CAD)]])</f>
        <v>426.39</v>
      </c>
    </row>
    <row r="128" spans="1:10">
      <c r="A128" t="s">
        <v>576</v>
      </c>
      <c r="B128" s="2">
        <v>46041</v>
      </c>
      <c r="C128" t="s">
        <v>119</v>
      </c>
      <c r="D128" t="s">
        <v>120</v>
      </c>
      <c r="E128" t="str">
        <f>_xlfn.XLOOKUP(Sales[[#This Row],[Product Name]],Products[Product Name],Products[Category])</f>
        <v>Chicken</v>
      </c>
      <c r="F128" t="s">
        <v>444</v>
      </c>
      <c r="G128" t="s">
        <v>450</v>
      </c>
      <c r="H128">
        <v>62</v>
      </c>
      <c r="I128" s="5">
        <f>_xlfn.XLOOKUP(Sales[[#This Row],[Product Name]],Products[Product Name],Products[Selling Price (CAD)])</f>
        <v>6.99</v>
      </c>
      <c r="J128" s="5">
        <f>PRODUCT(Sales[[#This Row],[Quantity Sold]],Sales[[#This Row],[Unit Selling Price (CAD)]])</f>
        <v>433.38</v>
      </c>
    </row>
    <row r="129" spans="1:10">
      <c r="A129" t="s">
        <v>577</v>
      </c>
      <c r="B129" s="2">
        <v>46041</v>
      </c>
      <c r="C129" t="s">
        <v>289</v>
      </c>
      <c r="D129" t="s">
        <v>290</v>
      </c>
      <c r="E129" t="str">
        <f>_xlfn.XLOOKUP(Sales[[#This Row],[Product Name]],Products[Product Name],Products[Category])</f>
        <v>Beverages</v>
      </c>
      <c r="F129" t="s">
        <v>449</v>
      </c>
      <c r="G129" t="s">
        <v>454</v>
      </c>
      <c r="H129">
        <v>52</v>
      </c>
      <c r="I129" s="5">
        <f>_xlfn.XLOOKUP(Sales[[#This Row],[Product Name]],Products[Product Name],Products[Selling Price (CAD)])</f>
        <v>2.99</v>
      </c>
      <c r="J129" s="5">
        <f>PRODUCT(Sales[[#This Row],[Quantity Sold]],Sales[[#This Row],[Unit Selling Price (CAD)]])</f>
        <v>155.48000000000002</v>
      </c>
    </row>
    <row r="130" spans="1:10">
      <c r="A130" t="s">
        <v>578</v>
      </c>
      <c r="B130" s="2">
        <v>46041</v>
      </c>
      <c r="C130" t="s">
        <v>62</v>
      </c>
      <c r="D130" t="s">
        <v>63</v>
      </c>
      <c r="E130" t="str">
        <f>_xlfn.XLOOKUP(Sales[[#This Row],[Product Name]],Products[Product Name],Products[Category])</f>
        <v>Burgers</v>
      </c>
      <c r="F130" t="s">
        <v>449</v>
      </c>
      <c r="G130" t="s">
        <v>452</v>
      </c>
      <c r="H130">
        <v>49</v>
      </c>
      <c r="I130" s="5">
        <f>_xlfn.XLOOKUP(Sales[[#This Row],[Product Name]],Products[Product Name],Products[Selling Price (CAD)])</f>
        <v>8.99</v>
      </c>
      <c r="J130" s="5">
        <f>PRODUCT(Sales[[#This Row],[Quantity Sold]],Sales[[#This Row],[Unit Selling Price (CAD)]])</f>
        <v>440.51</v>
      </c>
    </row>
    <row r="131" spans="1:10">
      <c r="A131" t="s">
        <v>579</v>
      </c>
      <c r="B131" s="2">
        <v>46041</v>
      </c>
      <c r="C131" t="s">
        <v>95</v>
      </c>
      <c r="D131" t="s">
        <v>96</v>
      </c>
      <c r="E131" t="str">
        <f>_xlfn.XLOOKUP(Sales[[#This Row],[Product Name]],Products[Product Name],Products[Category])</f>
        <v>Chicken</v>
      </c>
      <c r="F131" t="s">
        <v>449</v>
      </c>
      <c r="G131" t="s">
        <v>450</v>
      </c>
      <c r="H131">
        <v>58</v>
      </c>
      <c r="I131" s="5">
        <f>_xlfn.XLOOKUP(Sales[[#This Row],[Product Name]],Products[Product Name],Products[Selling Price (CAD)])</f>
        <v>7.49</v>
      </c>
      <c r="J131" s="5">
        <f>PRODUCT(Sales[[#This Row],[Quantity Sold]],Sales[[#This Row],[Unit Selling Price (CAD)]])</f>
        <v>434.42</v>
      </c>
    </row>
    <row r="132" spans="1:10">
      <c r="A132" t="s">
        <v>580</v>
      </c>
      <c r="B132" s="2">
        <v>46041</v>
      </c>
      <c r="C132" t="s">
        <v>313</v>
      </c>
      <c r="D132" t="s">
        <v>314</v>
      </c>
      <c r="E132" t="str">
        <f>_xlfn.XLOOKUP(Sales[[#This Row],[Product Name]],Products[Product Name],Products[Category])</f>
        <v>Beverages</v>
      </c>
      <c r="F132" t="s">
        <v>447</v>
      </c>
      <c r="G132" t="s">
        <v>450</v>
      </c>
      <c r="H132">
        <v>63</v>
      </c>
      <c r="I132" s="5">
        <f>_xlfn.XLOOKUP(Sales[[#This Row],[Product Name]],Products[Product Name],Products[Selling Price (CAD)])</f>
        <v>3.99</v>
      </c>
      <c r="J132" s="5">
        <f>PRODUCT(Sales[[#This Row],[Quantity Sold]],Sales[[#This Row],[Unit Selling Price (CAD)]])</f>
        <v>251.37</v>
      </c>
    </row>
    <row r="133" spans="1:10">
      <c r="A133" t="s">
        <v>581</v>
      </c>
      <c r="B133" s="2">
        <v>46042</v>
      </c>
      <c r="C133" t="s">
        <v>386</v>
      </c>
      <c r="D133" t="s">
        <v>387</v>
      </c>
      <c r="E133" t="str">
        <f>_xlfn.XLOOKUP(Sales[[#This Row],[Product Name]],Products[Product Name],Products[Category])</f>
        <v>Sauces &amp; Add-ons</v>
      </c>
      <c r="F133" t="s">
        <v>447</v>
      </c>
      <c r="G133" t="s">
        <v>450</v>
      </c>
      <c r="H133">
        <v>37</v>
      </c>
      <c r="I133" s="5">
        <f>_xlfn.XLOOKUP(Sales[[#This Row],[Product Name]],Products[Product Name],Products[Selling Price (CAD)])</f>
        <v>0.25</v>
      </c>
      <c r="J133" s="5">
        <f>PRODUCT(Sales[[#This Row],[Quantity Sold]],Sales[[#This Row],[Unit Selling Price (CAD)]])</f>
        <v>9.25</v>
      </c>
    </row>
    <row r="134" spans="1:10">
      <c r="A134" t="s">
        <v>582</v>
      </c>
      <c r="B134" s="2">
        <v>46042</v>
      </c>
      <c r="C134" t="s">
        <v>149</v>
      </c>
      <c r="D134" t="s">
        <v>150</v>
      </c>
      <c r="E134" t="str">
        <f>_xlfn.XLOOKUP(Sales[[#This Row],[Product Name]],Products[Product Name],Products[Category])</f>
        <v>Breakfast</v>
      </c>
      <c r="F134" t="s">
        <v>449</v>
      </c>
      <c r="G134" t="s">
        <v>450</v>
      </c>
      <c r="H134">
        <v>63</v>
      </c>
      <c r="I134" s="5">
        <f>_xlfn.XLOOKUP(Sales[[#This Row],[Product Name]],Products[Product Name],Products[Selling Price (CAD)])</f>
        <v>5.99</v>
      </c>
      <c r="J134" s="5">
        <f>PRODUCT(Sales[[#This Row],[Quantity Sold]],Sales[[#This Row],[Unit Selling Price (CAD)]])</f>
        <v>377.37</v>
      </c>
    </row>
    <row r="135" spans="1:10">
      <c r="A135" t="s">
        <v>583</v>
      </c>
      <c r="B135" s="2">
        <v>46042</v>
      </c>
      <c r="C135" t="s">
        <v>215</v>
      </c>
      <c r="D135" t="s">
        <v>216</v>
      </c>
      <c r="E135" t="str">
        <f>_xlfn.XLOOKUP(Sales[[#This Row],[Product Name]],Products[Product Name],Products[Category])</f>
        <v>Sides</v>
      </c>
      <c r="F135" t="s">
        <v>444</v>
      </c>
      <c r="G135" t="s">
        <v>450</v>
      </c>
      <c r="H135">
        <v>50</v>
      </c>
      <c r="I135" s="5">
        <f>_xlfn.XLOOKUP(Sales[[#This Row],[Product Name]],Products[Product Name],Products[Selling Price (CAD)])</f>
        <v>2.99</v>
      </c>
      <c r="J135" s="5">
        <f>PRODUCT(Sales[[#This Row],[Quantity Sold]],Sales[[#This Row],[Unit Selling Price (CAD)]])</f>
        <v>149.5</v>
      </c>
    </row>
    <row r="136" spans="1:10">
      <c r="A136" t="s">
        <v>584</v>
      </c>
      <c r="B136" s="2">
        <v>46042</v>
      </c>
      <c r="C136" t="s">
        <v>157</v>
      </c>
      <c r="D136" t="s">
        <v>158</v>
      </c>
      <c r="E136" t="str">
        <f>_xlfn.XLOOKUP(Sales[[#This Row],[Product Name]],Products[Product Name],Products[Category])</f>
        <v>Breakfast</v>
      </c>
      <c r="F136" t="s">
        <v>449</v>
      </c>
      <c r="G136" t="s">
        <v>454</v>
      </c>
      <c r="H136">
        <v>55</v>
      </c>
      <c r="I136" s="5">
        <f>_xlfn.XLOOKUP(Sales[[#This Row],[Product Name]],Products[Product Name],Products[Selling Price (CAD)])</f>
        <v>4.99</v>
      </c>
      <c r="J136" s="5">
        <f>PRODUCT(Sales[[#This Row],[Quantity Sold]],Sales[[#This Row],[Unit Selling Price (CAD)]])</f>
        <v>274.45</v>
      </c>
    </row>
    <row r="137" spans="1:10">
      <c r="A137" t="s">
        <v>585</v>
      </c>
      <c r="B137" s="2">
        <v>46042</v>
      </c>
      <c r="C137" t="s">
        <v>380</v>
      </c>
      <c r="D137" t="s">
        <v>381</v>
      </c>
      <c r="E137" t="str">
        <f>_xlfn.XLOOKUP(Sales[[#This Row],[Product Name]],Products[Product Name],Products[Category])</f>
        <v>Kids Meals</v>
      </c>
      <c r="F137" t="s">
        <v>444</v>
      </c>
      <c r="G137" t="s">
        <v>452</v>
      </c>
      <c r="H137">
        <v>46</v>
      </c>
      <c r="I137" s="5">
        <f>_xlfn.XLOOKUP(Sales[[#This Row],[Product Name]],Products[Product Name],Products[Selling Price (CAD)])</f>
        <v>5.99</v>
      </c>
      <c r="J137" s="5">
        <f>PRODUCT(Sales[[#This Row],[Quantity Sold]],Sales[[#This Row],[Unit Selling Price (CAD)]])</f>
        <v>275.54000000000002</v>
      </c>
    </row>
    <row r="138" spans="1:10">
      <c r="A138" t="s">
        <v>586</v>
      </c>
      <c r="B138" s="2">
        <v>46042</v>
      </c>
      <c r="C138" t="s">
        <v>265</v>
      </c>
      <c r="D138" t="s">
        <v>266</v>
      </c>
      <c r="E138" t="str">
        <f>_xlfn.XLOOKUP(Sales[[#This Row],[Product Name]],Products[Product Name],Products[Category])</f>
        <v>Beverages</v>
      </c>
      <c r="F138" t="s">
        <v>449</v>
      </c>
      <c r="G138" t="s">
        <v>450</v>
      </c>
      <c r="H138">
        <v>77</v>
      </c>
      <c r="I138" s="5">
        <f>_xlfn.XLOOKUP(Sales[[#This Row],[Product Name]],Products[Product Name],Products[Selling Price (CAD)])</f>
        <v>1.99</v>
      </c>
      <c r="J138" s="5">
        <f>PRODUCT(Sales[[#This Row],[Quantity Sold]],Sales[[#This Row],[Unit Selling Price (CAD)]])</f>
        <v>153.22999999999999</v>
      </c>
    </row>
    <row r="139" spans="1:10">
      <c r="A139" t="s">
        <v>587</v>
      </c>
      <c r="B139" s="2">
        <v>46043</v>
      </c>
      <c r="C139" t="s">
        <v>12</v>
      </c>
      <c r="D139" t="s">
        <v>13</v>
      </c>
      <c r="E139" t="str">
        <f>_xlfn.XLOOKUP(Sales[[#This Row],[Product Name]],Products[Product Name],Products[Category])</f>
        <v>Burgers</v>
      </c>
      <c r="F139" t="s">
        <v>447</v>
      </c>
      <c r="G139" t="s">
        <v>454</v>
      </c>
      <c r="H139">
        <v>48</v>
      </c>
      <c r="I139" s="5">
        <f>_xlfn.XLOOKUP(Sales[[#This Row],[Product Name]],Products[Product Name],Products[Selling Price (CAD)])</f>
        <v>5.99</v>
      </c>
      <c r="J139" s="5">
        <f>PRODUCT(Sales[[#This Row],[Quantity Sold]],Sales[[#This Row],[Unit Selling Price (CAD)]])</f>
        <v>287.52</v>
      </c>
    </row>
    <row r="140" spans="1:10">
      <c r="A140" t="s">
        <v>588</v>
      </c>
      <c r="B140" s="2">
        <v>46043</v>
      </c>
      <c r="C140" t="s">
        <v>225</v>
      </c>
      <c r="D140" t="s">
        <v>226</v>
      </c>
      <c r="E140" t="str">
        <f>_xlfn.XLOOKUP(Sales[[#This Row],[Product Name]],Products[Product Name],Products[Category])</f>
        <v>Salads</v>
      </c>
      <c r="F140" t="s">
        <v>444</v>
      </c>
      <c r="G140" t="s">
        <v>450</v>
      </c>
      <c r="H140">
        <v>51</v>
      </c>
      <c r="I140" s="5">
        <f>_xlfn.XLOOKUP(Sales[[#This Row],[Product Name]],Products[Product Name],Products[Selling Price (CAD)])</f>
        <v>8.99</v>
      </c>
      <c r="J140" s="5">
        <f>PRODUCT(Sales[[#This Row],[Quantity Sold]],Sales[[#This Row],[Unit Selling Price (CAD)]])</f>
        <v>458.49</v>
      </c>
    </row>
    <row r="141" spans="1:10">
      <c r="A141" t="s">
        <v>589</v>
      </c>
      <c r="B141" s="2">
        <v>46043</v>
      </c>
      <c r="C141" t="s">
        <v>203</v>
      </c>
      <c r="D141" t="s">
        <v>204</v>
      </c>
      <c r="E141" t="str">
        <f>_xlfn.XLOOKUP(Sales[[#This Row],[Product Name]],Products[Product Name],Products[Category])</f>
        <v>Sides</v>
      </c>
      <c r="F141" t="s">
        <v>444</v>
      </c>
      <c r="G141" t="s">
        <v>450</v>
      </c>
      <c r="H141">
        <v>75</v>
      </c>
      <c r="I141" s="5">
        <f>_xlfn.XLOOKUP(Sales[[#This Row],[Product Name]],Products[Product Name],Products[Selling Price (CAD)])</f>
        <v>4.49</v>
      </c>
      <c r="J141" s="5">
        <f>PRODUCT(Sales[[#This Row],[Quantity Sold]],Sales[[#This Row],[Unit Selling Price (CAD)]])</f>
        <v>336.75</v>
      </c>
    </row>
    <row r="142" spans="1:10">
      <c r="A142" t="s">
        <v>590</v>
      </c>
      <c r="B142" s="2">
        <v>46043</v>
      </c>
      <c r="C142" t="s">
        <v>203</v>
      </c>
      <c r="D142" t="s">
        <v>204</v>
      </c>
      <c r="E142" t="str">
        <f>_xlfn.XLOOKUP(Sales[[#This Row],[Product Name]],Products[Product Name],Products[Category])</f>
        <v>Sides</v>
      </c>
      <c r="F142" t="s">
        <v>444</v>
      </c>
      <c r="G142" t="s">
        <v>454</v>
      </c>
      <c r="H142">
        <v>68</v>
      </c>
      <c r="I142" s="5">
        <f>_xlfn.XLOOKUP(Sales[[#This Row],[Product Name]],Products[Product Name],Products[Selling Price (CAD)])</f>
        <v>4.49</v>
      </c>
      <c r="J142" s="5">
        <f>PRODUCT(Sales[[#This Row],[Quantity Sold]],Sales[[#This Row],[Unit Selling Price (CAD)]])</f>
        <v>305.32</v>
      </c>
    </row>
    <row r="143" spans="1:10">
      <c r="A143" t="s">
        <v>591</v>
      </c>
      <c r="B143" s="2">
        <v>46044</v>
      </c>
      <c r="C143" t="s">
        <v>217</v>
      </c>
      <c r="D143" t="s">
        <v>218</v>
      </c>
      <c r="E143" t="str">
        <f>_xlfn.XLOOKUP(Sales[[#This Row],[Product Name]],Products[Product Name],Products[Category])</f>
        <v>Sides</v>
      </c>
      <c r="F143" t="s">
        <v>444</v>
      </c>
      <c r="G143" t="s">
        <v>454</v>
      </c>
      <c r="H143">
        <v>66</v>
      </c>
      <c r="I143" s="5">
        <f>_xlfn.XLOOKUP(Sales[[#This Row],[Product Name]],Products[Product Name],Products[Selling Price (CAD)])</f>
        <v>3.99</v>
      </c>
      <c r="J143" s="5">
        <f>PRODUCT(Sales[[#This Row],[Quantity Sold]],Sales[[#This Row],[Unit Selling Price (CAD)]])</f>
        <v>263.34000000000003</v>
      </c>
    </row>
    <row r="144" spans="1:10">
      <c r="A144" t="s">
        <v>592</v>
      </c>
      <c r="B144" s="2">
        <v>46044</v>
      </c>
      <c r="C144" t="s">
        <v>253</v>
      </c>
      <c r="D144" t="s">
        <v>254</v>
      </c>
      <c r="E144" t="str">
        <f>_xlfn.XLOOKUP(Sales[[#This Row],[Product Name]],Products[Product Name],Products[Category])</f>
        <v>Beverages</v>
      </c>
      <c r="F144" t="s">
        <v>447</v>
      </c>
      <c r="G144" t="s">
        <v>454</v>
      </c>
      <c r="H144">
        <v>76</v>
      </c>
      <c r="I144" s="5">
        <f>_xlfn.XLOOKUP(Sales[[#This Row],[Product Name]],Products[Product Name],Products[Selling Price (CAD)])</f>
        <v>1.99</v>
      </c>
      <c r="J144" s="5">
        <f>PRODUCT(Sales[[#This Row],[Quantity Sold]],Sales[[#This Row],[Unit Selling Price (CAD)]])</f>
        <v>151.24</v>
      </c>
    </row>
    <row r="145" spans="1:10">
      <c r="A145" t="s">
        <v>593</v>
      </c>
      <c r="B145" s="2">
        <v>46044</v>
      </c>
      <c r="C145" t="s">
        <v>303</v>
      </c>
      <c r="D145" t="s">
        <v>304</v>
      </c>
      <c r="E145" t="str">
        <f>_xlfn.XLOOKUP(Sales[[#This Row],[Product Name]],Products[Product Name],Products[Category])</f>
        <v>Beverages</v>
      </c>
      <c r="F145" t="s">
        <v>444</v>
      </c>
      <c r="G145" t="s">
        <v>452</v>
      </c>
      <c r="H145">
        <v>32</v>
      </c>
      <c r="I145" s="5">
        <f>_xlfn.XLOOKUP(Sales[[#This Row],[Product Name]],Products[Product Name],Products[Selling Price (CAD)])</f>
        <v>2.4900000000000002</v>
      </c>
      <c r="J145" s="5">
        <f>PRODUCT(Sales[[#This Row],[Quantity Sold]],Sales[[#This Row],[Unit Selling Price (CAD)]])</f>
        <v>79.680000000000007</v>
      </c>
    </row>
    <row r="146" spans="1:10">
      <c r="A146" t="s">
        <v>594</v>
      </c>
      <c r="B146" s="2">
        <v>46044</v>
      </c>
      <c r="C146" t="s">
        <v>363</v>
      </c>
      <c r="D146" t="s">
        <v>364</v>
      </c>
      <c r="E146" t="str">
        <f>_xlfn.XLOOKUP(Sales[[#This Row],[Product Name]],Products[Product Name],Products[Category])</f>
        <v>Kids Meals</v>
      </c>
      <c r="F146" t="s">
        <v>447</v>
      </c>
      <c r="G146" t="s">
        <v>452</v>
      </c>
      <c r="H146">
        <v>79</v>
      </c>
      <c r="I146" s="5">
        <f>_xlfn.XLOOKUP(Sales[[#This Row],[Product Name]],Products[Product Name],Products[Selling Price (CAD)])</f>
        <v>5.99</v>
      </c>
      <c r="J146" s="5">
        <f>PRODUCT(Sales[[#This Row],[Quantity Sold]],Sales[[#This Row],[Unit Selling Price (CAD)]])</f>
        <v>473.21000000000004</v>
      </c>
    </row>
    <row r="147" spans="1:10">
      <c r="A147" t="s">
        <v>595</v>
      </c>
      <c r="B147" s="2">
        <v>46044</v>
      </c>
      <c r="C147" t="s">
        <v>419</v>
      </c>
      <c r="D147" t="s">
        <v>420</v>
      </c>
      <c r="E147" t="str">
        <f>_xlfn.XLOOKUP(Sales[[#This Row],[Product Name]],Products[Product Name],Products[Category])</f>
        <v>Combo Meals</v>
      </c>
      <c r="F147" t="s">
        <v>447</v>
      </c>
      <c r="G147" t="s">
        <v>454</v>
      </c>
      <c r="H147">
        <v>74</v>
      </c>
      <c r="I147" s="5">
        <f>_xlfn.XLOOKUP(Sales[[#This Row],[Product Name]],Products[Product Name],Products[Selling Price (CAD)])</f>
        <v>7.99</v>
      </c>
      <c r="J147" s="5">
        <f>PRODUCT(Sales[[#This Row],[Quantity Sold]],Sales[[#This Row],[Unit Selling Price (CAD)]])</f>
        <v>591.26</v>
      </c>
    </row>
    <row r="148" spans="1:10">
      <c r="A148" t="s">
        <v>596</v>
      </c>
      <c r="B148" s="2">
        <v>46044</v>
      </c>
      <c r="C148" t="s">
        <v>345</v>
      </c>
      <c r="D148" t="s">
        <v>346</v>
      </c>
      <c r="E148" t="str">
        <f>_xlfn.XLOOKUP(Sales[[#This Row],[Product Name]],Products[Product Name],Products[Category])</f>
        <v>Desserts</v>
      </c>
      <c r="F148" t="s">
        <v>449</v>
      </c>
      <c r="G148" t="s">
        <v>452</v>
      </c>
      <c r="H148">
        <v>66</v>
      </c>
      <c r="I148" s="5">
        <f>_xlfn.XLOOKUP(Sales[[#This Row],[Product Name]],Products[Product Name],Products[Selling Price (CAD)])</f>
        <v>5.99</v>
      </c>
      <c r="J148" s="5">
        <f>PRODUCT(Sales[[#This Row],[Quantity Sold]],Sales[[#This Row],[Unit Selling Price (CAD)]])</f>
        <v>395.34000000000003</v>
      </c>
    </row>
    <row r="149" spans="1:10">
      <c r="A149" t="s">
        <v>597</v>
      </c>
      <c r="B149" s="2">
        <v>46044</v>
      </c>
      <c r="C149" t="s">
        <v>175</v>
      </c>
      <c r="D149" t="s">
        <v>176</v>
      </c>
      <c r="E149" t="str">
        <f>_xlfn.XLOOKUP(Sales[[#This Row],[Product Name]],Products[Product Name],Products[Category])</f>
        <v>Breakfast</v>
      </c>
      <c r="F149" t="s">
        <v>449</v>
      </c>
      <c r="G149" t="s">
        <v>450</v>
      </c>
      <c r="H149">
        <v>60</v>
      </c>
      <c r="I149" s="5">
        <f>_xlfn.XLOOKUP(Sales[[#This Row],[Product Name]],Products[Product Name],Products[Selling Price (CAD)])</f>
        <v>6.99</v>
      </c>
      <c r="J149" s="5">
        <f>PRODUCT(Sales[[#This Row],[Quantity Sold]],Sales[[#This Row],[Unit Selling Price (CAD)]])</f>
        <v>419.40000000000003</v>
      </c>
    </row>
    <row r="150" spans="1:10">
      <c r="A150" t="s">
        <v>598</v>
      </c>
      <c r="B150" s="2">
        <v>46044</v>
      </c>
      <c r="C150" t="s">
        <v>415</v>
      </c>
      <c r="D150" t="s">
        <v>416</v>
      </c>
      <c r="E150" t="str">
        <f>_xlfn.XLOOKUP(Sales[[#This Row],[Product Name]],Products[Product Name],Products[Category])</f>
        <v>Combo Meals</v>
      </c>
      <c r="F150" t="s">
        <v>449</v>
      </c>
      <c r="G150" t="s">
        <v>445</v>
      </c>
      <c r="H150">
        <v>60</v>
      </c>
      <c r="I150" s="5">
        <f>_xlfn.XLOOKUP(Sales[[#This Row],[Product Name]],Products[Product Name],Products[Selling Price (CAD)])</f>
        <v>9.99</v>
      </c>
      <c r="J150" s="5">
        <f>PRODUCT(Sales[[#This Row],[Quantity Sold]],Sales[[#This Row],[Unit Selling Price (CAD)]])</f>
        <v>599.4</v>
      </c>
    </row>
    <row r="151" spans="1:10">
      <c r="A151" t="s">
        <v>599</v>
      </c>
      <c r="B151" s="2">
        <v>46044</v>
      </c>
      <c r="C151" t="s">
        <v>313</v>
      </c>
      <c r="D151" t="s">
        <v>314</v>
      </c>
      <c r="E151" t="str">
        <f>_xlfn.XLOOKUP(Sales[[#This Row],[Product Name]],Products[Product Name],Products[Category])</f>
        <v>Beverages</v>
      </c>
      <c r="F151" t="s">
        <v>444</v>
      </c>
      <c r="G151" t="s">
        <v>450</v>
      </c>
      <c r="H151">
        <v>64</v>
      </c>
      <c r="I151" s="5">
        <f>_xlfn.XLOOKUP(Sales[[#This Row],[Product Name]],Products[Product Name],Products[Selling Price (CAD)])</f>
        <v>3.99</v>
      </c>
      <c r="J151" s="5">
        <f>PRODUCT(Sales[[#This Row],[Quantity Sold]],Sales[[#This Row],[Unit Selling Price (CAD)]])</f>
        <v>255.36</v>
      </c>
    </row>
    <row r="152" spans="1:10">
      <c r="A152" t="s">
        <v>600</v>
      </c>
      <c r="B152" s="2">
        <v>46045</v>
      </c>
      <c r="C152" t="s">
        <v>357</v>
      </c>
      <c r="D152" t="s">
        <v>358</v>
      </c>
      <c r="E152" t="str">
        <f>_xlfn.XLOOKUP(Sales[[#This Row],[Product Name]],Products[Product Name],Products[Category])</f>
        <v>Desserts</v>
      </c>
      <c r="F152" t="s">
        <v>449</v>
      </c>
      <c r="G152" t="s">
        <v>452</v>
      </c>
      <c r="H152">
        <v>62</v>
      </c>
      <c r="I152" s="5">
        <f>_xlfn.XLOOKUP(Sales[[#This Row],[Product Name]],Products[Product Name],Products[Selling Price (CAD)])</f>
        <v>4.99</v>
      </c>
      <c r="J152" s="5">
        <f>PRODUCT(Sales[[#This Row],[Quantity Sold]],Sales[[#This Row],[Unit Selling Price (CAD)]])</f>
        <v>309.38</v>
      </c>
    </row>
    <row r="153" spans="1:10">
      <c r="A153" t="s">
        <v>601</v>
      </c>
      <c r="B153" s="2">
        <v>46045</v>
      </c>
      <c r="C153" t="s">
        <v>265</v>
      </c>
      <c r="D153" t="s">
        <v>266</v>
      </c>
      <c r="E153" t="str">
        <f>_xlfn.XLOOKUP(Sales[[#This Row],[Product Name]],Products[Product Name],Products[Category])</f>
        <v>Beverages</v>
      </c>
      <c r="F153" t="s">
        <v>444</v>
      </c>
      <c r="G153" t="s">
        <v>454</v>
      </c>
      <c r="H153">
        <v>33</v>
      </c>
      <c r="I153" s="5">
        <f>_xlfn.XLOOKUP(Sales[[#This Row],[Product Name]],Products[Product Name],Products[Selling Price (CAD)])</f>
        <v>1.99</v>
      </c>
      <c r="J153" s="5">
        <f>PRODUCT(Sales[[#This Row],[Quantity Sold]],Sales[[#This Row],[Unit Selling Price (CAD)]])</f>
        <v>65.67</v>
      </c>
    </row>
    <row r="154" spans="1:10">
      <c r="A154" t="s">
        <v>602</v>
      </c>
      <c r="B154" s="2">
        <v>46045</v>
      </c>
      <c r="C154" t="s">
        <v>398</v>
      </c>
      <c r="D154" t="s">
        <v>399</v>
      </c>
      <c r="E154" t="str">
        <f>_xlfn.XLOOKUP(Sales[[#This Row],[Product Name]],Products[Product Name],Products[Category])</f>
        <v>Sauces &amp; Add-ons</v>
      </c>
      <c r="F154" t="s">
        <v>444</v>
      </c>
      <c r="G154" t="s">
        <v>454</v>
      </c>
      <c r="H154">
        <v>45</v>
      </c>
      <c r="I154" s="5">
        <f>_xlfn.XLOOKUP(Sales[[#This Row],[Product Name]],Products[Product Name],Products[Selling Price (CAD)])</f>
        <v>0.75</v>
      </c>
      <c r="J154" s="5">
        <f>PRODUCT(Sales[[#This Row],[Quantity Sold]],Sales[[#This Row],[Unit Selling Price (CAD)]])</f>
        <v>33.75</v>
      </c>
    </row>
    <row r="155" spans="1:10">
      <c r="A155" t="s">
        <v>603</v>
      </c>
      <c r="B155" s="2">
        <v>46045</v>
      </c>
      <c r="C155" t="s">
        <v>207</v>
      </c>
      <c r="D155" t="s">
        <v>208</v>
      </c>
      <c r="E155" t="str">
        <f>_xlfn.XLOOKUP(Sales[[#This Row],[Product Name]],Products[Product Name],Products[Category])</f>
        <v>Sides</v>
      </c>
      <c r="F155" t="s">
        <v>447</v>
      </c>
      <c r="G155" t="s">
        <v>454</v>
      </c>
      <c r="H155">
        <v>62</v>
      </c>
      <c r="I155" s="5">
        <f>_xlfn.XLOOKUP(Sales[[#This Row],[Product Name]],Products[Product Name],Products[Selling Price (CAD)])</f>
        <v>3.99</v>
      </c>
      <c r="J155" s="5">
        <f>PRODUCT(Sales[[#This Row],[Quantity Sold]],Sales[[#This Row],[Unit Selling Price (CAD)]])</f>
        <v>247.38000000000002</v>
      </c>
    </row>
    <row r="156" spans="1:10">
      <c r="A156" t="s">
        <v>604</v>
      </c>
      <c r="B156" s="2">
        <v>46045</v>
      </c>
      <c r="C156" t="s">
        <v>285</v>
      </c>
      <c r="D156" t="s">
        <v>286</v>
      </c>
      <c r="E156" t="str">
        <f>_xlfn.XLOOKUP(Sales[[#This Row],[Product Name]],Products[Product Name],Products[Category])</f>
        <v>Beverages</v>
      </c>
      <c r="F156" t="s">
        <v>449</v>
      </c>
      <c r="G156" t="s">
        <v>450</v>
      </c>
      <c r="H156">
        <v>73</v>
      </c>
      <c r="I156" s="5">
        <f>_xlfn.XLOOKUP(Sales[[#This Row],[Product Name]],Products[Product Name],Products[Selling Price (CAD)])</f>
        <v>2.99</v>
      </c>
      <c r="J156" s="5">
        <f>PRODUCT(Sales[[#This Row],[Quantity Sold]],Sales[[#This Row],[Unit Selling Price (CAD)]])</f>
        <v>218.27</v>
      </c>
    </row>
    <row r="157" spans="1:10">
      <c r="A157" t="s">
        <v>605</v>
      </c>
      <c r="B157" s="2">
        <v>46045</v>
      </c>
      <c r="C157" t="s">
        <v>123</v>
      </c>
      <c r="D157" t="s">
        <v>124</v>
      </c>
      <c r="E157" t="str">
        <f>_xlfn.XLOOKUP(Sales[[#This Row],[Product Name]],Products[Product Name],Products[Category])</f>
        <v>Chicken</v>
      </c>
      <c r="F157" t="s">
        <v>449</v>
      </c>
      <c r="G157" t="s">
        <v>450</v>
      </c>
      <c r="H157">
        <v>79</v>
      </c>
      <c r="I157" s="5">
        <f>_xlfn.XLOOKUP(Sales[[#This Row],[Product Name]],Products[Product Name],Products[Selling Price (CAD)])</f>
        <v>2.99</v>
      </c>
      <c r="J157" s="5">
        <f>PRODUCT(Sales[[#This Row],[Quantity Sold]],Sales[[#This Row],[Unit Selling Price (CAD)]])</f>
        <v>236.21</v>
      </c>
    </row>
    <row r="158" spans="1:10">
      <c r="A158" t="s">
        <v>606</v>
      </c>
      <c r="B158" s="2">
        <v>46045</v>
      </c>
      <c r="C158" t="s">
        <v>209</v>
      </c>
      <c r="D158" t="s">
        <v>210</v>
      </c>
      <c r="E158" t="str">
        <f>_xlfn.XLOOKUP(Sales[[#This Row],[Product Name]],Products[Product Name],Products[Category])</f>
        <v>Sides</v>
      </c>
      <c r="F158" t="s">
        <v>444</v>
      </c>
      <c r="G158" t="s">
        <v>450</v>
      </c>
      <c r="H158">
        <v>63</v>
      </c>
      <c r="I158" s="5">
        <f>_xlfn.XLOOKUP(Sales[[#This Row],[Product Name]],Products[Product Name],Products[Selling Price (CAD)])</f>
        <v>4.99</v>
      </c>
      <c r="J158" s="5">
        <f>PRODUCT(Sales[[#This Row],[Quantity Sold]],Sales[[#This Row],[Unit Selling Price (CAD)]])</f>
        <v>314.37</v>
      </c>
    </row>
    <row r="159" spans="1:10">
      <c r="A159" t="s">
        <v>607</v>
      </c>
      <c r="B159" s="2">
        <v>46045</v>
      </c>
      <c r="C159" t="s">
        <v>113</v>
      </c>
      <c r="D159" t="s">
        <v>114</v>
      </c>
      <c r="E159" t="str">
        <f>_xlfn.XLOOKUP(Sales[[#This Row],[Product Name]],Products[Product Name],Products[Category])</f>
        <v>Chicken</v>
      </c>
      <c r="F159" t="s">
        <v>447</v>
      </c>
      <c r="G159" t="s">
        <v>450</v>
      </c>
      <c r="H159">
        <v>58</v>
      </c>
      <c r="I159" s="5">
        <f>_xlfn.XLOOKUP(Sales[[#This Row],[Product Name]],Products[Product Name],Products[Selling Price (CAD)])</f>
        <v>5.99</v>
      </c>
      <c r="J159" s="5">
        <f>PRODUCT(Sales[[#This Row],[Quantity Sold]],Sales[[#This Row],[Unit Selling Price (CAD)]])</f>
        <v>347.42</v>
      </c>
    </row>
    <row r="160" spans="1:10">
      <c r="A160" t="s">
        <v>608</v>
      </c>
      <c r="B160" s="2">
        <v>46045</v>
      </c>
      <c r="C160" t="s">
        <v>235</v>
      </c>
      <c r="D160" t="s">
        <v>236</v>
      </c>
      <c r="E160" t="str">
        <f>_xlfn.XLOOKUP(Sales[[#This Row],[Product Name]],Products[Product Name],Products[Category])</f>
        <v>Salads</v>
      </c>
      <c r="F160" t="s">
        <v>449</v>
      </c>
      <c r="G160" t="s">
        <v>452</v>
      </c>
      <c r="H160">
        <v>46</v>
      </c>
      <c r="I160" s="5">
        <f>_xlfn.XLOOKUP(Sales[[#This Row],[Product Name]],Products[Product Name],Products[Selling Price (CAD)])</f>
        <v>9.49</v>
      </c>
      <c r="J160" s="5">
        <f>PRODUCT(Sales[[#This Row],[Quantity Sold]],Sales[[#This Row],[Unit Selling Price (CAD)]])</f>
        <v>436.54</v>
      </c>
    </row>
    <row r="161" spans="1:10">
      <c r="A161" t="s">
        <v>609</v>
      </c>
      <c r="B161" s="2">
        <v>46045</v>
      </c>
      <c r="C161" t="s">
        <v>165</v>
      </c>
      <c r="D161" t="s">
        <v>166</v>
      </c>
      <c r="E161" t="str">
        <f>_xlfn.XLOOKUP(Sales[[#This Row],[Product Name]],Products[Product Name],Products[Category])</f>
        <v>Breakfast</v>
      </c>
      <c r="F161" t="s">
        <v>444</v>
      </c>
      <c r="G161" t="s">
        <v>450</v>
      </c>
      <c r="H161">
        <v>30</v>
      </c>
      <c r="I161" s="5">
        <f>_xlfn.XLOOKUP(Sales[[#This Row],[Product Name]],Products[Product Name],Products[Selling Price (CAD)])</f>
        <v>3.99</v>
      </c>
      <c r="J161" s="5">
        <f>PRODUCT(Sales[[#This Row],[Quantity Sold]],Sales[[#This Row],[Unit Selling Price (CAD)]])</f>
        <v>119.7</v>
      </c>
    </row>
    <row r="162" spans="1:10">
      <c r="A162" t="s">
        <v>610</v>
      </c>
      <c r="B162" s="2">
        <v>46046</v>
      </c>
      <c r="C162" t="s">
        <v>135</v>
      </c>
      <c r="D162" t="s">
        <v>136</v>
      </c>
      <c r="E162" t="str">
        <f>_xlfn.XLOOKUP(Sales[[#This Row],[Product Name]],Products[Product Name],Products[Category])</f>
        <v>Breakfast</v>
      </c>
      <c r="F162" t="s">
        <v>449</v>
      </c>
      <c r="G162" t="s">
        <v>452</v>
      </c>
      <c r="H162">
        <v>77</v>
      </c>
      <c r="I162" s="5">
        <f>_xlfn.XLOOKUP(Sales[[#This Row],[Product Name]],Products[Product Name],Products[Selling Price (CAD)])</f>
        <v>4.99</v>
      </c>
      <c r="J162" s="5">
        <f>PRODUCT(Sales[[#This Row],[Quantity Sold]],Sales[[#This Row],[Unit Selling Price (CAD)]])</f>
        <v>384.23</v>
      </c>
    </row>
    <row r="163" spans="1:10">
      <c r="A163" t="s">
        <v>611</v>
      </c>
      <c r="B163" s="2">
        <v>46046</v>
      </c>
      <c r="C163" t="s">
        <v>195</v>
      </c>
      <c r="D163" t="s">
        <v>196</v>
      </c>
      <c r="E163" t="str">
        <f>_xlfn.XLOOKUP(Sales[[#This Row],[Product Name]],Products[Product Name],Products[Category])</f>
        <v>Sides</v>
      </c>
      <c r="F163" t="s">
        <v>444</v>
      </c>
      <c r="G163" t="s">
        <v>452</v>
      </c>
      <c r="H163">
        <v>50</v>
      </c>
      <c r="I163" s="5">
        <f>_xlfn.XLOOKUP(Sales[[#This Row],[Product Name]],Products[Product Name],Products[Selling Price (CAD)])</f>
        <v>3.49</v>
      </c>
      <c r="J163" s="5">
        <f>PRODUCT(Sales[[#This Row],[Quantity Sold]],Sales[[#This Row],[Unit Selling Price (CAD)]])</f>
        <v>174.5</v>
      </c>
    </row>
    <row r="164" spans="1:10">
      <c r="A164" t="s">
        <v>612</v>
      </c>
      <c r="B164" s="2">
        <v>46046</v>
      </c>
      <c r="C164" t="s">
        <v>64</v>
      </c>
      <c r="D164" t="s">
        <v>65</v>
      </c>
      <c r="E164" t="str">
        <f>_xlfn.XLOOKUP(Sales[[#This Row],[Product Name]],Products[Product Name],Products[Category])</f>
        <v>Burgers</v>
      </c>
      <c r="F164" t="s">
        <v>447</v>
      </c>
      <c r="G164" t="s">
        <v>454</v>
      </c>
      <c r="H164">
        <v>69</v>
      </c>
      <c r="I164" s="5">
        <f>_xlfn.XLOOKUP(Sales[[#This Row],[Product Name]],Products[Product Name],Products[Selling Price (CAD)])</f>
        <v>6.49</v>
      </c>
      <c r="J164" s="5">
        <f>PRODUCT(Sales[[#This Row],[Quantity Sold]],Sales[[#This Row],[Unit Selling Price (CAD)]])</f>
        <v>447.81</v>
      </c>
    </row>
    <row r="165" spans="1:10">
      <c r="A165" t="s">
        <v>613</v>
      </c>
      <c r="B165" s="2">
        <v>46046</v>
      </c>
      <c r="C165" t="s">
        <v>40</v>
      </c>
      <c r="D165" t="s">
        <v>41</v>
      </c>
      <c r="E165" t="str">
        <f>_xlfn.XLOOKUP(Sales[[#This Row],[Product Name]],Products[Product Name],Products[Category])</f>
        <v>Burgers</v>
      </c>
      <c r="F165" t="s">
        <v>449</v>
      </c>
      <c r="G165" t="s">
        <v>452</v>
      </c>
      <c r="H165">
        <v>51</v>
      </c>
      <c r="I165" s="5">
        <f>_xlfn.XLOOKUP(Sales[[#This Row],[Product Name]],Products[Product Name],Products[Selling Price (CAD)])</f>
        <v>6.99</v>
      </c>
      <c r="J165" s="5">
        <f>PRODUCT(Sales[[#This Row],[Quantity Sold]],Sales[[#This Row],[Unit Selling Price (CAD)]])</f>
        <v>356.49</v>
      </c>
    </row>
    <row r="166" spans="1:10">
      <c r="A166" t="s">
        <v>614</v>
      </c>
      <c r="B166" s="2">
        <v>46046</v>
      </c>
      <c r="C166" t="s">
        <v>78</v>
      </c>
      <c r="D166" t="s">
        <v>79</v>
      </c>
      <c r="E166" t="str">
        <f>_xlfn.XLOOKUP(Sales[[#This Row],[Product Name]],Products[Product Name],Products[Category])</f>
        <v>Burgers</v>
      </c>
      <c r="F166" t="s">
        <v>449</v>
      </c>
      <c r="G166" t="s">
        <v>450</v>
      </c>
      <c r="H166">
        <v>49</v>
      </c>
      <c r="I166" s="5">
        <f>_xlfn.XLOOKUP(Sales[[#This Row],[Product Name]],Products[Product Name],Products[Selling Price (CAD)])</f>
        <v>3.99</v>
      </c>
      <c r="J166" s="5">
        <f>PRODUCT(Sales[[#This Row],[Quantity Sold]],Sales[[#This Row],[Unit Selling Price (CAD)]])</f>
        <v>195.51000000000002</v>
      </c>
    </row>
    <row r="167" spans="1:10">
      <c r="A167" t="s">
        <v>615</v>
      </c>
      <c r="B167" s="2">
        <v>46046</v>
      </c>
      <c r="C167" t="s">
        <v>247</v>
      </c>
      <c r="D167" t="s">
        <v>248</v>
      </c>
      <c r="E167" t="str">
        <f>_xlfn.XLOOKUP(Sales[[#This Row],[Product Name]],Products[Product Name],Products[Category])</f>
        <v>Salads</v>
      </c>
      <c r="F167" t="s">
        <v>447</v>
      </c>
      <c r="G167" t="s">
        <v>452</v>
      </c>
      <c r="H167">
        <v>50</v>
      </c>
      <c r="I167" s="5">
        <f>_xlfn.XLOOKUP(Sales[[#This Row],[Product Name]],Products[Product Name],Products[Selling Price (CAD)])</f>
        <v>6.99</v>
      </c>
      <c r="J167" s="5">
        <f>PRODUCT(Sales[[#This Row],[Quantity Sold]],Sales[[#This Row],[Unit Selling Price (CAD)]])</f>
        <v>349.5</v>
      </c>
    </row>
    <row r="168" spans="1:10">
      <c r="A168" t="s">
        <v>616</v>
      </c>
      <c r="B168" s="2">
        <v>46046</v>
      </c>
      <c r="C168" t="s">
        <v>285</v>
      </c>
      <c r="D168" t="s">
        <v>286</v>
      </c>
      <c r="E168" t="str">
        <f>_xlfn.XLOOKUP(Sales[[#This Row],[Product Name]],Products[Product Name],Products[Category])</f>
        <v>Beverages</v>
      </c>
      <c r="F168" t="s">
        <v>444</v>
      </c>
      <c r="G168" t="s">
        <v>454</v>
      </c>
      <c r="H168">
        <v>76</v>
      </c>
      <c r="I168" s="5">
        <f>_xlfn.XLOOKUP(Sales[[#This Row],[Product Name]],Products[Product Name],Products[Selling Price (CAD)])</f>
        <v>2.99</v>
      </c>
      <c r="J168" s="5">
        <f>PRODUCT(Sales[[#This Row],[Quantity Sold]],Sales[[#This Row],[Unit Selling Price (CAD)]])</f>
        <v>227.24</v>
      </c>
    </row>
    <row r="169" spans="1:10">
      <c r="A169" t="s">
        <v>617</v>
      </c>
      <c r="B169" s="2">
        <v>46046</v>
      </c>
      <c r="C169" t="s">
        <v>48</v>
      </c>
      <c r="D169" t="s">
        <v>49</v>
      </c>
      <c r="E169" t="str">
        <f>_xlfn.XLOOKUP(Sales[[#This Row],[Product Name]],Products[Product Name],Products[Category])</f>
        <v>Burgers</v>
      </c>
      <c r="F169" t="s">
        <v>449</v>
      </c>
      <c r="G169" t="s">
        <v>445</v>
      </c>
      <c r="H169">
        <v>60</v>
      </c>
      <c r="I169" s="5">
        <f>_xlfn.XLOOKUP(Sales[[#This Row],[Product Name]],Products[Product Name],Products[Selling Price (CAD)])</f>
        <v>6.49</v>
      </c>
      <c r="J169" s="5">
        <f>PRODUCT(Sales[[#This Row],[Quantity Sold]],Sales[[#This Row],[Unit Selling Price (CAD)]])</f>
        <v>389.40000000000003</v>
      </c>
    </row>
    <row r="170" spans="1:10">
      <c r="A170" t="s">
        <v>618</v>
      </c>
      <c r="B170" s="2">
        <v>46047</v>
      </c>
      <c r="C170" t="s">
        <v>269</v>
      </c>
      <c r="D170" t="s">
        <v>270</v>
      </c>
      <c r="E170" t="str">
        <f>_xlfn.XLOOKUP(Sales[[#This Row],[Product Name]],Products[Product Name],Products[Category])</f>
        <v>Beverages</v>
      </c>
      <c r="F170" t="s">
        <v>449</v>
      </c>
      <c r="G170" t="s">
        <v>454</v>
      </c>
      <c r="H170">
        <v>37</v>
      </c>
      <c r="I170" s="5">
        <f>_xlfn.XLOOKUP(Sales[[#This Row],[Product Name]],Products[Product Name],Products[Selling Price (CAD)])</f>
        <v>2.99</v>
      </c>
      <c r="J170" s="5">
        <f>PRODUCT(Sales[[#This Row],[Quantity Sold]],Sales[[#This Row],[Unit Selling Price (CAD)]])</f>
        <v>110.63000000000001</v>
      </c>
    </row>
    <row r="171" spans="1:10">
      <c r="A171" t="s">
        <v>619</v>
      </c>
      <c r="B171" s="2">
        <v>46047</v>
      </c>
      <c r="C171" t="s">
        <v>97</v>
      </c>
      <c r="D171" t="s">
        <v>98</v>
      </c>
      <c r="E171" t="str">
        <f>_xlfn.XLOOKUP(Sales[[#This Row],[Product Name]],Products[Product Name],Products[Category])</f>
        <v>Chicken</v>
      </c>
      <c r="F171" t="s">
        <v>449</v>
      </c>
      <c r="G171" t="s">
        <v>450</v>
      </c>
      <c r="H171">
        <v>71</v>
      </c>
      <c r="I171" s="5">
        <f>_xlfn.XLOOKUP(Sales[[#This Row],[Product Name]],Products[Product Name],Products[Selling Price (CAD)])</f>
        <v>6.99</v>
      </c>
      <c r="J171" s="5">
        <f>PRODUCT(Sales[[#This Row],[Quantity Sold]],Sales[[#This Row],[Unit Selling Price (CAD)]])</f>
        <v>496.29</v>
      </c>
    </row>
    <row r="172" spans="1:10">
      <c r="A172" t="s">
        <v>620</v>
      </c>
      <c r="B172" s="2">
        <v>46047</v>
      </c>
      <c r="C172" t="s">
        <v>347</v>
      </c>
      <c r="D172" t="s">
        <v>348</v>
      </c>
      <c r="E172" t="str">
        <f>_xlfn.XLOOKUP(Sales[[#This Row],[Product Name]],Products[Product Name],Products[Category])</f>
        <v>Desserts</v>
      </c>
      <c r="F172" t="s">
        <v>444</v>
      </c>
      <c r="G172" t="s">
        <v>450</v>
      </c>
      <c r="H172">
        <v>52</v>
      </c>
      <c r="I172" s="5">
        <f>_xlfn.XLOOKUP(Sales[[#This Row],[Product Name]],Products[Product Name],Products[Selling Price (CAD)])</f>
        <v>4.99</v>
      </c>
      <c r="J172" s="5">
        <f>PRODUCT(Sales[[#This Row],[Quantity Sold]],Sales[[#This Row],[Unit Selling Price (CAD)]])</f>
        <v>259.48</v>
      </c>
    </row>
    <row r="173" spans="1:10">
      <c r="A173" t="s">
        <v>621</v>
      </c>
      <c r="B173" s="2">
        <v>46047</v>
      </c>
      <c r="C173" t="s">
        <v>50</v>
      </c>
      <c r="D173" t="s">
        <v>51</v>
      </c>
      <c r="E173" t="str">
        <f>_xlfn.XLOOKUP(Sales[[#This Row],[Product Name]],Products[Product Name],Products[Category])</f>
        <v>Burgers</v>
      </c>
      <c r="F173" t="s">
        <v>449</v>
      </c>
      <c r="G173" t="s">
        <v>445</v>
      </c>
      <c r="H173">
        <v>74</v>
      </c>
      <c r="I173" s="5">
        <f>_xlfn.XLOOKUP(Sales[[#This Row],[Product Name]],Products[Product Name],Products[Selling Price (CAD)])</f>
        <v>8.49</v>
      </c>
      <c r="J173" s="5">
        <f>PRODUCT(Sales[[#This Row],[Quantity Sold]],Sales[[#This Row],[Unit Selling Price (CAD)]])</f>
        <v>628.26</v>
      </c>
    </row>
    <row r="174" spans="1:10">
      <c r="A174" t="s">
        <v>622</v>
      </c>
      <c r="B174" s="2">
        <v>46047</v>
      </c>
      <c r="C174" t="s">
        <v>195</v>
      </c>
      <c r="D174" t="s">
        <v>196</v>
      </c>
      <c r="E174" t="str">
        <f>_xlfn.XLOOKUP(Sales[[#This Row],[Product Name]],Products[Product Name],Products[Category])</f>
        <v>Sides</v>
      </c>
      <c r="F174" t="s">
        <v>449</v>
      </c>
      <c r="G174" t="s">
        <v>452</v>
      </c>
      <c r="H174">
        <v>36</v>
      </c>
      <c r="I174" s="5">
        <f>_xlfn.XLOOKUP(Sales[[#This Row],[Product Name]],Products[Product Name],Products[Selling Price (CAD)])</f>
        <v>3.49</v>
      </c>
      <c r="J174" s="5">
        <f>PRODUCT(Sales[[#This Row],[Quantity Sold]],Sales[[#This Row],[Unit Selling Price (CAD)]])</f>
        <v>125.64000000000001</v>
      </c>
    </row>
    <row r="175" spans="1:10">
      <c r="A175" t="s">
        <v>623</v>
      </c>
      <c r="B175" s="2">
        <v>46047</v>
      </c>
      <c r="C175" t="s">
        <v>66</v>
      </c>
      <c r="D175" t="s">
        <v>67</v>
      </c>
      <c r="E175" t="str">
        <f>_xlfn.XLOOKUP(Sales[[#This Row],[Product Name]],Products[Product Name],Products[Category])</f>
        <v>Burgers</v>
      </c>
      <c r="F175" t="s">
        <v>447</v>
      </c>
      <c r="G175" t="s">
        <v>450</v>
      </c>
      <c r="H175">
        <v>50</v>
      </c>
      <c r="I175" s="5">
        <f>_xlfn.XLOOKUP(Sales[[#This Row],[Product Name]],Products[Product Name],Products[Selling Price (CAD)])</f>
        <v>8.49</v>
      </c>
      <c r="J175" s="5">
        <f>PRODUCT(Sales[[#This Row],[Quantity Sold]],Sales[[#This Row],[Unit Selling Price (CAD)]])</f>
        <v>424.5</v>
      </c>
    </row>
    <row r="176" spans="1:10">
      <c r="A176" t="s">
        <v>624</v>
      </c>
      <c r="B176" s="2">
        <v>46047</v>
      </c>
      <c r="C176" t="s">
        <v>243</v>
      </c>
      <c r="D176" t="s">
        <v>244</v>
      </c>
      <c r="E176" t="str">
        <f>_xlfn.XLOOKUP(Sales[[#This Row],[Product Name]],Products[Product Name],Products[Category])</f>
        <v>Salads</v>
      </c>
      <c r="F176" t="s">
        <v>447</v>
      </c>
      <c r="G176" t="s">
        <v>450</v>
      </c>
      <c r="H176">
        <v>50</v>
      </c>
      <c r="I176" s="5">
        <f>_xlfn.XLOOKUP(Sales[[#This Row],[Product Name]],Products[Product Name],Products[Selling Price (CAD)])</f>
        <v>6.99</v>
      </c>
      <c r="J176" s="5">
        <f>PRODUCT(Sales[[#This Row],[Quantity Sold]],Sales[[#This Row],[Unit Selling Price (CAD)]])</f>
        <v>349.5</v>
      </c>
    </row>
    <row r="177" spans="1:10">
      <c r="A177" t="s">
        <v>625</v>
      </c>
      <c r="B177" s="2">
        <v>46047</v>
      </c>
      <c r="C177" t="s">
        <v>28</v>
      </c>
      <c r="D177" t="s">
        <v>29</v>
      </c>
      <c r="E177" t="str">
        <f>_xlfn.XLOOKUP(Sales[[#This Row],[Product Name]],Products[Product Name],Products[Category])</f>
        <v>Burgers</v>
      </c>
      <c r="F177" t="s">
        <v>449</v>
      </c>
      <c r="G177" t="s">
        <v>450</v>
      </c>
      <c r="H177">
        <v>54</v>
      </c>
      <c r="I177" s="5">
        <f>_xlfn.XLOOKUP(Sales[[#This Row],[Product Name]],Products[Product Name],Products[Selling Price (CAD)])</f>
        <v>7.99</v>
      </c>
      <c r="J177" s="5">
        <f>PRODUCT(Sales[[#This Row],[Quantity Sold]],Sales[[#This Row],[Unit Selling Price (CAD)]])</f>
        <v>431.46000000000004</v>
      </c>
    </row>
    <row r="178" spans="1:10">
      <c r="A178" t="s">
        <v>626</v>
      </c>
      <c r="B178" s="2">
        <v>46047</v>
      </c>
      <c r="C178" t="s">
        <v>82</v>
      </c>
      <c r="D178" t="s">
        <v>83</v>
      </c>
      <c r="E178" t="str">
        <f>_xlfn.XLOOKUP(Sales[[#This Row],[Product Name]],Products[Product Name],Products[Category])</f>
        <v>Chicken</v>
      </c>
      <c r="F178" t="s">
        <v>444</v>
      </c>
      <c r="G178" t="s">
        <v>445</v>
      </c>
      <c r="H178">
        <v>40</v>
      </c>
      <c r="I178" s="5">
        <f>_xlfn.XLOOKUP(Sales[[#This Row],[Product Name]],Products[Product Name],Products[Selling Price (CAD)])</f>
        <v>6.99</v>
      </c>
      <c r="J178" s="5">
        <f>PRODUCT(Sales[[#This Row],[Quantity Sold]],Sales[[#This Row],[Unit Selling Price (CAD)]])</f>
        <v>279.60000000000002</v>
      </c>
    </row>
    <row r="179" spans="1:10">
      <c r="A179" t="s">
        <v>627</v>
      </c>
      <c r="B179" s="2">
        <v>46048</v>
      </c>
      <c r="C179" t="s">
        <v>127</v>
      </c>
      <c r="D179" t="s">
        <v>128</v>
      </c>
      <c r="E179" t="str">
        <f>_xlfn.XLOOKUP(Sales[[#This Row],[Product Name]],Products[Product Name],Products[Category])</f>
        <v>Chicken</v>
      </c>
      <c r="F179" t="s">
        <v>449</v>
      </c>
      <c r="G179" t="s">
        <v>450</v>
      </c>
      <c r="H179">
        <v>69</v>
      </c>
      <c r="I179" s="5">
        <f>_xlfn.XLOOKUP(Sales[[#This Row],[Product Name]],Products[Product Name],Products[Selling Price (CAD)])</f>
        <v>6.99</v>
      </c>
      <c r="J179" s="5">
        <f>PRODUCT(Sales[[#This Row],[Quantity Sold]],Sales[[#This Row],[Unit Selling Price (CAD)]])</f>
        <v>482.31</v>
      </c>
    </row>
    <row r="180" spans="1:10">
      <c r="A180" t="s">
        <v>628</v>
      </c>
      <c r="B180" s="2">
        <v>46048</v>
      </c>
      <c r="C180" t="s">
        <v>283</v>
      </c>
      <c r="D180" t="s">
        <v>284</v>
      </c>
      <c r="E180" t="str">
        <f>_xlfn.XLOOKUP(Sales[[#This Row],[Product Name]],Products[Product Name],Products[Category])</f>
        <v>Beverages</v>
      </c>
      <c r="F180" t="s">
        <v>447</v>
      </c>
      <c r="G180" t="s">
        <v>450</v>
      </c>
      <c r="H180">
        <v>30</v>
      </c>
      <c r="I180" s="5">
        <f>_xlfn.XLOOKUP(Sales[[#This Row],[Product Name]],Products[Product Name],Products[Selling Price (CAD)])</f>
        <v>2.99</v>
      </c>
      <c r="J180" s="5">
        <f>PRODUCT(Sales[[#This Row],[Quantity Sold]],Sales[[#This Row],[Unit Selling Price (CAD)]])</f>
        <v>89.7</v>
      </c>
    </row>
    <row r="181" spans="1:10">
      <c r="A181" t="s">
        <v>629</v>
      </c>
      <c r="B181" s="2">
        <v>46048</v>
      </c>
      <c r="C181" t="s">
        <v>52</v>
      </c>
      <c r="D181" t="s">
        <v>53</v>
      </c>
      <c r="E181" t="str">
        <f>_xlfn.XLOOKUP(Sales[[#This Row],[Product Name]],Products[Product Name],Products[Category])</f>
        <v>Burgers</v>
      </c>
      <c r="F181" t="s">
        <v>444</v>
      </c>
      <c r="G181" t="s">
        <v>450</v>
      </c>
      <c r="H181">
        <v>34</v>
      </c>
      <c r="I181" s="5">
        <f>_xlfn.XLOOKUP(Sales[[#This Row],[Product Name]],Products[Product Name],Products[Selling Price (CAD)])</f>
        <v>6.99</v>
      </c>
      <c r="J181" s="5">
        <f>PRODUCT(Sales[[#This Row],[Quantity Sold]],Sales[[#This Row],[Unit Selling Price (CAD)]])</f>
        <v>237.66</v>
      </c>
    </row>
    <row r="182" spans="1:10">
      <c r="A182" t="s">
        <v>630</v>
      </c>
      <c r="B182" s="2">
        <v>46048</v>
      </c>
      <c r="C182" t="s">
        <v>273</v>
      </c>
      <c r="D182" t="s">
        <v>274</v>
      </c>
      <c r="E182" t="str">
        <f>_xlfn.XLOOKUP(Sales[[#This Row],[Product Name]],Products[Product Name],Products[Category])</f>
        <v>Beverages</v>
      </c>
      <c r="F182" t="s">
        <v>444</v>
      </c>
      <c r="G182" t="s">
        <v>450</v>
      </c>
      <c r="H182">
        <v>49</v>
      </c>
      <c r="I182" s="5">
        <f>_xlfn.XLOOKUP(Sales[[#This Row],[Product Name]],Products[Product Name],Products[Selling Price (CAD)])</f>
        <v>2.99</v>
      </c>
      <c r="J182" s="5">
        <f>PRODUCT(Sales[[#This Row],[Quantity Sold]],Sales[[#This Row],[Unit Selling Price (CAD)]])</f>
        <v>146.51000000000002</v>
      </c>
    </row>
    <row r="183" spans="1:10">
      <c r="A183" t="s">
        <v>631</v>
      </c>
      <c r="B183" s="2">
        <v>46048</v>
      </c>
      <c r="C183" t="s">
        <v>56</v>
      </c>
      <c r="D183" t="s">
        <v>57</v>
      </c>
      <c r="E183" t="str">
        <f>_xlfn.XLOOKUP(Sales[[#This Row],[Product Name]],Products[Product Name],Products[Category])</f>
        <v>Burgers</v>
      </c>
      <c r="F183" t="s">
        <v>447</v>
      </c>
      <c r="G183" t="s">
        <v>454</v>
      </c>
      <c r="H183">
        <v>52</v>
      </c>
      <c r="I183" s="5">
        <f>_xlfn.XLOOKUP(Sales[[#This Row],[Product Name]],Products[Product Name],Products[Selling Price (CAD)])</f>
        <v>6.49</v>
      </c>
      <c r="J183" s="5">
        <f>PRODUCT(Sales[[#This Row],[Quantity Sold]],Sales[[#This Row],[Unit Selling Price (CAD)]])</f>
        <v>337.48</v>
      </c>
    </row>
    <row r="184" spans="1:10">
      <c r="A184" t="s">
        <v>632</v>
      </c>
      <c r="B184" s="2">
        <v>46048</v>
      </c>
      <c r="C184" t="s">
        <v>117</v>
      </c>
      <c r="D184" t="s">
        <v>118</v>
      </c>
      <c r="E184" t="str">
        <f>_xlfn.XLOOKUP(Sales[[#This Row],[Product Name]],Products[Product Name],Products[Category])</f>
        <v>Chicken</v>
      </c>
      <c r="F184" t="s">
        <v>444</v>
      </c>
      <c r="G184" t="s">
        <v>452</v>
      </c>
      <c r="H184">
        <v>42</v>
      </c>
      <c r="I184" s="5">
        <f>_xlfn.XLOOKUP(Sales[[#This Row],[Product Name]],Products[Product Name],Products[Selling Price (CAD)])</f>
        <v>4.99</v>
      </c>
      <c r="J184" s="5">
        <f>PRODUCT(Sales[[#This Row],[Quantity Sold]],Sales[[#This Row],[Unit Selling Price (CAD)]])</f>
        <v>209.58</v>
      </c>
    </row>
    <row r="185" spans="1:10">
      <c r="A185" t="s">
        <v>633</v>
      </c>
      <c r="B185" s="2">
        <v>46048</v>
      </c>
      <c r="C185" t="s">
        <v>135</v>
      </c>
      <c r="D185" t="s">
        <v>136</v>
      </c>
      <c r="E185" t="str">
        <f>_xlfn.XLOOKUP(Sales[[#This Row],[Product Name]],Products[Product Name],Products[Category])</f>
        <v>Breakfast</v>
      </c>
      <c r="F185" t="s">
        <v>449</v>
      </c>
      <c r="G185" t="s">
        <v>452</v>
      </c>
      <c r="H185">
        <v>46</v>
      </c>
      <c r="I185" s="5">
        <f>_xlfn.XLOOKUP(Sales[[#This Row],[Product Name]],Products[Product Name],Products[Selling Price (CAD)])</f>
        <v>4.99</v>
      </c>
      <c r="J185" s="5">
        <f>PRODUCT(Sales[[#This Row],[Quantity Sold]],Sales[[#This Row],[Unit Selling Price (CAD)]])</f>
        <v>229.54000000000002</v>
      </c>
    </row>
    <row r="186" spans="1:10">
      <c r="A186" t="s">
        <v>634</v>
      </c>
      <c r="B186" s="2">
        <v>46049</v>
      </c>
      <c r="C186" t="s">
        <v>145</v>
      </c>
      <c r="D186" t="s">
        <v>146</v>
      </c>
      <c r="E186" t="str">
        <f>_xlfn.XLOOKUP(Sales[[#This Row],[Product Name]],Products[Product Name],Products[Category])</f>
        <v>Breakfast</v>
      </c>
      <c r="F186" t="s">
        <v>449</v>
      </c>
      <c r="G186" t="s">
        <v>450</v>
      </c>
      <c r="H186">
        <v>55</v>
      </c>
      <c r="I186" s="5">
        <f>_xlfn.XLOOKUP(Sales[[#This Row],[Product Name]],Products[Product Name],Products[Selling Price (CAD)])</f>
        <v>4.99</v>
      </c>
      <c r="J186" s="5">
        <f>PRODUCT(Sales[[#This Row],[Quantity Sold]],Sales[[#This Row],[Unit Selling Price (CAD)]])</f>
        <v>274.45</v>
      </c>
    </row>
    <row r="187" spans="1:10">
      <c r="A187" t="s">
        <v>635</v>
      </c>
      <c r="B187" s="2">
        <v>46049</v>
      </c>
      <c r="C187" t="s">
        <v>76</v>
      </c>
      <c r="D187" t="s">
        <v>77</v>
      </c>
      <c r="E187" t="str">
        <f>_xlfn.XLOOKUP(Sales[[#This Row],[Product Name]],Products[Product Name],Products[Category])</f>
        <v>Burgers</v>
      </c>
      <c r="F187" t="s">
        <v>444</v>
      </c>
      <c r="G187" t="s">
        <v>454</v>
      </c>
      <c r="H187">
        <v>59</v>
      </c>
      <c r="I187" s="5">
        <f>_xlfn.XLOOKUP(Sales[[#This Row],[Product Name]],Products[Product Name],Products[Selling Price (CAD)])</f>
        <v>2.99</v>
      </c>
      <c r="J187" s="5">
        <f>PRODUCT(Sales[[#This Row],[Quantity Sold]],Sales[[#This Row],[Unit Selling Price (CAD)]])</f>
        <v>176.41000000000003</v>
      </c>
    </row>
    <row r="188" spans="1:10">
      <c r="A188" t="s">
        <v>636</v>
      </c>
      <c r="B188" s="2">
        <v>46049</v>
      </c>
      <c r="C188" t="s">
        <v>44</v>
      </c>
      <c r="D188" t="s">
        <v>45</v>
      </c>
      <c r="E188" t="str">
        <f>_xlfn.XLOOKUP(Sales[[#This Row],[Product Name]],Products[Product Name],Products[Category])</f>
        <v>Burgers</v>
      </c>
      <c r="F188" t="s">
        <v>449</v>
      </c>
      <c r="G188" t="s">
        <v>452</v>
      </c>
      <c r="H188">
        <v>43</v>
      </c>
      <c r="I188" s="5">
        <f>_xlfn.XLOOKUP(Sales[[#This Row],[Product Name]],Products[Product Name],Products[Selling Price (CAD)])</f>
        <v>6.49</v>
      </c>
      <c r="J188" s="5">
        <f>PRODUCT(Sales[[#This Row],[Quantity Sold]],Sales[[#This Row],[Unit Selling Price (CAD)]])</f>
        <v>279.07</v>
      </c>
    </row>
    <row r="189" spans="1:10">
      <c r="A189" t="s">
        <v>637</v>
      </c>
      <c r="B189" s="2">
        <v>46049</v>
      </c>
      <c r="C189" t="s">
        <v>277</v>
      </c>
      <c r="D189" t="s">
        <v>278</v>
      </c>
      <c r="E189" t="str">
        <f>_xlfn.XLOOKUP(Sales[[#This Row],[Product Name]],Products[Product Name],Products[Category])</f>
        <v>Beverages</v>
      </c>
      <c r="F189" t="s">
        <v>444</v>
      </c>
      <c r="G189" t="s">
        <v>454</v>
      </c>
      <c r="H189">
        <v>33</v>
      </c>
      <c r="I189" s="5">
        <f>_xlfn.XLOOKUP(Sales[[#This Row],[Product Name]],Products[Product Name],Products[Selling Price (CAD)])</f>
        <v>1.99</v>
      </c>
      <c r="J189" s="5">
        <f>PRODUCT(Sales[[#This Row],[Quantity Sold]],Sales[[#This Row],[Unit Selling Price (CAD)]])</f>
        <v>65.67</v>
      </c>
    </row>
    <row r="190" spans="1:10">
      <c r="A190" t="s">
        <v>638</v>
      </c>
      <c r="B190" s="2">
        <v>46049</v>
      </c>
      <c r="C190" t="s">
        <v>301</v>
      </c>
      <c r="D190" t="s">
        <v>302</v>
      </c>
      <c r="E190" t="str">
        <f>_xlfn.XLOOKUP(Sales[[#This Row],[Product Name]],Products[Product Name],Products[Category])</f>
        <v>Beverages</v>
      </c>
      <c r="F190" t="s">
        <v>444</v>
      </c>
      <c r="G190" t="s">
        <v>450</v>
      </c>
      <c r="H190">
        <v>71</v>
      </c>
      <c r="I190" s="5">
        <f>_xlfn.XLOOKUP(Sales[[#This Row],[Product Name]],Products[Product Name],Products[Selling Price (CAD)])</f>
        <v>1.99</v>
      </c>
      <c r="J190" s="5">
        <f>PRODUCT(Sales[[#This Row],[Quantity Sold]],Sales[[#This Row],[Unit Selling Price (CAD)]])</f>
        <v>141.29</v>
      </c>
    </row>
    <row r="191" spans="1:10">
      <c r="A191" t="s">
        <v>639</v>
      </c>
      <c r="B191" s="2">
        <v>46049</v>
      </c>
      <c r="C191" t="s">
        <v>72</v>
      </c>
      <c r="D191" t="s">
        <v>73</v>
      </c>
      <c r="E191" t="str">
        <f>_xlfn.XLOOKUP(Sales[[#This Row],[Product Name]],Products[Product Name],Products[Category])</f>
        <v>Burgers</v>
      </c>
      <c r="F191" t="s">
        <v>444</v>
      </c>
      <c r="G191" t="s">
        <v>445</v>
      </c>
      <c r="H191">
        <v>51</v>
      </c>
      <c r="I191" s="5">
        <f>_xlfn.XLOOKUP(Sales[[#This Row],[Product Name]],Products[Product Name],Products[Selling Price (CAD)])</f>
        <v>6.99</v>
      </c>
      <c r="J191" s="5">
        <f>PRODUCT(Sales[[#This Row],[Quantity Sold]],Sales[[#This Row],[Unit Selling Price (CAD)]])</f>
        <v>356.49</v>
      </c>
    </row>
    <row r="192" spans="1:10">
      <c r="A192" t="s">
        <v>640</v>
      </c>
      <c r="B192" s="2">
        <v>46049</v>
      </c>
      <c r="C192" t="s">
        <v>361</v>
      </c>
      <c r="D192" t="s">
        <v>362</v>
      </c>
      <c r="E192" t="str">
        <f>_xlfn.XLOOKUP(Sales[[#This Row],[Product Name]],Products[Product Name],Products[Category])</f>
        <v>Desserts</v>
      </c>
      <c r="F192" t="s">
        <v>447</v>
      </c>
      <c r="G192" t="s">
        <v>452</v>
      </c>
      <c r="H192">
        <v>75</v>
      </c>
      <c r="I192" s="5">
        <f>_xlfn.XLOOKUP(Sales[[#This Row],[Product Name]],Products[Product Name],Products[Selling Price (CAD)])</f>
        <v>5.99</v>
      </c>
      <c r="J192" s="5">
        <f>PRODUCT(Sales[[#This Row],[Quantity Sold]],Sales[[#This Row],[Unit Selling Price (CAD)]])</f>
        <v>449.25</v>
      </c>
    </row>
    <row r="193" spans="1:10">
      <c r="A193" t="s">
        <v>641</v>
      </c>
      <c r="B193" s="2">
        <v>46049</v>
      </c>
      <c r="C193" t="s">
        <v>217</v>
      </c>
      <c r="D193" t="s">
        <v>218</v>
      </c>
      <c r="E193" t="str">
        <f>_xlfn.XLOOKUP(Sales[[#This Row],[Product Name]],Products[Product Name],Products[Category])</f>
        <v>Sides</v>
      </c>
      <c r="F193" t="s">
        <v>444</v>
      </c>
      <c r="G193" t="s">
        <v>445</v>
      </c>
      <c r="H193">
        <v>62</v>
      </c>
      <c r="I193" s="5">
        <f>_xlfn.XLOOKUP(Sales[[#This Row],[Product Name]],Products[Product Name],Products[Selling Price (CAD)])</f>
        <v>3.99</v>
      </c>
      <c r="J193" s="5">
        <f>PRODUCT(Sales[[#This Row],[Quantity Sold]],Sales[[#This Row],[Unit Selling Price (CAD)]])</f>
        <v>247.38000000000002</v>
      </c>
    </row>
    <row r="194" spans="1:10">
      <c r="A194" t="s">
        <v>642</v>
      </c>
      <c r="B194" s="2">
        <v>46049</v>
      </c>
      <c r="C194" t="s">
        <v>259</v>
      </c>
      <c r="D194" t="s">
        <v>260</v>
      </c>
      <c r="E194" t="str">
        <f>_xlfn.XLOOKUP(Sales[[#This Row],[Product Name]],Products[Product Name],Products[Category])</f>
        <v>Beverages</v>
      </c>
      <c r="F194" t="s">
        <v>449</v>
      </c>
      <c r="G194" t="s">
        <v>445</v>
      </c>
      <c r="H194">
        <v>76</v>
      </c>
      <c r="I194" s="5">
        <f>_xlfn.XLOOKUP(Sales[[#This Row],[Product Name]],Products[Product Name],Products[Selling Price (CAD)])</f>
        <v>1.99</v>
      </c>
      <c r="J194" s="5">
        <f>PRODUCT(Sales[[#This Row],[Quantity Sold]],Sales[[#This Row],[Unit Selling Price (CAD)]])</f>
        <v>151.24</v>
      </c>
    </row>
    <row r="195" spans="1:10">
      <c r="A195" t="s">
        <v>643</v>
      </c>
      <c r="B195" s="2">
        <v>46050</v>
      </c>
      <c r="C195" t="s">
        <v>353</v>
      </c>
      <c r="D195" t="s">
        <v>354</v>
      </c>
      <c r="E195" t="str">
        <f>_xlfn.XLOOKUP(Sales[[#This Row],[Product Name]],Products[Product Name],Products[Category])</f>
        <v>Desserts</v>
      </c>
      <c r="F195" t="s">
        <v>444</v>
      </c>
      <c r="G195" t="s">
        <v>452</v>
      </c>
      <c r="H195">
        <v>53</v>
      </c>
      <c r="I195" s="5">
        <f>_xlfn.XLOOKUP(Sales[[#This Row],[Product Name]],Products[Product Name],Products[Selling Price (CAD)])</f>
        <v>4.99</v>
      </c>
      <c r="J195" s="5">
        <f>PRODUCT(Sales[[#This Row],[Quantity Sold]],Sales[[#This Row],[Unit Selling Price (CAD)]])</f>
        <v>264.47000000000003</v>
      </c>
    </row>
    <row r="196" spans="1:10">
      <c r="A196" t="s">
        <v>644</v>
      </c>
      <c r="B196" s="2">
        <v>46050</v>
      </c>
      <c r="C196" t="s">
        <v>36</v>
      </c>
      <c r="D196" t="s">
        <v>37</v>
      </c>
      <c r="E196" t="str">
        <f>_xlfn.XLOOKUP(Sales[[#This Row],[Product Name]],Products[Product Name],Products[Category])</f>
        <v>Burgers</v>
      </c>
      <c r="F196" t="s">
        <v>447</v>
      </c>
      <c r="G196" t="s">
        <v>452</v>
      </c>
      <c r="H196">
        <v>79</v>
      </c>
      <c r="I196" s="5">
        <f>_xlfn.XLOOKUP(Sales[[#This Row],[Product Name]],Products[Product Name],Products[Selling Price (CAD)])</f>
        <v>8.99</v>
      </c>
      <c r="J196" s="5">
        <f>PRODUCT(Sales[[#This Row],[Quantity Sold]],Sales[[#This Row],[Unit Selling Price (CAD)]])</f>
        <v>710.21</v>
      </c>
    </row>
    <row r="197" spans="1:10">
      <c r="A197" t="s">
        <v>645</v>
      </c>
      <c r="B197" s="2">
        <v>46050</v>
      </c>
      <c r="C197" t="s">
        <v>265</v>
      </c>
      <c r="D197" t="s">
        <v>266</v>
      </c>
      <c r="E197" t="str">
        <f>_xlfn.XLOOKUP(Sales[[#This Row],[Product Name]],Products[Product Name],Products[Category])</f>
        <v>Beverages</v>
      </c>
      <c r="F197" t="s">
        <v>447</v>
      </c>
      <c r="G197" t="s">
        <v>452</v>
      </c>
      <c r="H197">
        <v>79</v>
      </c>
      <c r="I197" s="5">
        <f>_xlfn.XLOOKUP(Sales[[#This Row],[Product Name]],Products[Product Name],Products[Selling Price (CAD)])</f>
        <v>1.99</v>
      </c>
      <c r="J197" s="5">
        <f>PRODUCT(Sales[[#This Row],[Quantity Sold]],Sales[[#This Row],[Unit Selling Price (CAD)]])</f>
        <v>157.21</v>
      </c>
    </row>
    <row r="198" spans="1:10">
      <c r="A198" t="s">
        <v>646</v>
      </c>
      <c r="B198" s="2">
        <v>46050</v>
      </c>
      <c r="C198" t="s">
        <v>267</v>
      </c>
      <c r="D198" t="s">
        <v>268</v>
      </c>
      <c r="E198" t="str">
        <f>_xlfn.XLOOKUP(Sales[[#This Row],[Product Name]],Products[Product Name],Products[Category])</f>
        <v>Beverages</v>
      </c>
      <c r="F198" t="s">
        <v>447</v>
      </c>
      <c r="G198" t="s">
        <v>450</v>
      </c>
      <c r="H198">
        <v>67</v>
      </c>
      <c r="I198" s="5">
        <f>_xlfn.XLOOKUP(Sales[[#This Row],[Product Name]],Products[Product Name],Products[Selling Price (CAD)])</f>
        <v>2.99</v>
      </c>
      <c r="J198" s="5">
        <f>PRODUCT(Sales[[#This Row],[Quantity Sold]],Sales[[#This Row],[Unit Selling Price (CAD)]])</f>
        <v>200.33</v>
      </c>
    </row>
    <row r="199" spans="1:10">
      <c r="A199" t="s">
        <v>647</v>
      </c>
      <c r="B199" s="2">
        <v>46050</v>
      </c>
      <c r="C199" t="s">
        <v>25</v>
      </c>
      <c r="D199" t="s">
        <v>26</v>
      </c>
      <c r="E199" t="str">
        <f>_xlfn.XLOOKUP(Sales[[#This Row],[Product Name]],Products[Product Name],Products[Category])</f>
        <v>Burgers</v>
      </c>
      <c r="F199" t="s">
        <v>444</v>
      </c>
      <c r="G199" t="s">
        <v>452</v>
      </c>
      <c r="H199">
        <v>40</v>
      </c>
      <c r="I199" s="5">
        <f>_xlfn.XLOOKUP(Sales[[#This Row],[Product Name]],Products[Product Name],Products[Selling Price (CAD)])</f>
        <v>5.99</v>
      </c>
      <c r="J199" s="5">
        <f>PRODUCT(Sales[[#This Row],[Quantity Sold]],Sales[[#This Row],[Unit Selling Price (CAD)]])</f>
        <v>239.60000000000002</v>
      </c>
    </row>
    <row r="200" spans="1:10">
      <c r="A200" t="s">
        <v>648</v>
      </c>
      <c r="B200" s="2">
        <v>46050</v>
      </c>
      <c r="C200" t="s">
        <v>147</v>
      </c>
      <c r="D200" t="s">
        <v>148</v>
      </c>
      <c r="E200" t="str">
        <f>_xlfn.XLOOKUP(Sales[[#This Row],[Product Name]],Products[Product Name],Products[Category])</f>
        <v>Breakfast</v>
      </c>
      <c r="F200" t="s">
        <v>444</v>
      </c>
      <c r="G200" t="s">
        <v>445</v>
      </c>
      <c r="H200">
        <v>53</v>
      </c>
      <c r="I200" s="5">
        <f>_xlfn.XLOOKUP(Sales[[#This Row],[Product Name]],Products[Product Name],Products[Selling Price (CAD)])</f>
        <v>4.99</v>
      </c>
      <c r="J200" s="5">
        <f>PRODUCT(Sales[[#This Row],[Quantity Sold]],Sales[[#This Row],[Unit Selling Price (CAD)]])</f>
        <v>264.47000000000003</v>
      </c>
    </row>
    <row r="201" spans="1:10">
      <c r="A201" t="s">
        <v>649</v>
      </c>
      <c r="B201" s="2">
        <v>46050</v>
      </c>
      <c r="C201" t="s">
        <v>407</v>
      </c>
      <c r="D201" t="s">
        <v>408</v>
      </c>
      <c r="E201" t="str">
        <f>_xlfn.XLOOKUP(Sales[[#This Row],[Product Name]],Products[Product Name],Products[Category])</f>
        <v>Combo Meals</v>
      </c>
      <c r="F201" t="s">
        <v>449</v>
      </c>
      <c r="G201" t="s">
        <v>454</v>
      </c>
      <c r="H201">
        <v>60</v>
      </c>
      <c r="I201" s="5">
        <f>_xlfn.XLOOKUP(Sales[[#This Row],[Product Name]],Products[Product Name],Products[Selling Price (CAD)])</f>
        <v>10.99</v>
      </c>
      <c r="J201" s="5">
        <f>PRODUCT(Sales[[#This Row],[Quantity Sold]],Sales[[#This Row],[Unit Selling Price (CAD)]])</f>
        <v>659.4</v>
      </c>
    </row>
    <row r="202" spans="1:10">
      <c r="A202" t="s">
        <v>650</v>
      </c>
      <c r="B202" s="2">
        <v>46050</v>
      </c>
      <c r="C202" t="s">
        <v>303</v>
      </c>
      <c r="D202" t="s">
        <v>304</v>
      </c>
      <c r="E202" t="str">
        <f>_xlfn.XLOOKUP(Sales[[#This Row],[Product Name]],Products[Product Name],Products[Category])</f>
        <v>Beverages</v>
      </c>
      <c r="F202" t="s">
        <v>449</v>
      </c>
      <c r="G202" t="s">
        <v>450</v>
      </c>
      <c r="H202">
        <v>80</v>
      </c>
      <c r="I202" s="5">
        <f>_xlfn.XLOOKUP(Sales[[#This Row],[Product Name]],Products[Product Name],Products[Selling Price (CAD)])</f>
        <v>2.4900000000000002</v>
      </c>
      <c r="J202" s="5">
        <f>PRODUCT(Sales[[#This Row],[Quantity Sold]],Sales[[#This Row],[Unit Selling Price (CAD)]])</f>
        <v>199.20000000000002</v>
      </c>
    </row>
    <row r="203" spans="1:10">
      <c r="A203" t="s">
        <v>651</v>
      </c>
      <c r="B203" s="2">
        <v>46050</v>
      </c>
      <c r="C203" t="s">
        <v>34</v>
      </c>
      <c r="D203" t="s">
        <v>35</v>
      </c>
      <c r="E203" t="str">
        <f>_xlfn.XLOOKUP(Sales[[#This Row],[Product Name]],Products[Product Name],Products[Category])</f>
        <v>Burgers</v>
      </c>
      <c r="F203" t="s">
        <v>447</v>
      </c>
      <c r="G203" t="s">
        <v>454</v>
      </c>
      <c r="H203">
        <v>44</v>
      </c>
      <c r="I203" s="5">
        <f>_xlfn.XLOOKUP(Sales[[#This Row],[Product Name]],Products[Product Name],Products[Selling Price (CAD)])</f>
        <v>6.99</v>
      </c>
      <c r="J203" s="5">
        <f>PRODUCT(Sales[[#This Row],[Quantity Sold]],Sales[[#This Row],[Unit Selling Price (CAD)]])</f>
        <v>307.56</v>
      </c>
    </row>
    <row r="204" spans="1:10">
      <c r="A204" t="s">
        <v>652</v>
      </c>
      <c r="B204" s="2">
        <v>46051</v>
      </c>
      <c r="C204" t="s">
        <v>54</v>
      </c>
      <c r="D204" t="s">
        <v>55</v>
      </c>
      <c r="E204" t="str">
        <f>_xlfn.XLOOKUP(Sales[[#This Row],[Product Name]],Products[Product Name],Products[Category])</f>
        <v>Burgers</v>
      </c>
      <c r="F204" t="s">
        <v>449</v>
      </c>
      <c r="G204" t="s">
        <v>454</v>
      </c>
      <c r="H204">
        <v>73</v>
      </c>
      <c r="I204" s="5">
        <f>_xlfn.XLOOKUP(Sales[[#This Row],[Product Name]],Products[Product Name],Products[Selling Price (CAD)])</f>
        <v>8.99</v>
      </c>
      <c r="J204" s="5">
        <f>PRODUCT(Sales[[#This Row],[Quantity Sold]],Sales[[#This Row],[Unit Selling Price (CAD)]])</f>
        <v>656.27</v>
      </c>
    </row>
    <row r="205" spans="1:10">
      <c r="A205" t="s">
        <v>653</v>
      </c>
      <c r="B205" s="2">
        <v>46051</v>
      </c>
      <c r="C205" t="s">
        <v>273</v>
      </c>
      <c r="D205" t="s">
        <v>274</v>
      </c>
      <c r="E205" t="str">
        <f>_xlfn.XLOOKUP(Sales[[#This Row],[Product Name]],Products[Product Name],Products[Category])</f>
        <v>Beverages</v>
      </c>
      <c r="F205" t="s">
        <v>449</v>
      </c>
      <c r="G205" t="s">
        <v>450</v>
      </c>
      <c r="H205">
        <v>51</v>
      </c>
      <c r="I205" s="5">
        <f>_xlfn.XLOOKUP(Sales[[#This Row],[Product Name]],Products[Product Name],Products[Selling Price (CAD)])</f>
        <v>2.99</v>
      </c>
      <c r="J205" s="5">
        <f>PRODUCT(Sales[[#This Row],[Quantity Sold]],Sales[[#This Row],[Unit Selling Price (CAD)]])</f>
        <v>152.49</v>
      </c>
    </row>
    <row r="206" spans="1:10">
      <c r="A206" t="s">
        <v>654</v>
      </c>
      <c r="B206" s="2">
        <v>46051</v>
      </c>
      <c r="C206" t="s">
        <v>221</v>
      </c>
      <c r="D206" t="s">
        <v>222</v>
      </c>
      <c r="E206" t="str">
        <f>_xlfn.XLOOKUP(Sales[[#This Row],[Product Name]],Products[Product Name],Products[Category])</f>
        <v>Sides</v>
      </c>
      <c r="F206" t="s">
        <v>449</v>
      </c>
      <c r="G206" t="s">
        <v>452</v>
      </c>
      <c r="H206">
        <v>30</v>
      </c>
      <c r="I206" s="5">
        <f>_xlfn.XLOOKUP(Sales[[#This Row],[Product Name]],Products[Product Name],Products[Selling Price (CAD)])</f>
        <v>5.99</v>
      </c>
      <c r="J206" s="5">
        <f>PRODUCT(Sales[[#This Row],[Quantity Sold]],Sales[[#This Row],[Unit Selling Price (CAD)]])</f>
        <v>179.70000000000002</v>
      </c>
    </row>
    <row r="207" spans="1:10">
      <c r="A207" t="s">
        <v>655</v>
      </c>
      <c r="B207" s="2">
        <v>46051</v>
      </c>
      <c r="C207" t="s">
        <v>66</v>
      </c>
      <c r="D207" t="s">
        <v>67</v>
      </c>
      <c r="E207" t="str">
        <f>_xlfn.XLOOKUP(Sales[[#This Row],[Product Name]],Products[Product Name],Products[Category])</f>
        <v>Burgers</v>
      </c>
      <c r="F207" t="s">
        <v>444</v>
      </c>
      <c r="G207" t="s">
        <v>454</v>
      </c>
      <c r="H207">
        <v>52</v>
      </c>
      <c r="I207" s="5">
        <f>_xlfn.XLOOKUP(Sales[[#This Row],[Product Name]],Products[Product Name],Products[Selling Price (CAD)])</f>
        <v>8.49</v>
      </c>
      <c r="J207" s="5">
        <f>PRODUCT(Sales[[#This Row],[Quantity Sold]],Sales[[#This Row],[Unit Selling Price (CAD)]])</f>
        <v>441.48</v>
      </c>
    </row>
    <row r="208" spans="1:10">
      <c r="A208" t="s">
        <v>656</v>
      </c>
      <c r="B208" s="2">
        <v>46051</v>
      </c>
      <c r="C208" t="s">
        <v>76</v>
      </c>
      <c r="D208" t="s">
        <v>77</v>
      </c>
      <c r="E208" t="str">
        <f>_xlfn.XLOOKUP(Sales[[#This Row],[Product Name]],Products[Product Name],Products[Category])</f>
        <v>Burgers</v>
      </c>
      <c r="F208" t="s">
        <v>447</v>
      </c>
      <c r="G208" t="s">
        <v>452</v>
      </c>
      <c r="H208">
        <v>64</v>
      </c>
      <c r="I208" s="5">
        <f>_xlfn.XLOOKUP(Sales[[#This Row],[Product Name]],Products[Product Name],Products[Selling Price (CAD)])</f>
        <v>2.99</v>
      </c>
      <c r="J208" s="5">
        <f>PRODUCT(Sales[[#This Row],[Quantity Sold]],Sales[[#This Row],[Unit Selling Price (CAD)]])</f>
        <v>191.36</v>
      </c>
    </row>
    <row r="209" spans="1:10">
      <c r="A209" t="s">
        <v>657</v>
      </c>
      <c r="B209" s="2">
        <v>46051</v>
      </c>
      <c r="C209" t="s">
        <v>97</v>
      </c>
      <c r="D209" t="s">
        <v>98</v>
      </c>
      <c r="E209" t="str">
        <f>_xlfn.XLOOKUP(Sales[[#This Row],[Product Name]],Products[Product Name],Products[Category])</f>
        <v>Chicken</v>
      </c>
      <c r="F209" t="s">
        <v>447</v>
      </c>
      <c r="G209" t="s">
        <v>452</v>
      </c>
      <c r="H209">
        <v>62</v>
      </c>
      <c r="I209" s="5">
        <f>_xlfn.XLOOKUP(Sales[[#This Row],[Product Name]],Products[Product Name],Products[Selling Price (CAD)])</f>
        <v>6.99</v>
      </c>
      <c r="J209" s="5">
        <f>PRODUCT(Sales[[#This Row],[Quantity Sold]],Sales[[#This Row],[Unit Selling Price (CAD)]])</f>
        <v>433.38</v>
      </c>
    </row>
    <row r="210" spans="1:10">
      <c r="A210" t="s">
        <v>658</v>
      </c>
      <c r="B210" s="2">
        <v>46051</v>
      </c>
      <c r="C210" t="s">
        <v>221</v>
      </c>
      <c r="D210" t="s">
        <v>222</v>
      </c>
      <c r="E210" t="str">
        <f>_xlfn.XLOOKUP(Sales[[#This Row],[Product Name]],Products[Product Name],Products[Category])</f>
        <v>Sides</v>
      </c>
      <c r="F210" t="s">
        <v>444</v>
      </c>
      <c r="G210" t="s">
        <v>454</v>
      </c>
      <c r="H210">
        <v>37</v>
      </c>
      <c r="I210" s="5">
        <f>_xlfn.XLOOKUP(Sales[[#This Row],[Product Name]],Products[Product Name],Products[Selling Price (CAD)])</f>
        <v>5.99</v>
      </c>
      <c r="J210" s="5">
        <f>PRODUCT(Sales[[#This Row],[Quantity Sold]],Sales[[#This Row],[Unit Selling Price (CAD)]])</f>
        <v>221.63</v>
      </c>
    </row>
    <row r="211" spans="1:10">
      <c r="A211" t="s">
        <v>659</v>
      </c>
      <c r="B211" s="2">
        <v>46051</v>
      </c>
      <c r="C211" t="s">
        <v>301</v>
      </c>
      <c r="D211" t="s">
        <v>302</v>
      </c>
      <c r="E211" t="str">
        <f>_xlfn.XLOOKUP(Sales[[#This Row],[Product Name]],Products[Product Name],Products[Category])</f>
        <v>Beverages</v>
      </c>
      <c r="F211" t="s">
        <v>447</v>
      </c>
      <c r="G211" t="s">
        <v>454</v>
      </c>
      <c r="H211">
        <v>33</v>
      </c>
      <c r="I211" s="5">
        <f>_xlfn.XLOOKUP(Sales[[#This Row],[Product Name]],Products[Product Name],Products[Selling Price (CAD)])</f>
        <v>1.99</v>
      </c>
      <c r="J211" s="5">
        <f>PRODUCT(Sales[[#This Row],[Quantity Sold]],Sales[[#This Row],[Unit Selling Price (CAD)]])</f>
        <v>65.67</v>
      </c>
    </row>
    <row r="212" spans="1:10">
      <c r="A212" t="s">
        <v>660</v>
      </c>
      <c r="B212" s="2">
        <v>46052</v>
      </c>
      <c r="C212" t="s">
        <v>261</v>
      </c>
      <c r="D212" t="s">
        <v>262</v>
      </c>
      <c r="E212" t="str">
        <f>_xlfn.XLOOKUP(Sales[[#This Row],[Product Name]],Products[Product Name],Products[Category])</f>
        <v>Beverages</v>
      </c>
      <c r="F212" t="s">
        <v>449</v>
      </c>
      <c r="G212" t="s">
        <v>450</v>
      </c>
      <c r="H212">
        <v>51</v>
      </c>
      <c r="I212" s="5">
        <f>_xlfn.XLOOKUP(Sales[[#This Row],[Product Name]],Products[Product Name],Products[Selling Price (CAD)])</f>
        <v>2.99</v>
      </c>
      <c r="J212" s="5">
        <f>PRODUCT(Sales[[#This Row],[Quantity Sold]],Sales[[#This Row],[Unit Selling Price (CAD)]])</f>
        <v>152.49</v>
      </c>
    </row>
    <row r="213" spans="1:10">
      <c r="A213" t="s">
        <v>661</v>
      </c>
      <c r="B213" s="2">
        <v>46052</v>
      </c>
      <c r="C213" t="s">
        <v>44</v>
      </c>
      <c r="D213" t="s">
        <v>45</v>
      </c>
      <c r="E213" t="str">
        <f>_xlfn.XLOOKUP(Sales[[#This Row],[Product Name]],Products[Product Name],Products[Category])</f>
        <v>Burgers</v>
      </c>
      <c r="F213" t="s">
        <v>449</v>
      </c>
      <c r="G213" t="s">
        <v>454</v>
      </c>
      <c r="H213">
        <v>74</v>
      </c>
      <c r="I213" s="5">
        <f>_xlfn.XLOOKUP(Sales[[#This Row],[Product Name]],Products[Product Name],Products[Selling Price (CAD)])</f>
        <v>6.49</v>
      </c>
      <c r="J213" s="5">
        <f>PRODUCT(Sales[[#This Row],[Quantity Sold]],Sales[[#This Row],[Unit Selling Price (CAD)]])</f>
        <v>480.26</v>
      </c>
    </row>
    <row r="214" spans="1:10">
      <c r="A214" t="s">
        <v>662</v>
      </c>
      <c r="B214" s="2">
        <v>46052</v>
      </c>
      <c r="C214" t="s">
        <v>225</v>
      </c>
      <c r="D214" t="s">
        <v>226</v>
      </c>
      <c r="E214" t="str">
        <f>_xlfn.XLOOKUP(Sales[[#This Row],[Product Name]],Products[Product Name],Products[Category])</f>
        <v>Salads</v>
      </c>
      <c r="F214" t="s">
        <v>444</v>
      </c>
      <c r="G214" t="s">
        <v>454</v>
      </c>
      <c r="H214">
        <v>46</v>
      </c>
      <c r="I214" s="5">
        <f>_xlfn.XLOOKUP(Sales[[#This Row],[Product Name]],Products[Product Name],Products[Selling Price (CAD)])</f>
        <v>8.99</v>
      </c>
      <c r="J214" s="5">
        <f>PRODUCT(Sales[[#This Row],[Quantity Sold]],Sales[[#This Row],[Unit Selling Price (CAD)]])</f>
        <v>413.54</v>
      </c>
    </row>
    <row r="215" spans="1:10">
      <c r="A215" t="s">
        <v>663</v>
      </c>
      <c r="B215" s="2">
        <v>46052</v>
      </c>
      <c r="C215" t="s">
        <v>275</v>
      </c>
      <c r="D215" t="s">
        <v>276</v>
      </c>
      <c r="E215" t="str">
        <f>_xlfn.XLOOKUP(Sales[[#This Row],[Product Name]],Products[Product Name],Products[Category])</f>
        <v>Beverages</v>
      </c>
      <c r="F215" t="s">
        <v>449</v>
      </c>
      <c r="G215" t="s">
        <v>450</v>
      </c>
      <c r="H215">
        <v>64</v>
      </c>
      <c r="I215" s="5">
        <f>_xlfn.XLOOKUP(Sales[[#This Row],[Product Name]],Products[Product Name],Products[Selling Price (CAD)])</f>
        <v>2.99</v>
      </c>
      <c r="J215" s="5">
        <f>PRODUCT(Sales[[#This Row],[Quantity Sold]],Sales[[#This Row],[Unit Selling Price (CAD)]])</f>
        <v>191.36</v>
      </c>
    </row>
    <row r="216" spans="1:10">
      <c r="A216" t="s">
        <v>664</v>
      </c>
      <c r="B216" s="2">
        <v>46052</v>
      </c>
      <c r="C216" t="s">
        <v>141</v>
      </c>
      <c r="D216" t="s">
        <v>142</v>
      </c>
      <c r="E216" t="str">
        <f>_xlfn.XLOOKUP(Sales[[#This Row],[Product Name]],Products[Product Name],Products[Category])</f>
        <v>Breakfast</v>
      </c>
      <c r="F216" t="s">
        <v>449</v>
      </c>
      <c r="G216" t="s">
        <v>454</v>
      </c>
      <c r="H216">
        <v>75</v>
      </c>
      <c r="I216" s="5">
        <f>_xlfn.XLOOKUP(Sales[[#This Row],[Product Name]],Products[Product Name],Products[Selling Price (CAD)])</f>
        <v>4.99</v>
      </c>
      <c r="J216" s="5">
        <f>PRODUCT(Sales[[#This Row],[Quantity Sold]],Sales[[#This Row],[Unit Selling Price (CAD)]])</f>
        <v>374.25</v>
      </c>
    </row>
    <row r="217" spans="1:10">
      <c r="A217" t="s">
        <v>665</v>
      </c>
      <c r="B217" s="2">
        <v>46052</v>
      </c>
      <c r="C217" t="s">
        <v>402</v>
      </c>
      <c r="D217" t="s">
        <v>403</v>
      </c>
      <c r="E217" t="str">
        <f>_xlfn.XLOOKUP(Sales[[#This Row],[Product Name]],Products[Product Name],Products[Category])</f>
        <v>Sauces &amp; Add-ons</v>
      </c>
      <c r="F217" t="s">
        <v>444</v>
      </c>
      <c r="G217" t="s">
        <v>450</v>
      </c>
      <c r="H217">
        <v>65</v>
      </c>
      <c r="I217" s="5">
        <f>_xlfn.XLOOKUP(Sales[[#This Row],[Product Name]],Products[Product Name],Products[Selling Price (CAD)])</f>
        <v>1.49</v>
      </c>
      <c r="J217" s="5">
        <f>PRODUCT(Sales[[#This Row],[Quantity Sold]],Sales[[#This Row],[Unit Selling Price (CAD)]])</f>
        <v>96.85</v>
      </c>
    </row>
    <row r="218" spans="1:10">
      <c r="A218" t="s">
        <v>666</v>
      </c>
      <c r="B218" s="2">
        <v>46052</v>
      </c>
      <c r="C218" t="s">
        <v>54</v>
      </c>
      <c r="D218" t="s">
        <v>55</v>
      </c>
      <c r="E218" t="str">
        <f>_xlfn.XLOOKUP(Sales[[#This Row],[Product Name]],Products[Product Name],Products[Category])</f>
        <v>Burgers</v>
      </c>
      <c r="F218" t="s">
        <v>444</v>
      </c>
      <c r="G218" t="s">
        <v>445</v>
      </c>
      <c r="H218">
        <v>80</v>
      </c>
      <c r="I218" s="5">
        <f>_xlfn.XLOOKUP(Sales[[#This Row],[Product Name]],Products[Product Name],Products[Selling Price (CAD)])</f>
        <v>8.99</v>
      </c>
      <c r="J218" s="5">
        <f>PRODUCT(Sales[[#This Row],[Quantity Sold]],Sales[[#This Row],[Unit Selling Price (CAD)]])</f>
        <v>719.2</v>
      </c>
    </row>
    <row r="219" spans="1:10">
      <c r="A219" t="s">
        <v>667</v>
      </c>
      <c r="B219" s="2">
        <v>46052</v>
      </c>
      <c r="C219" t="s">
        <v>417</v>
      </c>
      <c r="D219" t="s">
        <v>418</v>
      </c>
      <c r="E219" t="str">
        <f>_xlfn.XLOOKUP(Sales[[#This Row],[Product Name]],Products[Product Name],Products[Category])</f>
        <v>Combo Meals</v>
      </c>
      <c r="F219" t="s">
        <v>444</v>
      </c>
      <c r="G219" t="s">
        <v>445</v>
      </c>
      <c r="H219">
        <v>52</v>
      </c>
      <c r="I219" s="5">
        <f>_xlfn.XLOOKUP(Sales[[#This Row],[Product Name]],Products[Product Name],Products[Selling Price (CAD)])</f>
        <v>9.99</v>
      </c>
      <c r="J219" s="5">
        <f>PRODUCT(Sales[[#This Row],[Quantity Sold]],Sales[[#This Row],[Unit Selling Price (CAD)]])</f>
        <v>519.48</v>
      </c>
    </row>
    <row r="220" spans="1:10">
      <c r="A220" t="s">
        <v>668</v>
      </c>
      <c r="B220" s="2">
        <v>46052</v>
      </c>
      <c r="C220" t="s">
        <v>341</v>
      </c>
      <c r="D220" t="s">
        <v>342</v>
      </c>
      <c r="E220" t="str">
        <f>_xlfn.XLOOKUP(Sales[[#This Row],[Product Name]],Products[Product Name],Products[Category])</f>
        <v>Desserts</v>
      </c>
      <c r="F220" t="s">
        <v>449</v>
      </c>
      <c r="G220" t="s">
        <v>450</v>
      </c>
      <c r="H220">
        <v>59</v>
      </c>
      <c r="I220" s="5">
        <f>_xlfn.XLOOKUP(Sales[[#This Row],[Product Name]],Products[Product Name],Products[Selling Price (CAD)])</f>
        <v>1.49</v>
      </c>
      <c r="J220" s="5">
        <f>PRODUCT(Sales[[#This Row],[Quantity Sold]],Sales[[#This Row],[Unit Selling Price (CAD)]])</f>
        <v>87.91</v>
      </c>
    </row>
    <row r="221" spans="1:10">
      <c r="A221" t="s">
        <v>669</v>
      </c>
      <c r="B221" s="2">
        <v>46052</v>
      </c>
      <c r="C221" t="s">
        <v>173</v>
      </c>
      <c r="D221" t="s">
        <v>174</v>
      </c>
      <c r="E221" t="str">
        <f>_xlfn.XLOOKUP(Sales[[#This Row],[Product Name]],Products[Product Name],Products[Category])</f>
        <v>Breakfast</v>
      </c>
      <c r="F221" t="s">
        <v>449</v>
      </c>
      <c r="G221" t="s">
        <v>450</v>
      </c>
      <c r="H221">
        <v>64</v>
      </c>
      <c r="I221" s="5">
        <f>_xlfn.XLOOKUP(Sales[[#This Row],[Product Name]],Products[Product Name],Products[Selling Price (CAD)])</f>
        <v>6.99</v>
      </c>
      <c r="J221" s="5">
        <f>PRODUCT(Sales[[#This Row],[Quantity Sold]],Sales[[#This Row],[Unit Selling Price (CAD)]])</f>
        <v>447.36</v>
      </c>
    </row>
    <row r="222" spans="1:10">
      <c r="A222" t="s">
        <v>670</v>
      </c>
      <c r="B222" s="2">
        <v>46053</v>
      </c>
      <c r="C222" t="s">
        <v>253</v>
      </c>
      <c r="D222" t="s">
        <v>254</v>
      </c>
      <c r="E222" t="str">
        <f>_xlfn.XLOOKUP(Sales[[#This Row],[Product Name]],Products[Product Name],Products[Category])</f>
        <v>Beverages</v>
      </c>
      <c r="F222" t="s">
        <v>449</v>
      </c>
      <c r="G222" t="s">
        <v>450</v>
      </c>
      <c r="H222">
        <v>59</v>
      </c>
      <c r="I222" s="5">
        <f>_xlfn.XLOOKUP(Sales[[#This Row],[Product Name]],Products[Product Name],Products[Selling Price (CAD)])</f>
        <v>1.99</v>
      </c>
      <c r="J222" s="5">
        <f>PRODUCT(Sales[[#This Row],[Quantity Sold]],Sales[[#This Row],[Unit Selling Price (CAD)]])</f>
        <v>117.41</v>
      </c>
    </row>
    <row r="223" spans="1:10">
      <c r="A223" t="s">
        <v>671</v>
      </c>
      <c r="B223" s="2">
        <v>46053</v>
      </c>
      <c r="C223" t="s">
        <v>275</v>
      </c>
      <c r="D223" t="s">
        <v>276</v>
      </c>
      <c r="E223" t="str">
        <f>_xlfn.XLOOKUP(Sales[[#This Row],[Product Name]],Products[Product Name],Products[Category])</f>
        <v>Beverages</v>
      </c>
      <c r="F223" t="s">
        <v>449</v>
      </c>
      <c r="G223" t="s">
        <v>452</v>
      </c>
      <c r="H223">
        <v>35</v>
      </c>
      <c r="I223" s="5">
        <f>_xlfn.XLOOKUP(Sales[[#This Row],[Product Name]],Products[Product Name],Products[Selling Price (CAD)])</f>
        <v>2.99</v>
      </c>
      <c r="J223" s="5">
        <f>PRODUCT(Sales[[#This Row],[Quantity Sold]],Sales[[#This Row],[Unit Selling Price (CAD)]])</f>
        <v>104.65</v>
      </c>
    </row>
    <row r="224" spans="1:10">
      <c r="A224" t="s">
        <v>672</v>
      </c>
      <c r="B224" s="2">
        <v>46053</v>
      </c>
      <c r="C224" t="s">
        <v>44</v>
      </c>
      <c r="D224" t="s">
        <v>45</v>
      </c>
      <c r="E224" t="str">
        <f>_xlfn.XLOOKUP(Sales[[#This Row],[Product Name]],Products[Product Name],Products[Category])</f>
        <v>Burgers</v>
      </c>
      <c r="F224" t="s">
        <v>449</v>
      </c>
      <c r="G224" t="s">
        <v>452</v>
      </c>
      <c r="H224">
        <v>59</v>
      </c>
      <c r="I224" s="5">
        <f>_xlfn.XLOOKUP(Sales[[#This Row],[Product Name]],Products[Product Name],Products[Selling Price (CAD)])</f>
        <v>6.49</v>
      </c>
      <c r="J224" s="5">
        <f>PRODUCT(Sales[[#This Row],[Quantity Sold]],Sales[[#This Row],[Unit Selling Price (CAD)]])</f>
        <v>382.91</v>
      </c>
    </row>
    <row r="225" spans="1:10">
      <c r="A225" t="s">
        <v>673</v>
      </c>
      <c r="B225" s="2">
        <v>46053</v>
      </c>
      <c r="C225" t="s">
        <v>321</v>
      </c>
      <c r="D225" t="s">
        <v>322</v>
      </c>
      <c r="E225" t="str">
        <f>_xlfn.XLOOKUP(Sales[[#This Row],[Product Name]],Products[Product Name],Products[Category])</f>
        <v>Beverages</v>
      </c>
      <c r="F225" t="s">
        <v>444</v>
      </c>
      <c r="G225" t="s">
        <v>450</v>
      </c>
      <c r="H225">
        <v>80</v>
      </c>
      <c r="I225" s="5">
        <f>_xlfn.XLOOKUP(Sales[[#This Row],[Product Name]],Products[Product Name],Products[Selling Price (CAD)])</f>
        <v>2.4900000000000002</v>
      </c>
      <c r="J225" s="5">
        <f>PRODUCT(Sales[[#This Row],[Quantity Sold]],Sales[[#This Row],[Unit Selling Price (CAD)]])</f>
        <v>199.20000000000002</v>
      </c>
    </row>
    <row r="226" spans="1:10">
      <c r="A226" t="s">
        <v>674</v>
      </c>
      <c r="B226" s="2">
        <v>46053</v>
      </c>
      <c r="C226" t="s">
        <v>337</v>
      </c>
      <c r="D226" t="s">
        <v>338</v>
      </c>
      <c r="E226" t="str">
        <f>_xlfn.XLOOKUP(Sales[[#This Row],[Product Name]],Products[Product Name],Products[Category])</f>
        <v>Desserts</v>
      </c>
      <c r="F226" t="s">
        <v>444</v>
      </c>
      <c r="G226" t="s">
        <v>452</v>
      </c>
      <c r="H226">
        <v>58</v>
      </c>
      <c r="I226" s="5">
        <f>_xlfn.XLOOKUP(Sales[[#This Row],[Product Name]],Products[Product Name],Products[Selling Price (CAD)])</f>
        <v>1.49</v>
      </c>
      <c r="J226" s="5">
        <f>PRODUCT(Sales[[#This Row],[Quantity Sold]],Sales[[#This Row],[Unit Selling Price (CAD)]])</f>
        <v>86.42</v>
      </c>
    </row>
    <row r="227" spans="1:10">
      <c r="A227" t="s">
        <v>675</v>
      </c>
      <c r="B227" s="2">
        <v>46053</v>
      </c>
      <c r="C227" t="s">
        <v>157</v>
      </c>
      <c r="D227" t="s">
        <v>158</v>
      </c>
      <c r="E227" t="str">
        <f>_xlfn.XLOOKUP(Sales[[#This Row],[Product Name]],Products[Product Name],Products[Category])</f>
        <v>Breakfast</v>
      </c>
      <c r="F227" t="s">
        <v>444</v>
      </c>
      <c r="G227" t="s">
        <v>454</v>
      </c>
      <c r="H227">
        <v>66</v>
      </c>
      <c r="I227" s="5">
        <f>_xlfn.XLOOKUP(Sales[[#This Row],[Product Name]],Products[Product Name],Products[Selling Price (CAD)])</f>
        <v>4.99</v>
      </c>
      <c r="J227" s="5">
        <f>PRODUCT(Sales[[#This Row],[Quantity Sold]],Sales[[#This Row],[Unit Selling Price (CAD)]])</f>
        <v>329.34000000000003</v>
      </c>
    </row>
    <row r="228" spans="1:10">
      <c r="A228" t="s">
        <v>676</v>
      </c>
      <c r="B228" s="2">
        <v>46053</v>
      </c>
      <c r="C228" t="s">
        <v>185</v>
      </c>
      <c r="D228" t="s">
        <v>186</v>
      </c>
      <c r="E228" t="str">
        <f>_xlfn.XLOOKUP(Sales[[#This Row],[Product Name]],Products[Product Name],Products[Category])</f>
        <v>Sides</v>
      </c>
      <c r="F228" t="s">
        <v>447</v>
      </c>
      <c r="G228" t="s">
        <v>450</v>
      </c>
      <c r="H228">
        <v>53</v>
      </c>
      <c r="I228" s="5">
        <f>_xlfn.XLOOKUP(Sales[[#This Row],[Product Name]],Products[Product Name],Products[Selling Price (CAD)])</f>
        <v>3.49</v>
      </c>
      <c r="J228" s="5">
        <f>PRODUCT(Sales[[#This Row],[Quantity Sold]],Sales[[#This Row],[Unit Selling Price (CAD)]])</f>
        <v>184.97</v>
      </c>
    </row>
    <row r="229" spans="1:10">
      <c r="A229" t="s">
        <v>677</v>
      </c>
      <c r="B229" s="2">
        <v>46053</v>
      </c>
      <c r="C229" t="s">
        <v>52</v>
      </c>
      <c r="D229" t="s">
        <v>53</v>
      </c>
      <c r="E229" t="str">
        <f>_xlfn.XLOOKUP(Sales[[#This Row],[Product Name]],Products[Product Name],Products[Category])</f>
        <v>Burgers</v>
      </c>
      <c r="F229" t="s">
        <v>449</v>
      </c>
      <c r="G229" t="s">
        <v>452</v>
      </c>
      <c r="H229">
        <v>30</v>
      </c>
      <c r="I229" s="5">
        <f>_xlfn.XLOOKUP(Sales[[#This Row],[Product Name]],Products[Product Name],Products[Selling Price (CAD)])</f>
        <v>6.99</v>
      </c>
      <c r="J229" s="5">
        <f>PRODUCT(Sales[[#This Row],[Quantity Sold]],Sales[[#This Row],[Unit Selling Price (CAD)]])</f>
        <v>209.70000000000002</v>
      </c>
    </row>
    <row r="230" spans="1:10">
      <c r="A230" t="s">
        <v>678</v>
      </c>
      <c r="B230" s="2">
        <v>46053</v>
      </c>
      <c r="C230" t="s">
        <v>382</v>
      </c>
      <c r="D230" t="s">
        <v>383</v>
      </c>
      <c r="E230" t="str">
        <f>_xlfn.XLOOKUP(Sales[[#This Row],[Product Name]],Products[Product Name],Products[Category])</f>
        <v>Kids Meals</v>
      </c>
      <c r="F230" t="s">
        <v>444</v>
      </c>
      <c r="G230" t="s">
        <v>452</v>
      </c>
      <c r="H230">
        <v>40</v>
      </c>
      <c r="I230" s="5">
        <f>_xlfn.XLOOKUP(Sales[[#This Row],[Product Name]],Products[Product Name],Products[Selling Price (CAD)])</f>
        <v>5.99</v>
      </c>
      <c r="J230" s="5">
        <f>PRODUCT(Sales[[#This Row],[Quantity Sold]],Sales[[#This Row],[Unit Selling Price (CAD)]])</f>
        <v>239.60000000000002</v>
      </c>
    </row>
    <row r="231" spans="1:10">
      <c r="A231" t="s">
        <v>679</v>
      </c>
      <c r="B231" s="2">
        <v>46053</v>
      </c>
      <c r="C231" t="s">
        <v>293</v>
      </c>
      <c r="D231" t="s">
        <v>294</v>
      </c>
      <c r="E231" t="str">
        <f>_xlfn.XLOOKUP(Sales[[#This Row],[Product Name]],Products[Product Name],Products[Category])</f>
        <v>Beverages</v>
      </c>
      <c r="F231" t="s">
        <v>444</v>
      </c>
      <c r="G231" t="s">
        <v>445</v>
      </c>
      <c r="H231">
        <v>59</v>
      </c>
      <c r="I231" s="5">
        <f>_xlfn.XLOOKUP(Sales[[#This Row],[Product Name]],Products[Product Name],Products[Selling Price (CAD)])</f>
        <v>3.99</v>
      </c>
      <c r="J231" s="5">
        <f>PRODUCT(Sales[[#This Row],[Quantity Sold]],Sales[[#This Row],[Unit Selling Price (CAD)]])</f>
        <v>235.41000000000003</v>
      </c>
    </row>
    <row r="232" spans="1:10">
      <c r="A232" t="s">
        <v>680</v>
      </c>
      <c r="B232" s="2">
        <v>46053</v>
      </c>
      <c r="C232" t="s">
        <v>295</v>
      </c>
      <c r="D232" t="s">
        <v>296</v>
      </c>
      <c r="E232" t="str">
        <f>_xlfn.XLOOKUP(Sales[[#This Row],[Product Name]],Products[Product Name],Products[Category])</f>
        <v>Beverages</v>
      </c>
      <c r="F232" t="s">
        <v>449</v>
      </c>
      <c r="G232" t="s">
        <v>450</v>
      </c>
      <c r="H232">
        <v>34</v>
      </c>
      <c r="I232" s="5">
        <f>_xlfn.XLOOKUP(Sales[[#This Row],[Product Name]],Products[Product Name],Products[Selling Price (CAD)])</f>
        <v>2.99</v>
      </c>
      <c r="J232" s="5">
        <f>PRODUCT(Sales[[#This Row],[Quantity Sold]],Sales[[#This Row],[Unit Selling Price (CAD)]])</f>
        <v>101.66000000000001</v>
      </c>
    </row>
    <row r="233" spans="1:10">
      <c r="A233" t="s">
        <v>681</v>
      </c>
      <c r="B233" s="2">
        <v>46054</v>
      </c>
      <c r="C233" t="s">
        <v>297</v>
      </c>
      <c r="D233" t="s">
        <v>298</v>
      </c>
      <c r="E233" t="str">
        <f>_xlfn.XLOOKUP(Sales[[#This Row],[Product Name]],Products[Product Name],Products[Category])</f>
        <v>Beverages</v>
      </c>
      <c r="F233" t="s">
        <v>444</v>
      </c>
      <c r="G233" t="s">
        <v>452</v>
      </c>
      <c r="H233">
        <v>49</v>
      </c>
      <c r="I233" s="5">
        <f>_xlfn.XLOOKUP(Sales[[#This Row],[Product Name]],Products[Product Name],Products[Selling Price (CAD)])</f>
        <v>2.99</v>
      </c>
      <c r="J233" s="5">
        <f>PRODUCT(Sales[[#This Row],[Quantity Sold]],Sales[[#This Row],[Unit Selling Price (CAD)]])</f>
        <v>146.51000000000002</v>
      </c>
    </row>
    <row r="234" spans="1:10">
      <c r="A234" t="s">
        <v>682</v>
      </c>
      <c r="B234" s="2">
        <v>46054</v>
      </c>
      <c r="C234" t="s">
        <v>76</v>
      </c>
      <c r="D234" t="s">
        <v>77</v>
      </c>
      <c r="E234" t="str">
        <f>_xlfn.XLOOKUP(Sales[[#This Row],[Product Name]],Products[Product Name],Products[Category])</f>
        <v>Burgers</v>
      </c>
      <c r="F234" t="s">
        <v>449</v>
      </c>
      <c r="G234" t="s">
        <v>450</v>
      </c>
      <c r="H234">
        <v>31</v>
      </c>
      <c r="I234" s="5">
        <f>_xlfn.XLOOKUP(Sales[[#This Row],[Product Name]],Products[Product Name],Products[Selling Price (CAD)])</f>
        <v>2.99</v>
      </c>
      <c r="J234" s="5">
        <f>PRODUCT(Sales[[#This Row],[Quantity Sold]],Sales[[#This Row],[Unit Selling Price (CAD)]])</f>
        <v>92.690000000000012</v>
      </c>
    </row>
    <row r="235" spans="1:10">
      <c r="A235" t="s">
        <v>683</v>
      </c>
      <c r="B235" s="2">
        <v>46054</v>
      </c>
      <c r="C235" t="s">
        <v>187</v>
      </c>
      <c r="D235" t="s">
        <v>188</v>
      </c>
      <c r="E235" t="str">
        <f>_xlfn.XLOOKUP(Sales[[#This Row],[Product Name]],Products[Product Name],Products[Category])</f>
        <v>Sides</v>
      </c>
      <c r="F235" t="s">
        <v>447</v>
      </c>
      <c r="G235" t="s">
        <v>454</v>
      </c>
      <c r="H235">
        <v>50</v>
      </c>
      <c r="I235" s="5">
        <f>_xlfn.XLOOKUP(Sales[[#This Row],[Product Name]],Products[Product Name],Products[Selling Price (CAD)])</f>
        <v>4.49</v>
      </c>
      <c r="J235" s="5">
        <f>PRODUCT(Sales[[#This Row],[Quantity Sold]],Sales[[#This Row],[Unit Selling Price (CAD)]])</f>
        <v>224.5</v>
      </c>
    </row>
    <row r="236" spans="1:10">
      <c r="A236" t="s">
        <v>684</v>
      </c>
      <c r="B236" s="2">
        <v>46054</v>
      </c>
      <c r="C236" t="s">
        <v>407</v>
      </c>
      <c r="D236" t="s">
        <v>408</v>
      </c>
      <c r="E236" t="str">
        <f>_xlfn.XLOOKUP(Sales[[#This Row],[Product Name]],Products[Product Name],Products[Category])</f>
        <v>Combo Meals</v>
      </c>
      <c r="F236" t="s">
        <v>444</v>
      </c>
      <c r="G236" t="s">
        <v>450</v>
      </c>
      <c r="H236">
        <v>52</v>
      </c>
      <c r="I236" s="5">
        <f>_xlfn.XLOOKUP(Sales[[#This Row],[Product Name]],Products[Product Name],Products[Selling Price (CAD)])</f>
        <v>10.99</v>
      </c>
      <c r="J236" s="5">
        <f>PRODUCT(Sales[[#This Row],[Quantity Sold]],Sales[[#This Row],[Unit Selling Price (CAD)]])</f>
        <v>571.48</v>
      </c>
    </row>
    <row r="237" spans="1:10">
      <c r="A237" t="s">
        <v>685</v>
      </c>
      <c r="B237" s="2">
        <v>46054</v>
      </c>
      <c r="C237" t="s">
        <v>349</v>
      </c>
      <c r="D237" t="s">
        <v>350</v>
      </c>
      <c r="E237" t="str">
        <f>_xlfn.XLOOKUP(Sales[[#This Row],[Product Name]],Products[Product Name],Products[Category])</f>
        <v>Desserts</v>
      </c>
      <c r="F237" t="s">
        <v>447</v>
      </c>
      <c r="G237" t="s">
        <v>452</v>
      </c>
      <c r="H237">
        <v>64</v>
      </c>
      <c r="I237" s="5">
        <f>_xlfn.XLOOKUP(Sales[[#This Row],[Product Name]],Products[Product Name],Products[Selling Price (CAD)])</f>
        <v>4.99</v>
      </c>
      <c r="J237" s="5">
        <f>PRODUCT(Sales[[#This Row],[Quantity Sold]],Sales[[#This Row],[Unit Selling Price (CAD)]])</f>
        <v>319.36</v>
      </c>
    </row>
    <row r="238" spans="1:10">
      <c r="A238" t="s">
        <v>686</v>
      </c>
      <c r="B238" s="2">
        <v>46055</v>
      </c>
      <c r="C238" t="s">
        <v>339</v>
      </c>
      <c r="D238" t="s">
        <v>340</v>
      </c>
      <c r="E238" t="str">
        <f>_xlfn.XLOOKUP(Sales[[#This Row],[Product Name]],Products[Product Name],Products[Category])</f>
        <v>Desserts</v>
      </c>
      <c r="F238" t="s">
        <v>449</v>
      </c>
      <c r="G238" t="s">
        <v>450</v>
      </c>
      <c r="H238">
        <v>64</v>
      </c>
      <c r="I238" s="5">
        <f>_xlfn.XLOOKUP(Sales[[#This Row],[Product Name]],Products[Product Name],Products[Selling Price (CAD)])</f>
        <v>1.49</v>
      </c>
      <c r="J238" s="5">
        <f>PRODUCT(Sales[[#This Row],[Quantity Sold]],Sales[[#This Row],[Unit Selling Price (CAD)]])</f>
        <v>95.36</v>
      </c>
    </row>
    <row r="239" spans="1:10">
      <c r="A239" t="s">
        <v>687</v>
      </c>
      <c r="B239" s="2">
        <v>46055</v>
      </c>
      <c r="C239" t="s">
        <v>165</v>
      </c>
      <c r="D239" t="s">
        <v>166</v>
      </c>
      <c r="E239" t="str">
        <f>_xlfn.XLOOKUP(Sales[[#This Row],[Product Name]],Products[Product Name],Products[Category])</f>
        <v>Breakfast</v>
      </c>
      <c r="F239" t="s">
        <v>444</v>
      </c>
      <c r="G239" t="s">
        <v>445</v>
      </c>
      <c r="H239">
        <v>31</v>
      </c>
      <c r="I239" s="5">
        <f>_xlfn.XLOOKUP(Sales[[#This Row],[Product Name]],Products[Product Name],Products[Selling Price (CAD)])</f>
        <v>3.99</v>
      </c>
      <c r="J239" s="5">
        <f>PRODUCT(Sales[[#This Row],[Quantity Sold]],Sales[[#This Row],[Unit Selling Price (CAD)]])</f>
        <v>123.69000000000001</v>
      </c>
    </row>
    <row r="240" spans="1:10">
      <c r="A240" t="s">
        <v>688</v>
      </c>
      <c r="B240" s="2">
        <v>46055</v>
      </c>
      <c r="C240" t="s">
        <v>21</v>
      </c>
      <c r="D240" t="s">
        <v>22</v>
      </c>
      <c r="E240" t="str">
        <f>_xlfn.XLOOKUP(Sales[[#This Row],[Product Name]],Products[Product Name],Products[Category])</f>
        <v>Burgers</v>
      </c>
      <c r="F240" t="s">
        <v>447</v>
      </c>
      <c r="G240" t="s">
        <v>445</v>
      </c>
      <c r="H240">
        <v>42</v>
      </c>
      <c r="I240" s="5">
        <f>_xlfn.XLOOKUP(Sales[[#This Row],[Product Name]],Products[Product Name],Products[Selling Price (CAD)])</f>
        <v>9.99</v>
      </c>
      <c r="J240" s="5">
        <f>PRODUCT(Sales[[#This Row],[Quantity Sold]],Sales[[#This Row],[Unit Selling Price (CAD)]])</f>
        <v>419.58</v>
      </c>
    </row>
    <row r="241" spans="1:10">
      <c r="A241" t="s">
        <v>689</v>
      </c>
      <c r="B241" s="2">
        <v>46055</v>
      </c>
      <c r="C241" t="s">
        <v>193</v>
      </c>
      <c r="D241" t="s">
        <v>194</v>
      </c>
      <c r="E241" t="str">
        <f>_xlfn.XLOOKUP(Sales[[#This Row],[Product Name]],Products[Product Name],Products[Category])</f>
        <v>Sides</v>
      </c>
      <c r="F241" t="s">
        <v>449</v>
      </c>
      <c r="G241" t="s">
        <v>452</v>
      </c>
      <c r="H241">
        <v>63</v>
      </c>
      <c r="I241" s="5">
        <f>_xlfn.XLOOKUP(Sales[[#This Row],[Product Name]],Products[Product Name],Products[Selling Price (CAD)])</f>
        <v>4.99</v>
      </c>
      <c r="J241" s="5">
        <f>PRODUCT(Sales[[#This Row],[Quantity Sold]],Sales[[#This Row],[Unit Selling Price (CAD)]])</f>
        <v>314.37</v>
      </c>
    </row>
    <row r="242" spans="1:10">
      <c r="A242" t="s">
        <v>690</v>
      </c>
      <c r="B242" s="2">
        <v>46055</v>
      </c>
      <c r="C242" t="s">
        <v>413</v>
      </c>
      <c r="D242" t="s">
        <v>414</v>
      </c>
      <c r="E242" t="str">
        <f>_xlfn.XLOOKUP(Sales[[#This Row],[Product Name]],Products[Product Name],Products[Category])</f>
        <v>Combo Meals</v>
      </c>
      <c r="F242" t="s">
        <v>444</v>
      </c>
      <c r="G242" t="s">
        <v>450</v>
      </c>
      <c r="H242">
        <v>65</v>
      </c>
      <c r="I242" s="5">
        <f>_xlfn.XLOOKUP(Sales[[#This Row],[Product Name]],Products[Product Name],Products[Selling Price (CAD)])</f>
        <v>10.99</v>
      </c>
      <c r="J242" s="5">
        <f>PRODUCT(Sales[[#This Row],[Quantity Sold]],Sales[[#This Row],[Unit Selling Price (CAD)]])</f>
        <v>714.35</v>
      </c>
    </row>
    <row r="243" spans="1:10">
      <c r="A243" t="s">
        <v>691</v>
      </c>
      <c r="B243" s="2">
        <v>46055</v>
      </c>
      <c r="C243" t="s">
        <v>345</v>
      </c>
      <c r="D243" t="s">
        <v>346</v>
      </c>
      <c r="E243" t="str">
        <f>_xlfn.XLOOKUP(Sales[[#This Row],[Product Name]],Products[Product Name],Products[Category])</f>
        <v>Desserts</v>
      </c>
      <c r="F243" t="s">
        <v>444</v>
      </c>
      <c r="G243" t="s">
        <v>452</v>
      </c>
      <c r="H243">
        <v>37</v>
      </c>
      <c r="I243" s="5">
        <f>_xlfn.XLOOKUP(Sales[[#This Row],[Product Name]],Products[Product Name],Products[Selling Price (CAD)])</f>
        <v>5.99</v>
      </c>
      <c r="J243" s="5">
        <f>PRODUCT(Sales[[#This Row],[Quantity Sold]],Sales[[#This Row],[Unit Selling Price (CAD)]])</f>
        <v>221.63</v>
      </c>
    </row>
    <row r="244" spans="1:10">
      <c r="A244" t="s">
        <v>692</v>
      </c>
      <c r="B244" s="2">
        <v>46055</v>
      </c>
      <c r="C244" t="s">
        <v>331</v>
      </c>
      <c r="D244" t="s">
        <v>332</v>
      </c>
      <c r="E244" t="str">
        <f>_xlfn.XLOOKUP(Sales[[#This Row],[Product Name]],Products[Product Name],Products[Category])</f>
        <v>Desserts</v>
      </c>
      <c r="F244" t="s">
        <v>447</v>
      </c>
      <c r="G244" t="s">
        <v>452</v>
      </c>
      <c r="H244">
        <v>59</v>
      </c>
      <c r="I244" s="5">
        <f>_xlfn.XLOOKUP(Sales[[#This Row],[Product Name]],Products[Product Name],Products[Selling Price (CAD)])</f>
        <v>3.49</v>
      </c>
      <c r="J244" s="5">
        <f>PRODUCT(Sales[[#This Row],[Quantity Sold]],Sales[[#This Row],[Unit Selling Price (CAD)]])</f>
        <v>205.91000000000003</v>
      </c>
    </row>
    <row r="245" spans="1:10">
      <c r="A245" t="s">
        <v>693</v>
      </c>
      <c r="B245" s="2">
        <v>46055</v>
      </c>
      <c r="C245" t="s">
        <v>131</v>
      </c>
      <c r="D245" t="s">
        <v>132</v>
      </c>
      <c r="E245" t="str">
        <f>_xlfn.XLOOKUP(Sales[[#This Row],[Product Name]],Products[Product Name],Products[Category])</f>
        <v>Chicken</v>
      </c>
      <c r="F245" t="s">
        <v>444</v>
      </c>
      <c r="G245" t="s">
        <v>452</v>
      </c>
      <c r="H245">
        <v>34</v>
      </c>
      <c r="I245" s="5">
        <f>_xlfn.XLOOKUP(Sales[[#This Row],[Product Name]],Products[Product Name],Products[Selling Price (CAD)])</f>
        <v>8.99</v>
      </c>
      <c r="J245" s="5">
        <f>PRODUCT(Sales[[#This Row],[Quantity Sold]],Sales[[#This Row],[Unit Selling Price (CAD)]])</f>
        <v>305.66000000000003</v>
      </c>
    </row>
    <row r="246" spans="1:10">
      <c r="A246" t="s">
        <v>694</v>
      </c>
      <c r="B246" s="2">
        <v>46055</v>
      </c>
      <c r="C246" t="s">
        <v>347</v>
      </c>
      <c r="D246" t="s">
        <v>348</v>
      </c>
      <c r="E246" t="str">
        <f>_xlfn.XLOOKUP(Sales[[#This Row],[Product Name]],Products[Product Name],Products[Category])</f>
        <v>Desserts</v>
      </c>
      <c r="F246" t="s">
        <v>444</v>
      </c>
      <c r="G246" t="s">
        <v>445</v>
      </c>
      <c r="H246">
        <v>64</v>
      </c>
      <c r="I246" s="5">
        <f>_xlfn.XLOOKUP(Sales[[#This Row],[Product Name]],Products[Product Name],Products[Selling Price (CAD)])</f>
        <v>4.99</v>
      </c>
      <c r="J246" s="5">
        <f>PRODUCT(Sales[[#This Row],[Quantity Sold]],Sales[[#This Row],[Unit Selling Price (CAD)]])</f>
        <v>319.36</v>
      </c>
    </row>
    <row r="247" spans="1:10">
      <c r="A247" t="s">
        <v>695</v>
      </c>
      <c r="B247" s="2">
        <v>46056</v>
      </c>
      <c r="C247" t="s">
        <v>167</v>
      </c>
      <c r="D247" t="s">
        <v>168</v>
      </c>
      <c r="E247" t="str">
        <f>_xlfn.XLOOKUP(Sales[[#This Row],[Product Name]],Products[Product Name],Products[Category])</f>
        <v>Breakfast</v>
      </c>
      <c r="F247" t="s">
        <v>449</v>
      </c>
      <c r="G247" t="s">
        <v>452</v>
      </c>
      <c r="H247">
        <v>49</v>
      </c>
      <c r="I247" s="5">
        <f>_xlfn.XLOOKUP(Sales[[#This Row],[Product Name]],Products[Product Name],Products[Selling Price (CAD)])</f>
        <v>4.99</v>
      </c>
      <c r="J247" s="5">
        <f>PRODUCT(Sales[[#This Row],[Quantity Sold]],Sales[[#This Row],[Unit Selling Price (CAD)]])</f>
        <v>244.51000000000002</v>
      </c>
    </row>
    <row r="248" spans="1:10">
      <c r="A248" t="s">
        <v>696</v>
      </c>
      <c r="B248" s="2">
        <v>46056</v>
      </c>
      <c r="C248" t="s">
        <v>91</v>
      </c>
      <c r="D248" t="s">
        <v>92</v>
      </c>
      <c r="E248" t="str">
        <f>_xlfn.XLOOKUP(Sales[[#This Row],[Product Name]],Products[Product Name],Products[Category])</f>
        <v>Chicken</v>
      </c>
      <c r="F248" t="s">
        <v>447</v>
      </c>
      <c r="G248" t="s">
        <v>450</v>
      </c>
      <c r="H248">
        <v>71</v>
      </c>
      <c r="I248" s="5">
        <f>_xlfn.XLOOKUP(Sales[[#This Row],[Product Name]],Products[Product Name],Products[Selling Price (CAD)])</f>
        <v>7.49</v>
      </c>
      <c r="J248" s="5">
        <f>PRODUCT(Sales[[#This Row],[Quantity Sold]],Sales[[#This Row],[Unit Selling Price (CAD)]])</f>
        <v>531.79</v>
      </c>
    </row>
    <row r="249" spans="1:10">
      <c r="A249" t="s">
        <v>697</v>
      </c>
      <c r="B249" s="2">
        <v>46056</v>
      </c>
      <c r="C249" t="s">
        <v>34</v>
      </c>
      <c r="D249" t="s">
        <v>35</v>
      </c>
      <c r="E249" t="str">
        <f>_xlfn.XLOOKUP(Sales[[#This Row],[Product Name]],Products[Product Name],Products[Category])</f>
        <v>Burgers</v>
      </c>
      <c r="F249" t="s">
        <v>444</v>
      </c>
      <c r="G249" t="s">
        <v>452</v>
      </c>
      <c r="H249">
        <v>70</v>
      </c>
      <c r="I249" s="5">
        <f>_xlfn.XLOOKUP(Sales[[#This Row],[Product Name]],Products[Product Name],Products[Selling Price (CAD)])</f>
        <v>6.99</v>
      </c>
      <c r="J249" s="5">
        <f>PRODUCT(Sales[[#This Row],[Quantity Sold]],Sales[[#This Row],[Unit Selling Price (CAD)]])</f>
        <v>489.3</v>
      </c>
    </row>
    <row r="250" spans="1:10">
      <c r="A250" t="s">
        <v>698</v>
      </c>
      <c r="B250" s="2">
        <v>46057</v>
      </c>
      <c r="C250" t="s">
        <v>283</v>
      </c>
      <c r="D250" t="s">
        <v>284</v>
      </c>
      <c r="E250" t="str">
        <f>_xlfn.XLOOKUP(Sales[[#This Row],[Product Name]],Products[Product Name],Products[Category])</f>
        <v>Beverages</v>
      </c>
      <c r="F250" t="s">
        <v>444</v>
      </c>
      <c r="G250" t="s">
        <v>450</v>
      </c>
      <c r="H250">
        <v>49</v>
      </c>
      <c r="I250" s="5">
        <f>_xlfn.XLOOKUP(Sales[[#This Row],[Product Name]],Products[Product Name],Products[Selling Price (CAD)])</f>
        <v>2.99</v>
      </c>
      <c r="J250" s="5">
        <f>PRODUCT(Sales[[#This Row],[Quantity Sold]],Sales[[#This Row],[Unit Selling Price (CAD)]])</f>
        <v>146.51000000000002</v>
      </c>
    </row>
    <row r="251" spans="1:10">
      <c r="A251" t="s">
        <v>699</v>
      </c>
      <c r="B251" s="2">
        <v>46057</v>
      </c>
      <c r="C251" t="s">
        <v>281</v>
      </c>
      <c r="D251" t="s">
        <v>282</v>
      </c>
      <c r="E251" t="str">
        <f>_xlfn.XLOOKUP(Sales[[#This Row],[Product Name]],Products[Product Name],Products[Category])</f>
        <v>Beverages</v>
      </c>
      <c r="F251" t="s">
        <v>449</v>
      </c>
      <c r="G251" t="s">
        <v>450</v>
      </c>
      <c r="H251">
        <v>67</v>
      </c>
      <c r="I251" s="5">
        <f>_xlfn.XLOOKUP(Sales[[#This Row],[Product Name]],Products[Product Name],Products[Selling Price (CAD)])</f>
        <v>2.99</v>
      </c>
      <c r="J251" s="5">
        <f>PRODUCT(Sales[[#This Row],[Quantity Sold]],Sales[[#This Row],[Unit Selling Price (CAD)]])</f>
        <v>200.33</v>
      </c>
    </row>
    <row r="252" spans="1:10">
      <c r="A252" t="s">
        <v>700</v>
      </c>
      <c r="B252" s="2">
        <v>46057</v>
      </c>
      <c r="C252" t="s">
        <v>247</v>
      </c>
      <c r="D252" t="s">
        <v>248</v>
      </c>
      <c r="E252" t="str">
        <f>_xlfn.XLOOKUP(Sales[[#This Row],[Product Name]],Products[Product Name],Products[Category])</f>
        <v>Salads</v>
      </c>
      <c r="F252" t="s">
        <v>444</v>
      </c>
      <c r="G252" t="s">
        <v>450</v>
      </c>
      <c r="H252">
        <v>62</v>
      </c>
      <c r="I252" s="5">
        <f>_xlfn.XLOOKUP(Sales[[#This Row],[Product Name]],Products[Product Name],Products[Selling Price (CAD)])</f>
        <v>6.99</v>
      </c>
      <c r="J252" s="5">
        <f>PRODUCT(Sales[[#This Row],[Quantity Sold]],Sales[[#This Row],[Unit Selling Price (CAD)]])</f>
        <v>433.38</v>
      </c>
    </row>
    <row r="253" spans="1:10">
      <c r="A253" t="s">
        <v>701</v>
      </c>
      <c r="B253" s="2">
        <v>46057</v>
      </c>
      <c r="C253" t="s">
        <v>117</v>
      </c>
      <c r="D253" t="s">
        <v>118</v>
      </c>
      <c r="E253" t="str">
        <f>_xlfn.XLOOKUP(Sales[[#This Row],[Product Name]],Products[Product Name],Products[Category])</f>
        <v>Chicken</v>
      </c>
      <c r="F253" t="s">
        <v>449</v>
      </c>
      <c r="G253" t="s">
        <v>450</v>
      </c>
      <c r="H253">
        <v>73</v>
      </c>
      <c r="I253" s="5">
        <f>_xlfn.XLOOKUP(Sales[[#This Row],[Product Name]],Products[Product Name],Products[Selling Price (CAD)])</f>
        <v>4.99</v>
      </c>
      <c r="J253" s="5">
        <f>PRODUCT(Sales[[#This Row],[Quantity Sold]],Sales[[#This Row],[Unit Selling Price (CAD)]])</f>
        <v>364.27000000000004</v>
      </c>
    </row>
    <row r="254" spans="1:10">
      <c r="A254" t="s">
        <v>702</v>
      </c>
      <c r="B254" s="2">
        <v>46057</v>
      </c>
      <c r="C254" t="s">
        <v>70</v>
      </c>
      <c r="D254" t="s">
        <v>71</v>
      </c>
      <c r="E254" t="str">
        <f>_xlfn.XLOOKUP(Sales[[#This Row],[Product Name]],Products[Product Name],Products[Category])</f>
        <v>Burgers</v>
      </c>
      <c r="F254" t="s">
        <v>449</v>
      </c>
      <c r="G254" t="s">
        <v>452</v>
      </c>
      <c r="H254">
        <v>79</v>
      </c>
      <c r="I254" s="5">
        <f>_xlfn.XLOOKUP(Sales[[#This Row],[Product Name]],Products[Product Name],Products[Selling Price (CAD)])</f>
        <v>8.99</v>
      </c>
      <c r="J254" s="5">
        <f>PRODUCT(Sales[[#This Row],[Quantity Sold]],Sales[[#This Row],[Unit Selling Price (CAD)]])</f>
        <v>710.21</v>
      </c>
    </row>
    <row r="255" spans="1:10">
      <c r="A255" t="s">
        <v>703</v>
      </c>
      <c r="B255" s="2">
        <v>46057</v>
      </c>
      <c r="C255" t="s">
        <v>293</v>
      </c>
      <c r="D255" t="s">
        <v>294</v>
      </c>
      <c r="E255" t="str">
        <f>_xlfn.XLOOKUP(Sales[[#This Row],[Product Name]],Products[Product Name],Products[Category])</f>
        <v>Beverages</v>
      </c>
      <c r="F255" t="s">
        <v>444</v>
      </c>
      <c r="G255" t="s">
        <v>450</v>
      </c>
      <c r="H255">
        <v>66</v>
      </c>
      <c r="I255" s="5">
        <f>_xlfn.XLOOKUP(Sales[[#This Row],[Product Name]],Products[Product Name],Products[Selling Price (CAD)])</f>
        <v>3.99</v>
      </c>
      <c r="J255" s="5">
        <f>PRODUCT(Sales[[#This Row],[Quantity Sold]],Sales[[#This Row],[Unit Selling Price (CAD)]])</f>
        <v>263.34000000000003</v>
      </c>
    </row>
    <row r="256" spans="1:10">
      <c r="A256" t="s">
        <v>704</v>
      </c>
      <c r="B256" s="2">
        <v>46058</v>
      </c>
      <c r="C256" t="s">
        <v>271</v>
      </c>
      <c r="D256" t="s">
        <v>272</v>
      </c>
      <c r="E256" t="str">
        <f>_xlfn.XLOOKUP(Sales[[#This Row],[Product Name]],Products[Product Name],Products[Category])</f>
        <v>Beverages</v>
      </c>
      <c r="F256" t="s">
        <v>444</v>
      </c>
      <c r="G256" t="s">
        <v>450</v>
      </c>
      <c r="H256">
        <v>35</v>
      </c>
      <c r="I256" s="5">
        <f>_xlfn.XLOOKUP(Sales[[#This Row],[Product Name]],Products[Product Name],Products[Selling Price (CAD)])</f>
        <v>1.99</v>
      </c>
      <c r="J256" s="5">
        <f>PRODUCT(Sales[[#This Row],[Quantity Sold]],Sales[[#This Row],[Unit Selling Price (CAD)]])</f>
        <v>69.650000000000006</v>
      </c>
    </row>
    <row r="257" spans="1:10">
      <c r="A257" t="s">
        <v>705</v>
      </c>
      <c r="B257" s="2">
        <v>46058</v>
      </c>
      <c r="C257" t="s">
        <v>323</v>
      </c>
      <c r="D257" t="s">
        <v>324</v>
      </c>
      <c r="E257" t="str">
        <f>_xlfn.XLOOKUP(Sales[[#This Row],[Product Name]],Products[Product Name],Products[Category])</f>
        <v>Desserts</v>
      </c>
      <c r="F257" t="s">
        <v>444</v>
      </c>
      <c r="G257" t="s">
        <v>450</v>
      </c>
      <c r="H257">
        <v>64</v>
      </c>
      <c r="I257" s="5">
        <f>_xlfn.XLOOKUP(Sales[[#This Row],[Product Name]],Products[Product Name],Products[Selling Price (CAD)])</f>
        <v>2.99</v>
      </c>
      <c r="J257" s="5">
        <f>PRODUCT(Sales[[#This Row],[Quantity Sold]],Sales[[#This Row],[Unit Selling Price (CAD)]])</f>
        <v>191.36</v>
      </c>
    </row>
    <row r="258" spans="1:10">
      <c r="A258" t="s">
        <v>706</v>
      </c>
      <c r="B258" s="2">
        <v>46058</v>
      </c>
      <c r="C258" t="s">
        <v>161</v>
      </c>
      <c r="D258" t="s">
        <v>162</v>
      </c>
      <c r="E258" t="str">
        <f>_xlfn.XLOOKUP(Sales[[#This Row],[Product Name]],Products[Product Name],Products[Category])</f>
        <v>Breakfast</v>
      </c>
      <c r="F258" t="s">
        <v>449</v>
      </c>
      <c r="G258" t="s">
        <v>445</v>
      </c>
      <c r="H258">
        <v>65</v>
      </c>
      <c r="I258" s="5">
        <f>_xlfn.XLOOKUP(Sales[[#This Row],[Product Name]],Products[Product Name],Products[Selling Price (CAD)])</f>
        <v>2.99</v>
      </c>
      <c r="J258" s="5">
        <f>PRODUCT(Sales[[#This Row],[Quantity Sold]],Sales[[#This Row],[Unit Selling Price (CAD)]])</f>
        <v>194.35000000000002</v>
      </c>
    </row>
    <row r="259" spans="1:10">
      <c r="A259" t="s">
        <v>707</v>
      </c>
      <c r="B259" s="2">
        <v>46058</v>
      </c>
      <c r="C259" t="s">
        <v>203</v>
      </c>
      <c r="D259" t="s">
        <v>204</v>
      </c>
      <c r="E259" t="str">
        <f>_xlfn.XLOOKUP(Sales[[#This Row],[Product Name]],Products[Product Name],Products[Category])</f>
        <v>Sides</v>
      </c>
      <c r="F259" t="s">
        <v>444</v>
      </c>
      <c r="G259" t="s">
        <v>450</v>
      </c>
      <c r="H259">
        <v>45</v>
      </c>
      <c r="I259" s="5">
        <f>_xlfn.XLOOKUP(Sales[[#This Row],[Product Name]],Products[Product Name],Products[Selling Price (CAD)])</f>
        <v>4.49</v>
      </c>
      <c r="J259" s="5">
        <f>PRODUCT(Sales[[#This Row],[Quantity Sold]],Sales[[#This Row],[Unit Selling Price (CAD)]])</f>
        <v>202.05</v>
      </c>
    </row>
    <row r="260" spans="1:10">
      <c r="A260" t="s">
        <v>708</v>
      </c>
      <c r="B260" s="2">
        <v>46058</v>
      </c>
      <c r="C260" t="s">
        <v>404</v>
      </c>
      <c r="D260" t="s">
        <v>405</v>
      </c>
      <c r="E260" t="str">
        <f>_xlfn.XLOOKUP(Sales[[#This Row],[Product Name]],Products[Product Name],Products[Category])</f>
        <v>Combo Meals</v>
      </c>
      <c r="F260" t="s">
        <v>444</v>
      </c>
      <c r="G260" t="s">
        <v>454</v>
      </c>
      <c r="H260">
        <v>62</v>
      </c>
      <c r="I260" s="5">
        <f>_xlfn.XLOOKUP(Sales[[#This Row],[Product Name]],Products[Product Name],Products[Selling Price (CAD)])</f>
        <v>8.99</v>
      </c>
      <c r="J260" s="5">
        <f>PRODUCT(Sales[[#This Row],[Quantity Sold]],Sales[[#This Row],[Unit Selling Price (CAD)]])</f>
        <v>557.38</v>
      </c>
    </row>
    <row r="261" spans="1:10">
      <c r="A261" t="s">
        <v>709</v>
      </c>
      <c r="B261" s="2">
        <v>46058</v>
      </c>
      <c r="C261" t="s">
        <v>179</v>
      </c>
      <c r="D261" t="s">
        <v>180</v>
      </c>
      <c r="E261" t="str">
        <f>_xlfn.XLOOKUP(Sales[[#This Row],[Product Name]],Products[Product Name],Products[Category])</f>
        <v>Breakfast</v>
      </c>
      <c r="F261" t="s">
        <v>444</v>
      </c>
      <c r="G261" t="s">
        <v>450</v>
      </c>
      <c r="H261">
        <v>80</v>
      </c>
      <c r="I261" s="5">
        <f>_xlfn.XLOOKUP(Sales[[#This Row],[Product Name]],Products[Product Name],Products[Selling Price (CAD)])</f>
        <v>4.99</v>
      </c>
      <c r="J261" s="5">
        <f>PRODUCT(Sales[[#This Row],[Quantity Sold]],Sales[[#This Row],[Unit Selling Price (CAD)]])</f>
        <v>399.20000000000005</v>
      </c>
    </row>
    <row r="262" spans="1:10">
      <c r="A262" t="s">
        <v>710</v>
      </c>
      <c r="B262" s="2">
        <v>46058</v>
      </c>
      <c r="C262" t="s">
        <v>261</v>
      </c>
      <c r="D262" t="s">
        <v>262</v>
      </c>
      <c r="E262" t="str">
        <f>_xlfn.XLOOKUP(Sales[[#This Row],[Product Name]],Products[Product Name],Products[Category])</f>
        <v>Beverages</v>
      </c>
      <c r="F262" t="s">
        <v>449</v>
      </c>
      <c r="G262" t="s">
        <v>452</v>
      </c>
      <c r="H262">
        <v>61</v>
      </c>
      <c r="I262" s="5">
        <f>_xlfn.XLOOKUP(Sales[[#This Row],[Product Name]],Products[Product Name],Products[Selling Price (CAD)])</f>
        <v>2.99</v>
      </c>
      <c r="J262" s="5">
        <f>PRODUCT(Sales[[#This Row],[Quantity Sold]],Sales[[#This Row],[Unit Selling Price (CAD)]])</f>
        <v>182.39000000000001</v>
      </c>
    </row>
    <row r="263" spans="1:10">
      <c r="A263" t="s">
        <v>711</v>
      </c>
      <c r="B263" s="2">
        <v>46058</v>
      </c>
      <c r="C263" t="s">
        <v>46</v>
      </c>
      <c r="D263" t="s">
        <v>47</v>
      </c>
      <c r="E263" t="str">
        <f>_xlfn.XLOOKUP(Sales[[#This Row],[Product Name]],Products[Product Name],Products[Category])</f>
        <v>Burgers</v>
      </c>
      <c r="F263" t="s">
        <v>447</v>
      </c>
      <c r="G263" t="s">
        <v>450</v>
      </c>
      <c r="H263">
        <v>68</v>
      </c>
      <c r="I263" s="5">
        <f>_xlfn.XLOOKUP(Sales[[#This Row],[Product Name]],Products[Product Name],Products[Selling Price (CAD)])</f>
        <v>8.49</v>
      </c>
      <c r="J263" s="5">
        <f>PRODUCT(Sales[[#This Row],[Quantity Sold]],Sales[[#This Row],[Unit Selling Price (CAD)]])</f>
        <v>577.32000000000005</v>
      </c>
    </row>
    <row r="264" spans="1:10">
      <c r="A264" t="s">
        <v>712</v>
      </c>
      <c r="B264" s="2">
        <v>46058</v>
      </c>
      <c r="C264" t="s">
        <v>171</v>
      </c>
      <c r="D264" t="s">
        <v>172</v>
      </c>
      <c r="E264" t="str">
        <f>_xlfn.XLOOKUP(Sales[[#This Row],[Product Name]],Products[Product Name],Products[Category])</f>
        <v>Breakfast</v>
      </c>
      <c r="F264" t="s">
        <v>444</v>
      </c>
      <c r="G264" t="s">
        <v>452</v>
      </c>
      <c r="H264">
        <v>72</v>
      </c>
      <c r="I264" s="5">
        <f>_xlfn.XLOOKUP(Sales[[#This Row],[Product Name]],Products[Product Name],Products[Selling Price (CAD)])</f>
        <v>3.99</v>
      </c>
      <c r="J264" s="5">
        <f>PRODUCT(Sales[[#This Row],[Quantity Sold]],Sales[[#This Row],[Unit Selling Price (CAD)]])</f>
        <v>287.28000000000003</v>
      </c>
    </row>
    <row r="265" spans="1:10">
      <c r="A265" t="s">
        <v>713</v>
      </c>
      <c r="B265" s="2">
        <v>46059</v>
      </c>
      <c r="C265" t="s">
        <v>52</v>
      </c>
      <c r="D265" t="s">
        <v>53</v>
      </c>
      <c r="E265" t="str">
        <f>_xlfn.XLOOKUP(Sales[[#This Row],[Product Name]],Products[Product Name],Products[Category])</f>
        <v>Burgers</v>
      </c>
      <c r="F265" t="s">
        <v>447</v>
      </c>
      <c r="G265" t="s">
        <v>450</v>
      </c>
      <c r="H265">
        <v>36</v>
      </c>
      <c r="I265" s="5">
        <f>_xlfn.XLOOKUP(Sales[[#This Row],[Product Name]],Products[Product Name],Products[Selling Price (CAD)])</f>
        <v>6.99</v>
      </c>
      <c r="J265" s="5">
        <f>PRODUCT(Sales[[#This Row],[Quantity Sold]],Sales[[#This Row],[Unit Selling Price (CAD)]])</f>
        <v>251.64000000000001</v>
      </c>
    </row>
    <row r="266" spans="1:10">
      <c r="A266" t="s">
        <v>714</v>
      </c>
      <c r="B266" s="2">
        <v>46059</v>
      </c>
      <c r="C266" t="s">
        <v>197</v>
      </c>
      <c r="D266" t="s">
        <v>198</v>
      </c>
      <c r="E266" t="str">
        <f>_xlfn.XLOOKUP(Sales[[#This Row],[Product Name]],Products[Product Name],Products[Category])</f>
        <v>Sides</v>
      </c>
      <c r="F266" t="s">
        <v>449</v>
      </c>
      <c r="G266" t="s">
        <v>452</v>
      </c>
      <c r="H266">
        <v>63</v>
      </c>
      <c r="I266" s="5">
        <f>_xlfn.XLOOKUP(Sales[[#This Row],[Product Name]],Products[Product Name],Products[Selling Price (CAD)])</f>
        <v>4.49</v>
      </c>
      <c r="J266" s="5">
        <f>PRODUCT(Sales[[#This Row],[Quantity Sold]],Sales[[#This Row],[Unit Selling Price (CAD)]])</f>
        <v>282.87</v>
      </c>
    </row>
    <row r="267" spans="1:10">
      <c r="A267" t="s">
        <v>715</v>
      </c>
      <c r="B267" s="2">
        <v>46059</v>
      </c>
      <c r="C267" t="s">
        <v>417</v>
      </c>
      <c r="D267" t="s">
        <v>418</v>
      </c>
      <c r="E267" t="str">
        <f>_xlfn.XLOOKUP(Sales[[#This Row],[Product Name]],Products[Product Name],Products[Category])</f>
        <v>Combo Meals</v>
      </c>
      <c r="F267" t="s">
        <v>449</v>
      </c>
      <c r="G267" t="s">
        <v>450</v>
      </c>
      <c r="H267">
        <v>78</v>
      </c>
      <c r="I267" s="5">
        <f>_xlfn.XLOOKUP(Sales[[#This Row],[Product Name]],Products[Product Name],Products[Selling Price (CAD)])</f>
        <v>9.99</v>
      </c>
      <c r="J267" s="5">
        <f>PRODUCT(Sales[[#This Row],[Quantity Sold]],Sales[[#This Row],[Unit Selling Price (CAD)]])</f>
        <v>779.22</v>
      </c>
    </row>
    <row r="268" spans="1:10">
      <c r="A268" t="s">
        <v>716</v>
      </c>
      <c r="B268" s="2">
        <v>46059</v>
      </c>
      <c r="C268" t="s">
        <v>195</v>
      </c>
      <c r="D268" t="s">
        <v>196</v>
      </c>
      <c r="E268" t="str">
        <f>_xlfn.XLOOKUP(Sales[[#This Row],[Product Name]],Products[Product Name],Products[Category])</f>
        <v>Sides</v>
      </c>
      <c r="F268" t="s">
        <v>449</v>
      </c>
      <c r="G268" t="s">
        <v>450</v>
      </c>
      <c r="H268">
        <v>80</v>
      </c>
      <c r="I268" s="5">
        <f>_xlfn.XLOOKUP(Sales[[#This Row],[Product Name]],Products[Product Name],Products[Selling Price (CAD)])</f>
        <v>3.49</v>
      </c>
      <c r="J268" s="5">
        <f>PRODUCT(Sales[[#This Row],[Quantity Sold]],Sales[[#This Row],[Unit Selling Price (CAD)]])</f>
        <v>279.20000000000005</v>
      </c>
    </row>
    <row r="269" spans="1:10">
      <c r="A269" t="s">
        <v>717</v>
      </c>
      <c r="B269" s="2">
        <v>46059</v>
      </c>
      <c r="C269" t="s">
        <v>58</v>
      </c>
      <c r="D269" t="s">
        <v>59</v>
      </c>
      <c r="E269" t="str">
        <f>_xlfn.XLOOKUP(Sales[[#This Row],[Product Name]],Products[Product Name],Products[Category])</f>
        <v>Burgers</v>
      </c>
      <c r="F269" t="s">
        <v>449</v>
      </c>
      <c r="G269" t="s">
        <v>450</v>
      </c>
      <c r="H269">
        <v>35</v>
      </c>
      <c r="I269" s="5">
        <f>_xlfn.XLOOKUP(Sales[[#This Row],[Product Name]],Products[Product Name],Products[Selling Price (CAD)])</f>
        <v>8.49</v>
      </c>
      <c r="J269" s="5">
        <f>PRODUCT(Sales[[#This Row],[Quantity Sold]],Sales[[#This Row],[Unit Selling Price (CAD)]])</f>
        <v>297.15000000000003</v>
      </c>
    </row>
    <row r="270" spans="1:10">
      <c r="A270" t="s">
        <v>718</v>
      </c>
      <c r="B270" s="2">
        <v>46059</v>
      </c>
      <c r="C270" t="s">
        <v>279</v>
      </c>
      <c r="D270" t="s">
        <v>280</v>
      </c>
      <c r="E270" t="str">
        <f>_xlfn.XLOOKUP(Sales[[#This Row],[Product Name]],Products[Product Name],Products[Category])</f>
        <v>Beverages</v>
      </c>
      <c r="F270" t="s">
        <v>449</v>
      </c>
      <c r="G270" t="s">
        <v>452</v>
      </c>
      <c r="H270">
        <v>80</v>
      </c>
      <c r="I270" s="5">
        <f>_xlfn.XLOOKUP(Sales[[#This Row],[Product Name]],Products[Product Name],Products[Selling Price (CAD)])</f>
        <v>2.99</v>
      </c>
      <c r="J270" s="5">
        <f>PRODUCT(Sales[[#This Row],[Quantity Sold]],Sales[[#This Row],[Unit Selling Price (CAD)]])</f>
        <v>239.20000000000002</v>
      </c>
    </row>
    <row r="271" spans="1:10">
      <c r="A271" t="s">
        <v>719</v>
      </c>
      <c r="B271" s="2">
        <v>46059</v>
      </c>
      <c r="C271" t="s">
        <v>91</v>
      </c>
      <c r="D271" t="s">
        <v>92</v>
      </c>
      <c r="E271" t="str">
        <f>_xlfn.XLOOKUP(Sales[[#This Row],[Product Name]],Products[Product Name],Products[Category])</f>
        <v>Chicken</v>
      </c>
      <c r="F271" t="s">
        <v>449</v>
      </c>
      <c r="G271" t="s">
        <v>452</v>
      </c>
      <c r="H271">
        <v>57</v>
      </c>
      <c r="I271" s="5">
        <f>_xlfn.XLOOKUP(Sales[[#This Row],[Product Name]],Products[Product Name],Products[Selling Price (CAD)])</f>
        <v>7.49</v>
      </c>
      <c r="J271" s="5">
        <f>PRODUCT(Sales[[#This Row],[Quantity Sold]],Sales[[#This Row],[Unit Selling Price (CAD)]])</f>
        <v>426.93</v>
      </c>
    </row>
    <row r="272" spans="1:10">
      <c r="A272" t="s">
        <v>720</v>
      </c>
      <c r="B272" s="2">
        <v>46060</v>
      </c>
      <c r="C272" t="s">
        <v>317</v>
      </c>
      <c r="D272" t="s">
        <v>318</v>
      </c>
      <c r="E272" t="str">
        <f>_xlfn.XLOOKUP(Sales[[#This Row],[Product Name]],Products[Product Name],Products[Category])</f>
        <v>Beverages</v>
      </c>
      <c r="F272" t="s">
        <v>449</v>
      </c>
      <c r="G272" t="s">
        <v>454</v>
      </c>
      <c r="H272">
        <v>70</v>
      </c>
      <c r="I272" s="5">
        <f>_xlfn.XLOOKUP(Sales[[#This Row],[Product Name]],Products[Product Name],Products[Selling Price (CAD)])</f>
        <v>3.99</v>
      </c>
      <c r="J272" s="5">
        <f>PRODUCT(Sales[[#This Row],[Quantity Sold]],Sales[[#This Row],[Unit Selling Price (CAD)]])</f>
        <v>279.3</v>
      </c>
    </row>
    <row r="273" spans="1:10">
      <c r="A273" t="s">
        <v>721</v>
      </c>
      <c r="B273" s="2">
        <v>46060</v>
      </c>
      <c r="C273" t="s">
        <v>161</v>
      </c>
      <c r="D273" t="s">
        <v>162</v>
      </c>
      <c r="E273" t="str">
        <f>_xlfn.XLOOKUP(Sales[[#This Row],[Product Name]],Products[Product Name],Products[Category])</f>
        <v>Breakfast</v>
      </c>
      <c r="F273" t="s">
        <v>449</v>
      </c>
      <c r="G273" t="s">
        <v>452</v>
      </c>
      <c r="H273">
        <v>53</v>
      </c>
      <c r="I273" s="5">
        <f>_xlfn.XLOOKUP(Sales[[#This Row],[Product Name]],Products[Product Name],Products[Selling Price (CAD)])</f>
        <v>2.99</v>
      </c>
      <c r="J273" s="5">
        <f>PRODUCT(Sales[[#This Row],[Quantity Sold]],Sales[[#This Row],[Unit Selling Price (CAD)]])</f>
        <v>158.47</v>
      </c>
    </row>
    <row r="274" spans="1:10">
      <c r="A274" t="s">
        <v>722</v>
      </c>
      <c r="B274" s="2">
        <v>46060</v>
      </c>
      <c r="C274" t="s">
        <v>28</v>
      </c>
      <c r="D274" t="s">
        <v>29</v>
      </c>
      <c r="E274" t="str">
        <f>_xlfn.XLOOKUP(Sales[[#This Row],[Product Name]],Products[Product Name],Products[Category])</f>
        <v>Burgers</v>
      </c>
      <c r="F274" t="s">
        <v>449</v>
      </c>
      <c r="G274" t="s">
        <v>452</v>
      </c>
      <c r="H274">
        <v>41</v>
      </c>
      <c r="I274" s="5">
        <f>_xlfn.XLOOKUP(Sales[[#This Row],[Product Name]],Products[Product Name],Products[Selling Price (CAD)])</f>
        <v>7.99</v>
      </c>
      <c r="J274" s="5">
        <f>PRODUCT(Sales[[#This Row],[Quantity Sold]],Sales[[#This Row],[Unit Selling Price (CAD)]])</f>
        <v>327.59000000000003</v>
      </c>
    </row>
    <row r="275" spans="1:10">
      <c r="A275" t="s">
        <v>723</v>
      </c>
      <c r="B275" s="2">
        <v>46060</v>
      </c>
      <c r="C275" t="s">
        <v>72</v>
      </c>
      <c r="D275" t="s">
        <v>73</v>
      </c>
      <c r="E275" t="str">
        <f>_xlfn.XLOOKUP(Sales[[#This Row],[Product Name]],Products[Product Name],Products[Category])</f>
        <v>Burgers</v>
      </c>
      <c r="F275" t="s">
        <v>447</v>
      </c>
      <c r="G275" t="s">
        <v>450</v>
      </c>
      <c r="H275">
        <v>40</v>
      </c>
      <c r="I275" s="5">
        <f>_xlfn.XLOOKUP(Sales[[#This Row],[Product Name]],Products[Product Name],Products[Selling Price (CAD)])</f>
        <v>6.99</v>
      </c>
      <c r="J275" s="5">
        <f>PRODUCT(Sales[[#This Row],[Quantity Sold]],Sales[[#This Row],[Unit Selling Price (CAD)]])</f>
        <v>279.60000000000002</v>
      </c>
    </row>
    <row r="276" spans="1:10">
      <c r="A276" t="s">
        <v>724</v>
      </c>
      <c r="B276" s="2">
        <v>46060</v>
      </c>
      <c r="C276" t="s">
        <v>384</v>
      </c>
      <c r="D276" t="s">
        <v>385</v>
      </c>
      <c r="E276" t="str">
        <f>_xlfn.XLOOKUP(Sales[[#This Row],[Product Name]],Products[Product Name],Products[Category])</f>
        <v>Sauces &amp; Add-ons</v>
      </c>
      <c r="F276" t="s">
        <v>449</v>
      </c>
      <c r="G276" t="s">
        <v>445</v>
      </c>
      <c r="H276">
        <v>69</v>
      </c>
      <c r="I276" s="5">
        <f>_xlfn.XLOOKUP(Sales[[#This Row],[Product Name]],Products[Product Name],Products[Selling Price (CAD)])</f>
        <v>0.25</v>
      </c>
      <c r="J276" s="5">
        <f>PRODUCT(Sales[[#This Row],[Quantity Sold]],Sales[[#This Row],[Unit Selling Price (CAD)]])</f>
        <v>17.25</v>
      </c>
    </row>
    <row r="277" spans="1:10">
      <c r="A277" t="s">
        <v>725</v>
      </c>
      <c r="B277" s="2">
        <v>46060</v>
      </c>
      <c r="C277" t="s">
        <v>245</v>
      </c>
      <c r="D277" t="s">
        <v>246</v>
      </c>
      <c r="E277" t="str">
        <f>_xlfn.XLOOKUP(Sales[[#This Row],[Product Name]],Products[Product Name],Products[Category])</f>
        <v>Salads</v>
      </c>
      <c r="F277" t="s">
        <v>444</v>
      </c>
      <c r="G277" t="s">
        <v>445</v>
      </c>
      <c r="H277">
        <v>57</v>
      </c>
      <c r="I277" s="5">
        <f>_xlfn.XLOOKUP(Sales[[#This Row],[Product Name]],Products[Product Name],Products[Selling Price (CAD)])</f>
        <v>6.99</v>
      </c>
      <c r="J277" s="5">
        <f>PRODUCT(Sales[[#This Row],[Quantity Sold]],Sales[[#This Row],[Unit Selling Price (CAD)]])</f>
        <v>398.43</v>
      </c>
    </row>
    <row r="278" spans="1:10">
      <c r="A278" t="s">
        <v>726</v>
      </c>
      <c r="B278" s="2">
        <v>46060</v>
      </c>
      <c r="C278" t="s">
        <v>64</v>
      </c>
      <c r="D278" t="s">
        <v>65</v>
      </c>
      <c r="E278" t="str">
        <f>_xlfn.XLOOKUP(Sales[[#This Row],[Product Name]],Products[Product Name],Products[Category])</f>
        <v>Burgers</v>
      </c>
      <c r="F278" t="s">
        <v>447</v>
      </c>
      <c r="G278" t="s">
        <v>445</v>
      </c>
      <c r="H278">
        <v>31</v>
      </c>
      <c r="I278" s="5">
        <f>_xlfn.XLOOKUP(Sales[[#This Row],[Product Name]],Products[Product Name],Products[Selling Price (CAD)])</f>
        <v>6.49</v>
      </c>
      <c r="J278" s="5">
        <f>PRODUCT(Sales[[#This Row],[Quantity Sold]],Sales[[#This Row],[Unit Selling Price (CAD)]])</f>
        <v>201.19</v>
      </c>
    </row>
    <row r="279" spans="1:10">
      <c r="A279" t="s">
        <v>727</v>
      </c>
      <c r="B279" s="2">
        <v>46060</v>
      </c>
      <c r="C279" t="s">
        <v>52</v>
      </c>
      <c r="D279" t="s">
        <v>53</v>
      </c>
      <c r="E279" t="str">
        <f>_xlfn.XLOOKUP(Sales[[#This Row],[Product Name]],Products[Product Name],Products[Category])</f>
        <v>Burgers</v>
      </c>
      <c r="F279" t="s">
        <v>444</v>
      </c>
      <c r="G279" t="s">
        <v>452</v>
      </c>
      <c r="H279">
        <v>71</v>
      </c>
      <c r="I279" s="5">
        <f>_xlfn.XLOOKUP(Sales[[#This Row],[Product Name]],Products[Product Name],Products[Selling Price (CAD)])</f>
        <v>6.99</v>
      </c>
      <c r="J279" s="5">
        <f>PRODUCT(Sales[[#This Row],[Quantity Sold]],Sales[[#This Row],[Unit Selling Price (CAD)]])</f>
        <v>496.29</v>
      </c>
    </row>
    <row r="280" spans="1:10">
      <c r="A280" t="s">
        <v>728</v>
      </c>
      <c r="B280" s="2">
        <v>46060</v>
      </c>
      <c r="C280" t="s">
        <v>353</v>
      </c>
      <c r="D280" t="s">
        <v>354</v>
      </c>
      <c r="E280" t="str">
        <f>_xlfn.XLOOKUP(Sales[[#This Row],[Product Name]],Products[Product Name],Products[Category])</f>
        <v>Desserts</v>
      </c>
      <c r="F280" t="s">
        <v>444</v>
      </c>
      <c r="G280" t="s">
        <v>452</v>
      </c>
      <c r="H280">
        <v>62</v>
      </c>
      <c r="I280" s="5">
        <f>_xlfn.XLOOKUP(Sales[[#This Row],[Product Name]],Products[Product Name],Products[Selling Price (CAD)])</f>
        <v>4.99</v>
      </c>
      <c r="J280" s="5">
        <f>PRODUCT(Sales[[#This Row],[Quantity Sold]],Sales[[#This Row],[Unit Selling Price (CAD)]])</f>
        <v>309.38</v>
      </c>
    </row>
    <row r="281" spans="1:10">
      <c r="A281" t="s">
        <v>729</v>
      </c>
      <c r="B281" s="2">
        <v>46060</v>
      </c>
      <c r="C281" t="s">
        <v>36</v>
      </c>
      <c r="D281" t="s">
        <v>37</v>
      </c>
      <c r="E281" t="str">
        <f>_xlfn.XLOOKUP(Sales[[#This Row],[Product Name]],Products[Product Name],Products[Category])</f>
        <v>Burgers</v>
      </c>
      <c r="F281" t="s">
        <v>444</v>
      </c>
      <c r="G281" t="s">
        <v>450</v>
      </c>
      <c r="H281">
        <v>68</v>
      </c>
      <c r="I281" s="5">
        <f>_xlfn.XLOOKUP(Sales[[#This Row],[Product Name]],Products[Product Name],Products[Selling Price (CAD)])</f>
        <v>8.99</v>
      </c>
      <c r="J281" s="5">
        <f>PRODUCT(Sales[[#This Row],[Quantity Sold]],Sales[[#This Row],[Unit Selling Price (CAD)]])</f>
        <v>611.32000000000005</v>
      </c>
    </row>
    <row r="282" spans="1:10">
      <c r="A282" t="s">
        <v>730</v>
      </c>
      <c r="B282" s="2">
        <v>46061</v>
      </c>
      <c r="C282" t="s">
        <v>78</v>
      </c>
      <c r="D282" t="s">
        <v>79</v>
      </c>
      <c r="E282" t="str">
        <f>_xlfn.XLOOKUP(Sales[[#This Row],[Product Name]],Products[Product Name],Products[Category])</f>
        <v>Burgers</v>
      </c>
      <c r="F282" t="s">
        <v>449</v>
      </c>
      <c r="G282" t="s">
        <v>454</v>
      </c>
      <c r="H282">
        <v>31</v>
      </c>
      <c r="I282" s="5">
        <f>_xlfn.XLOOKUP(Sales[[#This Row],[Product Name]],Products[Product Name],Products[Selling Price (CAD)])</f>
        <v>3.99</v>
      </c>
      <c r="J282" s="5">
        <f>PRODUCT(Sales[[#This Row],[Quantity Sold]],Sales[[#This Row],[Unit Selling Price (CAD)]])</f>
        <v>123.69000000000001</v>
      </c>
    </row>
    <row r="283" spans="1:10">
      <c r="A283" t="s">
        <v>731</v>
      </c>
      <c r="B283" s="2">
        <v>46061</v>
      </c>
      <c r="C283" t="s">
        <v>349</v>
      </c>
      <c r="D283" t="s">
        <v>350</v>
      </c>
      <c r="E283" t="str">
        <f>_xlfn.XLOOKUP(Sales[[#This Row],[Product Name]],Products[Product Name],Products[Category])</f>
        <v>Desserts</v>
      </c>
      <c r="F283" t="s">
        <v>447</v>
      </c>
      <c r="G283" t="s">
        <v>452</v>
      </c>
      <c r="H283">
        <v>36</v>
      </c>
      <c r="I283" s="5">
        <f>_xlfn.XLOOKUP(Sales[[#This Row],[Product Name]],Products[Product Name],Products[Selling Price (CAD)])</f>
        <v>4.99</v>
      </c>
      <c r="J283" s="5">
        <f>PRODUCT(Sales[[#This Row],[Quantity Sold]],Sales[[#This Row],[Unit Selling Price (CAD)]])</f>
        <v>179.64000000000001</v>
      </c>
    </row>
    <row r="284" spans="1:10">
      <c r="A284" t="s">
        <v>732</v>
      </c>
      <c r="B284" s="2">
        <v>46061</v>
      </c>
      <c r="C284" t="s">
        <v>353</v>
      </c>
      <c r="D284" t="s">
        <v>354</v>
      </c>
      <c r="E284" t="str">
        <f>_xlfn.XLOOKUP(Sales[[#This Row],[Product Name]],Products[Product Name],Products[Category])</f>
        <v>Desserts</v>
      </c>
      <c r="F284" t="s">
        <v>449</v>
      </c>
      <c r="G284" t="s">
        <v>452</v>
      </c>
      <c r="H284">
        <v>64</v>
      </c>
      <c r="I284" s="5">
        <f>_xlfn.XLOOKUP(Sales[[#This Row],[Product Name]],Products[Product Name],Products[Selling Price (CAD)])</f>
        <v>4.99</v>
      </c>
      <c r="J284" s="5">
        <f>PRODUCT(Sales[[#This Row],[Quantity Sold]],Sales[[#This Row],[Unit Selling Price (CAD)]])</f>
        <v>319.36</v>
      </c>
    </row>
    <row r="285" spans="1:10">
      <c r="A285" t="s">
        <v>733</v>
      </c>
      <c r="B285" s="2">
        <v>46061</v>
      </c>
      <c r="C285" t="s">
        <v>303</v>
      </c>
      <c r="D285" t="s">
        <v>304</v>
      </c>
      <c r="E285" t="str">
        <f>_xlfn.XLOOKUP(Sales[[#This Row],[Product Name]],Products[Product Name],Products[Category])</f>
        <v>Beverages</v>
      </c>
      <c r="F285" t="s">
        <v>449</v>
      </c>
      <c r="G285" t="s">
        <v>450</v>
      </c>
      <c r="H285">
        <v>78</v>
      </c>
      <c r="I285" s="5">
        <f>_xlfn.XLOOKUP(Sales[[#This Row],[Product Name]],Products[Product Name],Products[Selling Price (CAD)])</f>
        <v>2.4900000000000002</v>
      </c>
      <c r="J285" s="5">
        <f>PRODUCT(Sales[[#This Row],[Quantity Sold]],Sales[[#This Row],[Unit Selling Price (CAD)]])</f>
        <v>194.22000000000003</v>
      </c>
    </row>
    <row r="286" spans="1:10">
      <c r="A286" t="s">
        <v>734</v>
      </c>
      <c r="B286" s="2">
        <v>46061</v>
      </c>
      <c r="C286" t="s">
        <v>259</v>
      </c>
      <c r="D286" t="s">
        <v>260</v>
      </c>
      <c r="E286" t="str">
        <f>_xlfn.XLOOKUP(Sales[[#This Row],[Product Name]],Products[Product Name],Products[Category])</f>
        <v>Beverages</v>
      </c>
      <c r="F286" t="s">
        <v>444</v>
      </c>
      <c r="G286" t="s">
        <v>450</v>
      </c>
      <c r="H286">
        <v>32</v>
      </c>
      <c r="I286" s="5">
        <f>_xlfn.XLOOKUP(Sales[[#This Row],[Product Name]],Products[Product Name],Products[Selling Price (CAD)])</f>
        <v>1.99</v>
      </c>
      <c r="J286" s="5">
        <f>PRODUCT(Sales[[#This Row],[Quantity Sold]],Sales[[#This Row],[Unit Selling Price (CAD)]])</f>
        <v>63.68</v>
      </c>
    </row>
    <row r="287" spans="1:10">
      <c r="A287" t="s">
        <v>735</v>
      </c>
      <c r="B287" s="2">
        <v>46061</v>
      </c>
      <c r="C287" t="s">
        <v>153</v>
      </c>
      <c r="D287" t="s">
        <v>154</v>
      </c>
      <c r="E287" t="str">
        <f>_xlfn.XLOOKUP(Sales[[#This Row],[Product Name]],Products[Product Name],Products[Category])</f>
        <v>Breakfast</v>
      </c>
      <c r="F287" t="s">
        <v>444</v>
      </c>
      <c r="G287" t="s">
        <v>452</v>
      </c>
      <c r="H287">
        <v>52</v>
      </c>
      <c r="I287" s="5">
        <f>_xlfn.XLOOKUP(Sales[[#This Row],[Product Name]],Products[Product Name],Products[Selling Price (CAD)])</f>
        <v>4.99</v>
      </c>
      <c r="J287" s="5">
        <f>PRODUCT(Sales[[#This Row],[Quantity Sold]],Sales[[#This Row],[Unit Selling Price (CAD)]])</f>
        <v>259.48</v>
      </c>
    </row>
    <row r="288" spans="1:10">
      <c r="A288" t="s">
        <v>736</v>
      </c>
      <c r="B288" s="2">
        <v>46061</v>
      </c>
      <c r="C288" t="s">
        <v>32</v>
      </c>
      <c r="D288" t="s">
        <v>33</v>
      </c>
      <c r="E288" t="str">
        <f>_xlfn.XLOOKUP(Sales[[#This Row],[Product Name]],Products[Product Name],Products[Category])</f>
        <v>Burgers</v>
      </c>
      <c r="F288" t="s">
        <v>449</v>
      </c>
      <c r="G288" t="s">
        <v>452</v>
      </c>
      <c r="H288">
        <v>41</v>
      </c>
      <c r="I288" s="5">
        <f>_xlfn.XLOOKUP(Sales[[#This Row],[Product Name]],Products[Product Name],Products[Selling Price (CAD)])</f>
        <v>9.99</v>
      </c>
      <c r="J288" s="5">
        <f>PRODUCT(Sales[[#This Row],[Quantity Sold]],Sales[[#This Row],[Unit Selling Price (CAD)]])</f>
        <v>409.59000000000003</v>
      </c>
    </row>
    <row r="289" spans="1:10">
      <c r="A289" t="s">
        <v>737</v>
      </c>
      <c r="B289" s="2">
        <v>46061</v>
      </c>
      <c r="C289" t="s">
        <v>125</v>
      </c>
      <c r="D289" t="s">
        <v>126</v>
      </c>
      <c r="E289" t="str">
        <f>_xlfn.XLOOKUP(Sales[[#This Row],[Product Name]],Products[Product Name],Products[Category])</f>
        <v>Chicken</v>
      </c>
      <c r="F289" t="s">
        <v>449</v>
      </c>
      <c r="G289" t="s">
        <v>445</v>
      </c>
      <c r="H289">
        <v>38</v>
      </c>
      <c r="I289" s="5">
        <f>_xlfn.XLOOKUP(Sales[[#This Row],[Product Name]],Products[Product Name],Products[Selling Price (CAD)])</f>
        <v>4.99</v>
      </c>
      <c r="J289" s="5">
        <f>PRODUCT(Sales[[#This Row],[Quantity Sold]],Sales[[#This Row],[Unit Selling Price (CAD)]])</f>
        <v>189.62</v>
      </c>
    </row>
    <row r="290" spans="1:10">
      <c r="A290" t="s">
        <v>738</v>
      </c>
      <c r="B290" s="2">
        <v>46061</v>
      </c>
      <c r="C290" t="s">
        <v>368</v>
      </c>
      <c r="D290" t="s">
        <v>369</v>
      </c>
      <c r="E290" t="str">
        <f>_xlfn.XLOOKUP(Sales[[#This Row],[Product Name]],Products[Product Name],Products[Category])</f>
        <v>Kids Meals</v>
      </c>
      <c r="F290" t="s">
        <v>449</v>
      </c>
      <c r="G290" t="s">
        <v>445</v>
      </c>
      <c r="H290">
        <v>42</v>
      </c>
      <c r="I290" s="5">
        <f>_xlfn.XLOOKUP(Sales[[#This Row],[Product Name]],Products[Product Name],Products[Selling Price (CAD)])</f>
        <v>5.99</v>
      </c>
      <c r="J290" s="5">
        <f>PRODUCT(Sales[[#This Row],[Quantity Sold]],Sales[[#This Row],[Unit Selling Price (CAD)]])</f>
        <v>251.58</v>
      </c>
    </row>
    <row r="291" spans="1:10">
      <c r="A291" t="s">
        <v>739</v>
      </c>
      <c r="B291" s="2">
        <v>46061</v>
      </c>
      <c r="C291" t="s">
        <v>25</v>
      </c>
      <c r="D291" t="s">
        <v>26</v>
      </c>
      <c r="E291" t="str">
        <f>_xlfn.XLOOKUP(Sales[[#This Row],[Product Name]],Products[Product Name],Products[Category])</f>
        <v>Burgers</v>
      </c>
      <c r="F291" t="s">
        <v>449</v>
      </c>
      <c r="G291" t="s">
        <v>450</v>
      </c>
      <c r="H291">
        <v>61</v>
      </c>
      <c r="I291" s="5">
        <f>_xlfn.XLOOKUP(Sales[[#This Row],[Product Name]],Products[Product Name],Products[Selling Price (CAD)])</f>
        <v>5.99</v>
      </c>
      <c r="J291" s="5">
        <f>PRODUCT(Sales[[#This Row],[Quantity Sold]],Sales[[#This Row],[Unit Selling Price (CAD)]])</f>
        <v>365.39</v>
      </c>
    </row>
    <row r="292" spans="1:10">
      <c r="A292" t="s">
        <v>740</v>
      </c>
      <c r="B292" s="2">
        <v>46061</v>
      </c>
      <c r="C292" t="s">
        <v>321</v>
      </c>
      <c r="D292" t="s">
        <v>322</v>
      </c>
      <c r="E292" t="str">
        <f>_xlfn.XLOOKUP(Sales[[#This Row],[Product Name]],Products[Product Name],Products[Category])</f>
        <v>Beverages</v>
      </c>
      <c r="F292" t="s">
        <v>444</v>
      </c>
      <c r="G292" t="s">
        <v>450</v>
      </c>
      <c r="H292">
        <v>58</v>
      </c>
      <c r="I292" s="5">
        <f>_xlfn.XLOOKUP(Sales[[#This Row],[Product Name]],Products[Product Name],Products[Selling Price (CAD)])</f>
        <v>2.4900000000000002</v>
      </c>
      <c r="J292" s="5">
        <f>PRODUCT(Sales[[#This Row],[Quantity Sold]],Sales[[#This Row],[Unit Selling Price (CAD)]])</f>
        <v>144.42000000000002</v>
      </c>
    </row>
    <row r="293" spans="1:10">
      <c r="A293" t="s">
        <v>741</v>
      </c>
      <c r="B293" s="2">
        <v>46061</v>
      </c>
      <c r="C293" t="s">
        <v>419</v>
      </c>
      <c r="D293" t="s">
        <v>420</v>
      </c>
      <c r="E293" t="str">
        <f>_xlfn.XLOOKUP(Sales[[#This Row],[Product Name]],Products[Product Name],Products[Category])</f>
        <v>Combo Meals</v>
      </c>
      <c r="F293" t="s">
        <v>444</v>
      </c>
      <c r="G293" t="s">
        <v>450</v>
      </c>
      <c r="H293">
        <v>33</v>
      </c>
      <c r="I293" s="5">
        <f>_xlfn.XLOOKUP(Sales[[#This Row],[Product Name]],Products[Product Name],Products[Selling Price (CAD)])</f>
        <v>7.99</v>
      </c>
      <c r="J293" s="5">
        <f>PRODUCT(Sales[[#This Row],[Quantity Sold]],Sales[[#This Row],[Unit Selling Price (CAD)]])</f>
        <v>263.67</v>
      </c>
    </row>
    <row r="294" spans="1:10">
      <c r="A294" t="s">
        <v>742</v>
      </c>
      <c r="B294" s="2">
        <v>46062</v>
      </c>
      <c r="C294" t="s">
        <v>303</v>
      </c>
      <c r="D294" t="s">
        <v>304</v>
      </c>
      <c r="E294" t="str">
        <f>_xlfn.XLOOKUP(Sales[[#This Row],[Product Name]],Products[Product Name],Products[Category])</f>
        <v>Beverages</v>
      </c>
      <c r="F294" t="s">
        <v>444</v>
      </c>
      <c r="G294" t="s">
        <v>450</v>
      </c>
      <c r="H294">
        <v>58</v>
      </c>
      <c r="I294" s="5">
        <f>_xlfn.XLOOKUP(Sales[[#This Row],[Product Name]],Products[Product Name],Products[Selling Price (CAD)])</f>
        <v>2.4900000000000002</v>
      </c>
      <c r="J294" s="5">
        <f>PRODUCT(Sales[[#This Row],[Quantity Sold]],Sales[[#This Row],[Unit Selling Price (CAD)]])</f>
        <v>144.42000000000002</v>
      </c>
    </row>
    <row r="295" spans="1:10">
      <c r="A295" t="s">
        <v>743</v>
      </c>
      <c r="B295" s="2">
        <v>46062</v>
      </c>
      <c r="C295" t="s">
        <v>415</v>
      </c>
      <c r="D295" t="s">
        <v>416</v>
      </c>
      <c r="E295" t="str">
        <f>_xlfn.XLOOKUP(Sales[[#This Row],[Product Name]],Products[Product Name],Products[Category])</f>
        <v>Combo Meals</v>
      </c>
      <c r="F295" t="s">
        <v>444</v>
      </c>
      <c r="G295" t="s">
        <v>452</v>
      </c>
      <c r="H295">
        <v>53</v>
      </c>
      <c r="I295" s="5">
        <f>_xlfn.XLOOKUP(Sales[[#This Row],[Product Name]],Products[Product Name],Products[Selling Price (CAD)])</f>
        <v>9.99</v>
      </c>
      <c r="J295" s="5">
        <f>PRODUCT(Sales[[#This Row],[Quantity Sold]],Sales[[#This Row],[Unit Selling Price (CAD)]])</f>
        <v>529.47</v>
      </c>
    </row>
    <row r="296" spans="1:10">
      <c r="A296" t="s">
        <v>744</v>
      </c>
      <c r="B296" s="2">
        <v>46062</v>
      </c>
      <c r="C296" t="s">
        <v>141</v>
      </c>
      <c r="D296" t="s">
        <v>142</v>
      </c>
      <c r="E296" t="str">
        <f>_xlfn.XLOOKUP(Sales[[#This Row],[Product Name]],Products[Product Name],Products[Category])</f>
        <v>Breakfast</v>
      </c>
      <c r="F296" t="s">
        <v>449</v>
      </c>
      <c r="G296" t="s">
        <v>452</v>
      </c>
      <c r="H296">
        <v>35</v>
      </c>
      <c r="I296" s="5">
        <f>_xlfn.XLOOKUP(Sales[[#This Row],[Product Name]],Products[Product Name],Products[Selling Price (CAD)])</f>
        <v>4.99</v>
      </c>
      <c r="J296" s="5">
        <f>PRODUCT(Sales[[#This Row],[Quantity Sold]],Sales[[#This Row],[Unit Selling Price (CAD)]])</f>
        <v>174.65</v>
      </c>
    </row>
    <row r="297" spans="1:10">
      <c r="A297" t="s">
        <v>745</v>
      </c>
      <c r="B297" s="2">
        <v>46062</v>
      </c>
      <c r="C297" t="s">
        <v>113</v>
      </c>
      <c r="D297" t="s">
        <v>114</v>
      </c>
      <c r="E297" t="str">
        <f>_xlfn.XLOOKUP(Sales[[#This Row],[Product Name]],Products[Product Name],Products[Category])</f>
        <v>Chicken</v>
      </c>
      <c r="F297" t="s">
        <v>449</v>
      </c>
      <c r="G297" t="s">
        <v>454</v>
      </c>
      <c r="H297">
        <v>70</v>
      </c>
      <c r="I297" s="5">
        <f>_xlfn.XLOOKUP(Sales[[#This Row],[Product Name]],Products[Product Name],Products[Selling Price (CAD)])</f>
        <v>5.99</v>
      </c>
      <c r="J297" s="5">
        <f>PRODUCT(Sales[[#This Row],[Quantity Sold]],Sales[[#This Row],[Unit Selling Price (CAD)]])</f>
        <v>419.3</v>
      </c>
    </row>
    <row r="298" spans="1:10">
      <c r="A298" t="s">
        <v>746</v>
      </c>
      <c r="B298" s="2">
        <v>46062</v>
      </c>
      <c r="C298" t="s">
        <v>388</v>
      </c>
      <c r="D298" t="s">
        <v>389</v>
      </c>
      <c r="E298" t="str">
        <f>_xlfn.XLOOKUP(Sales[[#This Row],[Product Name]],Products[Product Name],Products[Category])</f>
        <v>Sauces &amp; Add-ons</v>
      </c>
      <c r="F298" t="s">
        <v>447</v>
      </c>
      <c r="G298" t="s">
        <v>450</v>
      </c>
      <c r="H298">
        <v>62</v>
      </c>
      <c r="I298" s="5">
        <f>_xlfn.XLOOKUP(Sales[[#This Row],[Product Name]],Products[Product Name],Products[Selling Price (CAD)])</f>
        <v>0.25</v>
      </c>
      <c r="J298" s="5">
        <f>PRODUCT(Sales[[#This Row],[Quantity Sold]],Sales[[#This Row],[Unit Selling Price (CAD)]])</f>
        <v>15.5</v>
      </c>
    </row>
    <row r="299" spans="1:10">
      <c r="A299" t="s">
        <v>747</v>
      </c>
      <c r="B299" s="2">
        <v>46062</v>
      </c>
      <c r="C299" t="s">
        <v>165</v>
      </c>
      <c r="D299" t="s">
        <v>166</v>
      </c>
      <c r="E299" t="str">
        <f>_xlfn.XLOOKUP(Sales[[#This Row],[Product Name]],Products[Product Name],Products[Category])</f>
        <v>Breakfast</v>
      </c>
      <c r="F299" t="s">
        <v>449</v>
      </c>
      <c r="G299" t="s">
        <v>445</v>
      </c>
      <c r="H299">
        <v>50</v>
      </c>
      <c r="I299" s="5">
        <f>_xlfn.XLOOKUP(Sales[[#This Row],[Product Name]],Products[Product Name],Products[Selling Price (CAD)])</f>
        <v>3.99</v>
      </c>
      <c r="J299" s="5">
        <f>PRODUCT(Sales[[#This Row],[Quantity Sold]],Sales[[#This Row],[Unit Selling Price (CAD)]])</f>
        <v>199.5</v>
      </c>
    </row>
    <row r="300" spans="1:10">
      <c r="A300" t="s">
        <v>748</v>
      </c>
      <c r="B300" s="2">
        <v>46062</v>
      </c>
      <c r="C300" t="s">
        <v>235</v>
      </c>
      <c r="D300" t="s">
        <v>236</v>
      </c>
      <c r="E300" t="str">
        <f>_xlfn.XLOOKUP(Sales[[#This Row],[Product Name]],Products[Product Name],Products[Category])</f>
        <v>Salads</v>
      </c>
      <c r="F300" t="s">
        <v>444</v>
      </c>
      <c r="G300" t="s">
        <v>450</v>
      </c>
      <c r="H300">
        <v>77</v>
      </c>
      <c r="I300" s="5">
        <f>_xlfn.XLOOKUP(Sales[[#This Row],[Product Name]],Products[Product Name],Products[Selling Price (CAD)])</f>
        <v>9.49</v>
      </c>
      <c r="J300" s="5">
        <f>PRODUCT(Sales[[#This Row],[Quantity Sold]],Sales[[#This Row],[Unit Selling Price (CAD)]])</f>
        <v>730.73</v>
      </c>
    </row>
    <row r="301" spans="1:10">
      <c r="A301" t="s">
        <v>749</v>
      </c>
      <c r="B301" s="2">
        <v>46063</v>
      </c>
      <c r="C301" t="s">
        <v>253</v>
      </c>
      <c r="D301" t="s">
        <v>254</v>
      </c>
      <c r="E301" t="str">
        <f>_xlfn.XLOOKUP(Sales[[#This Row],[Product Name]],Products[Product Name],Products[Category])</f>
        <v>Beverages</v>
      </c>
      <c r="F301" t="s">
        <v>444</v>
      </c>
      <c r="G301" t="s">
        <v>445</v>
      </c>
      <c r="H301">
        <v>71</v>
      </c>
      <c r="I301" s="5">
        <f>_xlfn.XLOOKUP(Sales[[#This Row],[Product Name]],Products[Product Name],Products[Selling Price (CAD)])</f>
        <v>1.99</v>
      </c>
      <c r="J301" s="5">
        <f>PRODUCT(Sales[[#This Row],[Quantity Sold]],Sales[[#This Row],[Unit Selling Price (CAD)]])</f>
        <v>141.29</v>
      </c>
    </row>
    <row r="302" spans="1:10">
      <c r="A302" t="s">
        <v>750</v>
      </c>
      <c r="B302" s="2">
        <v>46063</v>
      </c>
      <c r="C302" t="s">
        <v>355</v>
      </c>
      <c r="D302" t="s">
        <v>356</v>
      </c>
      <c r="E302" t="str">
        <f>_xlfn.XLOOKUP(Sales[[#This Row],[Product Name]],Products[Product Name],Products[Category])</f>
        <v>Desserts</v>
      </c>
      <c r="F302" t="s">
        <v>444</v>
      </c>
      <c r="G302" t="s">
        <v>452</v>
      </c>
      <c r="H302">
        <v>66</v>
      </c>
      <c r="I302" s="5">
        <f>_xlfn.XLOOKUP(Sales[[#This Row],[Product Name]],Products[Product Name],Products[Selling Price (CAD)])</f>
        <v>5.99</v>
      </c>
      <c r="J302" s="5">
        <f>PRODUCT(Sales[[#This Row],[Quantity Sold]],Sales[[#This Row],[Unit Selling Price (CAD)]])</f>
        <v>395.34000000000003</v>
      </c>
    </row>
    <row r="303" spans="1:10">
      <c r="A303" t="s">
        <v>751</v>
      </c>
      <c r="B303" s="2">
        <v>46063</v>
      </c>
      <c r="C303" t="s">
        <v>259</v>
      </c>
      <c r="D303" t="s">
        <v>260</v>
      </c>
      <c r="E303" t="str">
        <f>_xlfn.XLOOKUP(Sales[[#This Row],[Product Name]],Products[Product Name],Products[Category])</f>
        <v>Beverages</v>
      </c>
      <c r="F303" t="s">
        <v>449</v>
      </c>
      <c r="G303" t="s">
        <v>454</v>
      </c>
      <c r="H303">
        <v>63</v>
      </c>
      <c r="I303" s="5">
        <f>_xlfn.XLOOKUP(Sales[[#This Row],[Product Name]],Products[Product Name],Products[Selling Price (CAD)])</f>
        <v>1.99</v>
      </c>
      <c r="J303" s="5">
        <f>PRODUCT(Sales[[#This Row],[Quantity Sold]],Sales[[#This Row],[Unit Selling Price (CAD)]])</f>
        <v>125.37</v>
      </c>
    </row>
    <row r="304" spans="1:10">
      <c r="A304" t="s">
        <v>752</v>
      </c>
      <c r="B304" s="2">
        <v>46063</v>
      </c>
      <c r="C304" t="s">
        <v>109</v>
      </c>
      <c r="D304" t="s">
        <v>110</v>
      </c>
      <c r="E304" t="str">
        <f>_xlfn.XLOOKUP(Sales[[#This Row],[Product Name]],Products[Product Name],Products[Category])</f>
        <v>Chicken</v>
      </c>
      <c r="F304" t="s">
        <v>449</v>
      </c>
      <c r="G304" t="s">
        <v>450</v>
      </c>
      <c r="H304">
        <v>48</v>
      </c>
      <c r="I304" s="5">
        <f>_xlfn.XLOOKUP(Sales[[#This Row],[Product Name]],Products[Product Name],Products[Selling Price (CAD)])</f>
        <v>5.99</v>
      </c>
      <c r="J304" s="5">
        <f>PRODUCT(Sales[[#This Row],[Quantity Sold]],Sales[[#This Row],[Unit Selling Price (CAD)]])</f>
        <v>287.52</v>
      </c>
    </row>
    <row r="305" spans="1:10">
      <c r="A305" t="s">
        <v>753</v>
      </c>
      <c r="B305" s="2">
        <v>46063</v>
      </c>
      <c r="C305" t="s">
        <v>295</v>
      </c>
      <c r="D305" t="s">
        <v>296</v>
      </c>
      <c r="E305" t="str">
        <f>_xlfn.XLOOKUP(Sales[[#This Row],[Product Name]],Products[Product Name],Products[Category])</f>
        <v>Beverages</v>
      </c>
      <c r="F305" t="s">
        <v>444</v>
      </c>
      <c r="G305" t="s">
        <v>450</v>
      </c>
      <c r="H305">
        <v>46</v>
      </c>
      <c r="I305" s="5">
        <f>_xlfn.XLOOKUP(Sales[[#This Row],[Product Name]],Products[Product Name],Products[Selling Price (CAD)])</f>
        <v>2.99</v>
      </c>
      <c r="J305" s="5">
        <f>PRODUCT(Sales[[#This Row],[Quantity Sold]],Sales[[#This Row],[Unit Selling Price (CAD)]])</f>
        <v>137.54000000000002</v>
      </c>
    </row>
    <row r="306" spans="1:10">
      <c r="A306" t="s">
        <v>754</v>
      </c>
      <c r="B306" s="2">
        <v>46063</v>
      </c>
      <c r="C306" t="s">
        <v>89</v>
      </c>
      <c r="D306" t="s">
        <v>90</v>
      </c>
      <c r="E306" t="str">
        <f>_xlfn.XLOOKUP(Sales[[#This Row],[Product Name]],Products[Product Name],Products[Category])</f>
        <v>Chicken</v>
      </c>
      <c r="F306" t="s">
        <v>447</v>
      </c>
      <c r="G306" t="s">
        <v>454</v>
      </c>
      <c r="H306">
        <v>38</v>
      </c>
      <c r="I306" s="5">
        <f>_xlfn.XLOOKUP(Sales[[#This Row],[Product Name]],Products[Product Name],Products[Selling Price (CAD)])</f>
        <v>7.49</v>
      </c>
      <c r="J306" s="5">
        <f>PRODUCT(Sales[[#This Row],[Quantity Sold]],Sales[[#This Row],[Unit Selling Price (CAD)]])</f>
        <v>284.62</v>
      </c>
    </row>
    <row r="307" spans="1:10">
      <c r="A307" t="s">
        <v>755</v>
      </c>
      <c r="B307" s="2">
        <v>46063</v>
      </c>
      <c r="C307" t="s">
        <v>70</v>
      </c>
      <c r="D307" t="s">
        <v>71</v>
      </c>
      <c r="E307" t="str">
        <f>_xlfn.XLOOKUP(Sales[[#This Row],[Product Name]],Products[Product Name],Products[Category])</f>
        <v>Burgers</v>
      </c>
      <c r="F307" t="s">
        <v>449</v>
      </c>
      <c r="G307" t="s">
        <v>452</v>
      </c>
      <c r="H307">
        <v>74</v>
      </c>
      <c r="I307" s="5">
        <f>_xlfn.XLOOKUP(Sales[[#This Row],[Product Name]],Products[Product Name],Products[Selling Price (CAD)])</f>
        <v>8.99</v>
      </c>
      <c r="J307" s="5">
        <f>PRODUCT(Sales[[#This Row],[Quantity Sold]],Sales[[#This Row],[Unit Selling Price (CAD)]])</f>
        <v>665.26</v>
      </c>
    </row>
    <row r="308" spans="1:10">
      <c r="A308" t="s">
        <v>756</v>
      </c>
      <c r="B308" s="2">
        <v>46063</v>
      </c>
      <c r="C308" t="s">
        <v>267</v>
      </c>
      <c r="D308" t="s">
        <v>268</v>
      </c>
      <c r="E308" t="str">
        <f>_xlfn.XLOOKUP(Sales[[#This Row],[Product Name]],Products[Product Name],Products[Category])</f>
        <v>Beverages</v>
      </c>
      <c r="F308" t="s">
        <v>449</v>
      </c>
      <c r="G308" t="s">
        <v>450</v>
      </c>
      <c r="H308">
        <v>60</v>
      </c>
      <c r="I308" s="5">
        <f>_xlfn.XLOOKUP(Sales[[#This Row],[Product Name]],Products[Product Name],Products[Selling Price (CAD)])</f>
        <v>2.99</v>
      </c>
      <c r="J308" s="5">
        <f>PRODUCT(Sales[[#This Row],[Quantity Sold]],Sales[[#This Row],[Unit Selling Price (CAD)]])</f>
        <v>179.4</v>
      </c>
    </row>
    <row r="309" spans="1:10">
      <c r="A309" t="s">
        <v>757</v>
      </c>
      <c r="B309" s="2">
        <v>46063</v>
      </c>
      <c r="C309" t="s">
        <v>376</v>
      </c>
      <c r="D309" t="s">
        <v>377</v>
      </c>
      <c r="E309" t="str">
        <f>_xlfn.XLOOKUP(Sales[[#This Row],[Product Name]],Products[Product Name],Products[Category])</f>
        <v>Kids Meals</v>
      </c>
      <c r="F309" t="s">
        <v>447</v>
      </c>
      <c r="G309" t="s">
        <v>450</v>
      </c>
      <c r="H309">
        <v>70</v>
      </c>
      <c r="I309" s="5">
        <f>_xlfn.XLOOKUP(Sales[[#This Row],[Product Name]],Products[Product Name],Products[Selling Price (CAD)])</f>
        <v>5.99</v>
      </c>
      <c r="J309" s="5">
        <f>PRODUCT(Sales[[#This Row],[Quantity Sold]],Sales[[#This Row],[Unit Selling Price (CAD)]])</f>
        <v>419.3</v>
      </c>
    </row>
    <row r="310" spans="1:10">
      <c r="A310" t="s">
        <v>758</v>
      </c>
      <c r="B310" s="2">
        <v>46063</v>
      </c>
      <c r="C310" t="s">
        <v>80</v>
      </c>
      <c r="D310" t="s">
        <v>81</v>
      </c>
      <c r="E310" t="str">
        <f>_xlfn.XLOOKUP(Sales[[#This Row],[Product Name]],Products[Product Name],Products[Category])</f>
        <v>Burgers</v>
      </c>
      <c r="F310" t="s">
        <v>449</v>
      </c>
      <c r="G310" t="s">
        <v>454</v>
      </c>
      <c r="H310">
        <v>64</v>
      </c>
      <c r="I310" s="5">
        <f>_xlfn.XLOOKUP(Sales[[#This Row],[Product Name]],Products[Product Name],Products[Selling Price (CAD)])</f>
        <v>2.99</v>
      </c>
      <c r="J310" s="5">
        <f>PRODUCT(Sales[[#This Row],[Quantity Sold]],Sales[[#This Row],[Unit Selling Price (CAD)]])</f>
        <v>191.36</v>
      </c>
    </row>
    <row r="311" spans="1:10">
      <c r="A311" t="s">
        <v>759</v>
      </c>
      <c r="B311" s="2">
        <v>46064</v>
      </c>
      <c r="C311" t="s">
        <v>273</v>
      </c>
      <c r="D311" t="s">
        <v>274</v>
      </c>
      <c r="E311" t="str">
        <f>_xlfn.XLOOKUP(Sales[[#This Row],[Product Name]],Products[Product Name],Products[Category])</f>
        <v>Beverages</v>
      </c>
      <c r="F311" t="s">
        <v>449</v>
      </c>
      <c r="G311" t="s">
        <v>445</v>
      </c>
      <c r="H311">
        <v>63</v>
      </c>
      <c r="I311" s="5">
        <f>_xlfn.XLOOKUP(Sales[[#This Row],[Product Name]],Products[Product Name],Products[Selling Price (CAD)])</f>
        <v>2.99</v>
      </c>
      <c r="J311" s="5">
        <f>PRODUCT(Sales[[#This Row],[Quantity Sold]],Sales[[#This Row],[Unit Selling Price (CAD)]])</f>
        <v>188.37</v>
      </c>
    </row>
    <row r="312" spans="1:10">
      <c r="A312" t="s">
        <v>760</v>
      </c>
      <c r="B312" s="2">
        <v>46064</v>
      </c>
      <c r="C312" t="s">
        <v>337</v>
      </c>
      <c r="D312" t="s">
        <v>338</v>
      </c>
      <c r="E312" t="str">
        <f>_xlfn.XLOOKUP(Sales[[#This Row],[Product Name]],Products[Product Name],Products[Category])</f>
        <v>Desserts</v>
      </c>
      <c r="F312" t="s">
        <v>449</v>
      </c>
      <c r="G312" t="s">
        <v>452</v>
      </c>
      <c r="H312">
        <v>78</v>
      </c>
      <c r="I312" s="5">
        <f>_xlfn.XLOOKUP(Sales[[#This Row],[Product Name]],Products[Product Name],Products[Selling Price (CAD)])</f>
        <v>1.49</v>
      </c>
      <c r="J312" s="5">
        <f>PRODUCT(Sales[[#This Row],[Quantity Sold]],Sales[[#This Row],[Unit Selling Price (CAD)]])</f>
        <v>116.22</v>
      </c>
    </row>
    <row r="313" spans="1:10">
      <c r="A313" t="s">
        <v>761</v>
      </c>
      <c r="B313" s="2">
        <v>46064</v>
      </c>
      <c r="C313" t="s">
        <v>337</v>
      </c>
      <c r="D313" t="s">
        <v>338</v>
      </c>
      <c r="E313" t="str">
        <f>_xlfn.XLOOKUP(Sales[[#This Row],[Product Name]],Products[Product Name],Products[Category])</f>
        <v>Desserts</v>
      </c>
      <c r="F313" t="s">
        <v>447</v>
      </c>
      <c r="G313" t="s">
        <v>450</v>
      </c>
      <c r="H313">
        <v>73</v>
      </c>
      <c r="I313" s="5">
        <f>_xlfn.XLOOKUP(Sales[[#This Row],[Product Name]],Products[Product Name],Products[Selling Price (CAD)])</f>
        <v>1.49</v>
      </c>
      <c r="J313" s="5">
        <f>PRODUCT(Sales[[#This Row],[Quantity Sold]],Sales[[#This Row],[Unit Selling Price (CAD)]])</f>
        <v>108.77</v>
      </c>
    </row>
    <row r="314" spans="1:10">
      <c r="A314" t="s">
        <v>762</v>
      </c>
      <c r="B314" s="2">
        <v>46064</v>
      </c>
      <c r="C314" t="s">
        <v>261</v>
      </c>
      <c r="D314" t="s">
        <v>262</v>
      </c>
      <c r="E314" t="str">
        <f>_xlfn.XLOOKUP(Sales[[#This Row],[Product Name]],Products[Product Name],Products[Category])</f>
        <v>Beverages</v>
      </c>
      <c r="F314" t="s">
        <v>449</v>
      </c>
      <c r="G314" t="s">
        <v>450</v>
      </c>
      <c r="H314">
        <v>67</v>
      </c>
      <c r="I314" s="5">
        <f>_xlfn.XLOOKUP(Sales[[#This Row],[Product Name]],Products[Product Name],Products[Selling Price (CAD)])</f>
        <v>2.99</v>
      </c>
      <c r="J314" s="5">
        <f>PRODUCT(Sales[[#This Row],[Quantity Sold]],Sales[[#This Row],[Unit Selling Price (CAD)]])</f>
        <v>200.33</v>
      </c>
    </row>
    <row r="315" spans="1:10">
      <c r="A315" t="s">
        <v>763</v>
      </c>
      <c r="B315" s="2">
        <v>46064</v>
      </c>
      <c r="C315" t="s">
        <v>139</v>
      </c>
      <c r="D315" t="s">
        <v>140</v>
      </c>
      <c r="E315" t="str">
        <f>_xlfn.XLOOKUP(Sales[[#This Row],[Product Name]],Products[Product Name],Products[Category])</f>
        <v>Breakfast</v>
      </c>
      <c r="F315" t="s">
        <v>449</v>
      </c>
      <c r="G315" t="s">
        <v>452</v>
      </c>
      <c r="H315">
        <v>73</v>
      </c>
      <c r="I315" s="5">
        <f>_xlfn.XLOOKUP(Sales[[#This Row],[Product Name]],Products[Product Name],Products[Selling Price (CAD)])</f>
        <v>4.99</v>
      </c>
      <c r="J315" s="5">
        <f>PRODUCT(Sales[[#This Row],[Quantity Sold]],Sales[[#This Row],[Unit Selling Price (CAD)]])</f>
        <v>364.27000000000004</v>
      </c>
    </row>
    <row r="316" spans="1:10">
      <c r="A316" t="s">
        <v>764</v>
      </c>
      <c r="B316" s="2">
        <v>46064</v>
      </c>
      <c r="C316" t="s">
        <v>415</v>
      </c>
      <c r="D316" t="s">
        <v>416</v>
      </c>
      <c r="E316" t="str">
        <f>_xlfn.XLOOKUP(Sales[[#This Row],[Product Name]],Products[Product Name],Products[Category])</f>
        <v>Combo Meals</v>
      </c>
      <c r="F316" t="s">
        <v>447</v>
      </c>
      <c r="G316" t="s">
        <v>452</v>
      </c>
      <c r="H316">
        <v>41</v>
      </c>
      <c r="I316" s="5">
        <f>_xlfn.XLOOKUP(Sales[[#This Row],[Product Name]],Products[Product Name],Products[Selling Price (CAD)])</f>
        <v>9.99</v>
      </c>
      <c r="J316" s="5">
        <f>PRODUCT(Sales[[#This Row],[Quantity Sold]],Sales[[#This Row],[Unit Selling Price (CAD)]])</f>
        <v>409.59000000000003</v>
      </c>
    </row>
    <row r="317" spans="1:10">
      <c r="A317" t="s">
        <v>765</v>
      </c>
      <c r="B317" s="2">
        <v>46064</v>
      </c>
      <c r="C317" t="s">
        <v>64</v>
      </c>
      <c r="D317" t="s">
        <v>65</v>
      </c>
      <c r="E317" t="str">
        <f>_xlfn.XLOOKUP(Sales[[#This Row],[Product Name]],Products[Product Name],Products[Category])</f>
        <v>Burgers</v>
      </c>
      <c r="F317" t="s">
        <v>447</v>
      </c>
      <c r="G317" t="s">
        <v>454</v>
      </c>
      <c r="H317">
        <v>68</v>
      </c>
      <c r="I317" s="5">
        <f>_xlfn.XLOOKUP(Sales[[#This Row],[Product Name]],Products[Product Name],Products[Selling Price (CAD)])</f>
        <v>6.49</v>
      </c>
      <c r="J317" s="5">
        <f>PRODUCT(Sales[[#This Row],[Quantity Sold]],Sales[[#This Row],[Unit Selling Price (CAD)]])</f>
        <v>441.32</v>
      </c>
    </row>
    <row r="318" spans="1:10">
      <c r="A318" t="s">
        <v>766</v>
      </c>
      <c r="B318" s="2">
        <v>46064</v>
      </c>
      <c r="C318" t="s">
        <v>372</v>
      </c>
      <c r="D318" t="s">
        <v>373</v>
      </c>
      <c r="E318" t="str">
        <f>_xlfn.XLOOKUP(Sales[[#This Row],[Product Name]],Products[Product Name],Products[Category])</f>
        <v>Kids Meals</v>
      </c>
      <c r="F318" t="s">
        <v>444</v>
      </c>
      <c r="G318" t="s">
        <v>452</v>
      </c>
      <c r="H318">
        <v>48</v>
      </c>
      <c r="I318" s="5">
        <f>_xlfn.XLOOKUP(Sales[[#This Row],[Product Name]],Products[Product Name],Products[Selling Price (CAD)])</f>
        <v>6.49</v>
      </c>
      <c r="J318" s="5">
        <f>PRODUCT(Sales[[#This Row],[Quantity Sold]],Sales[[#This Row],[Unit Selling Price (CAD)]])</f>
        <v>311.52</v>
      </c>
    </row>
    <row r="319" spans="1:10">
      <c r="A319" t="s">
        <v>767</v>
      </c>
      <c r="B319" s="2">
        <v>46065</v>
      </c>
      <c r="C319" t="s">
        <v>133</v>
      </c>
      <c r="D319" t="s">
        <v>134</v>
      </c>
      <c r="E319" t="str">
        <f>_xlfn.XLOOKUP(Sales[[#This Row],[Product Name]],Products[Product Name],Products[Category])</f>
        <v>Breakfast</v>
      </c>
      <c r="F319" t="s">
        <v>449</v>
      </c>
      <c r="G319" t="s">
        <v>454</v>
      </c>
      <c r="H319">
        <v>71</v>
      </c>
      <c r="I319" s="5">
        <f>_xlfn.XLOOKUP(Sales[[#This Row],[Product Name]],Products[Product Name],Products[Selling Price (CAD)])</f>
        <v>4.99</v>
      </c>
      <c r="J319" s="5">
        <f>PRODUCT(Sales[[#This Row],[Quantity Sold]],Sales[[#This Row],[Unit Selling Price (CAD)]])</f>
        <v>354.29</v>
      </c>
    </row>
    <row r="320" spans="1:10">
      <c r="A320" t="s">
        <v>768</v>
      </c>
      <c r="B320" s="2">
        <v>46065</v>
      </c>
      <c r="C320" t="s">
        <v>36</v>
      </c>
      <c r="D320" t="s">
        <v>37</v>
      </c>
      <c r="E320" t="str">
        <f>_xlfn.XLOOKUP(Sales[[#This Row],[Product Name]],Products[Product Name],Products[Category])</f>
        <v>Burgers</v>
      </c>
      <c r="F320" t="s">
        <v>449</v>
      </c>
      <c r="G320" t="s">
        <v>452</v>
      </c>
      <c r="H320">
        <v>40</v>
      </c>
      <c r="I320" s="5">
        <f>_xlfn.XLOOKUP(Sales[[#This Row],[Product Name]],Products[Product Name],Products[Selling Price (CAD)])</f>
        <v>8.99</v>
      </c>
      <c r="J320" s="5">
        <f>PRODUCT(Sales[[#This Row],[Quantity Sold]],Sales[[#This Row],[Unit Selling Price (CAD)]])</f>
        <v>359.6</v>
      </c>
    </row>
    <row r="321" spans="1:10">
      <c r="A321" t="s">
        <v>769</v>
      </c>
      <c r="B321" s="2">
        <v>46065</v>
      </c>
      <c r="C321" t="s">
        <v>404</v>
      </c>
      <c r="D321" t="s">
        <v>405</v>
      </c>
      <c r="E321" t="str">
        <f>_xlfn.XLOOKUP(Sales[[#This Row],[Product Name]],Products[Product Name],Products[Category])</f>
        <v>Combo Meals</v>
      </c>
      <c r="F321" t="s">
        <v>444</v>
      </c>
      <c r="G321" t="s">
        <v>452</v>
      </c>
      <c r="H321">
        <v>63</v>
      </c>
      <c r="I321" s="5">
        <f>_xlfn.XLOOKUP(Sales[[#This Row],[Product Name]],Products[Product Name],Products[Selling Price (CAD)])</f>
        <v>8.99</v>
      </c>
      <c r="J321" s="5">
        <f>PRODUCT(Sales[[#This Row],[Quantity Sold]],Sales[[#This Row],[Unit Selling Price (CAD)]])</f>
        <v>566.37</v>
      </c>
    </row>
    <row r="322" spans="1:10">
      <c r="A322" t="s">
        <v>770</v>
      </c>
      <c r="B322" s="2">
        <v>46066</v>
      </c>
      <c r="C322" t="s">
        <v>191</v>
      </c>
      <c r="D322" t="s">
        <v>192</v>
      </c>
      <c r="E322" t="str">
        <f>_xlfn.XLOOKUP(Sales[[#This Row],[Product Name]],Products[Product Name],Products[Category])</f>
        <v>Sides</v>
      </c>
      <c r="F322" t="s">
        <v>444</v>
      </c>
      <c r="G322" t="s">
        <v>452</v>
      </c>
      <c r="H322">
        <v>32</v>
      </c>
      <c r="I322" s="5">
        <f>_xlfn.XLOOKUP(Sales[[#This Row],[Product Name]],Products[Product Name],Products[Selling Price (CAD)])</f>
        <v>3.99</v>
      </c>
      <c r="J322" s="5">
        <f>PRODUCT(Sales[[#This Row],[Quantity Sold]],Sales[[#This Row],[Unit Selling Price (CAD)]])</f>
        <v>127.68</v>
      </c>
    </row>
    <row r="323" spans="1:10">
      <c r="A323" t="s">
        <v>771</v>
      </c>
      <c r="B323" s="2">
        <v>46066</v>
      </c>
      <c r="C323" t="s">
        <v>363</v>
      </c>
      <c r="D323" t="s">
        <v>364</v>
      </c>
      <c r="E323" t="str">
        <f>_xlfn.XLOOKUP(Sales[[#This Row],[Product Name]],Products[Product Name],Products[Category])</f>
        <v>Kids Meals</v>
      </c>
      <c r="F323" t="s">
        <v>444</v>
      </c>
      <c r="G323" t="s">
        <v>454</v>
      </c>
      <c r="H323">
        <v>68</v>
      </c>
      <c r="I323" s="5">
        <f>_xlfn.XLOOKUP(Sales[[#This Row],[Product Name]],Products[Product Name],Products[Selling Price (CAD)])</f>
        <v>5.99</v>
      </c>
      <c r="J323" s="5">
        <f>PRODUCT(Sales[[#This Row],[Quantity Sold]],Sales[[#This Row],[Unit Selling Price (CAD)]])</f>
        <v>407.32</v>
      </c>
    </row>
    <row r="324" spans="1:10">
      <c r="A324" t="s">
        <v>772</v>
      </c>
      <c r="B324" s="2">
        <v>46066</v>
      </c>
      <c r="C324" t="s">
        <v>311</v>
      </c>
      <c r="D324" t="s">
        <v>312</v>
      </c>
      <c r="E324" t="str">
        <f>_xlfn.XLOOKUP(Sales[[#This Row],[Product Name]],Products[Product Name],Products[Category])</f>
        <v>Beverages</v>
      </c>
      <c r="F324" t="s">
        <v>449</v>
      </c>
      <c r="G324" t="s">
        <v>450</v>
      </c>
      <c r="H324">
        <v>37</v>
      </c>
      <c r="I324" s="5">
        <f>_xlfn.XLOOKUP(Sales[[#This Row],[Product Name]],Products[Product Name],Products[Selling Price (CAD)])</f>
        <v>3.99</v>
      </c>
      <c r="J324" s="5">
        <f>PRODUCT(Sales[[#This Row],[Quantity Sold]],Sales[[#This Row],[Unit Selling Price (CAD)]])</f>
        <v>147.63</v>
      </c>
    </row>
    <row r="325" spans="1:10">
      <c r="A325" t="s">
        <v>773</v>
      </c>
      <c r="B325" s="2">
        <v>46066</v>
      </c>
      <c r="C325" t="s">
        <v>145</v>
      </c>
      <c r="D325" t="s">
        <v>146</v>
      </c>
      <c r="E325" t="str">
        <f>_xlfn.XLOOKUP(Sales[[#This Row],[Product Name]],Products[Product Name],Products[Category])</f>
        <v>Breakfast</v>
      </c>
      <c r="F325" t="s">
        <v>449</v>
      </c>
      <c r="G325" t="s">
        <v>445</v>
      </c>
      <c r="H325">
        <v>58</v>
      </c>
      <c r="I325" s="5">
        <f>_xlfn.XLOOKUP(Sales[[#This Row],[Product Name]],Products[Product Name],Products[Selling Price (CAD)])</f>
        <v>4.99</v>
      </c>
      <c r="J325" s="5">
        <f>PRODUCT(Sales[[#This Row],[Quantity Sold]],Sales[[#This Row],[Unit Selling Price (CAD)]])</f>
        <v>289.42</v>
      </c>
    </row>
    <row r="326" spans="1:10">
      <c r="A326" t="s">
        <v>774</v>
      </c>
      <c r="B326" s="2">
        <v>46066</v>
      </c>
      <c r="C326" t="s">
        <v>56</v>
      </c>
      <c r="D326" t="s">
        <v>57</v>
      </c>
      <c r="E326" t="str">
        <f>_xlfn.XLOOKUP(Sales[[#This Row],[Product Name]],Products[Product Name],Products[Category])</f>
        <v>Burgers</v>
      </c>
      <c r="F326" t="s">
        <v>444</v>
      </c>
      <c r="G326" t="s">
        <v>450</v>
      </c>
      <c r="H326">
        <v>71</v>
      </c>
      <c r="I326" s="5">
        <f>_xlfn.XLOOKUP(Sales[[#This Row],[Product Name]],Products[Product Name],Products[Selling Price (CAD)])</f>
        <v>6.49</v>
      </c>
      <c r="J326" s="5">
        <f>PRODUCT(Sales[[#This Row],[Quantity Sold]],Sales[[#This Row],[Unit Selling Price (CAD)]])</f>
        <v>460.79</v>
      </c>
    </row>
    <row r="327" spans="1:10">
      <c r="A327" t="s">
        <v>775</v>
      </c>
      <c r="B327" s="2">
        <v>46066</v>
      </c>
      <c r="C327" t="s">
        <v>173</v>
      </c>
      <c r="D327" t="s">
        <v>174</v>
      </c>
      <c r="E327" t="str">
        <f>_xlfn.XLOOKUP(Sales[[#This Row],[Product Name]],Products[Product Name],Products[Category])</f>
        <v>Breakfast</v>
      </c>
      <c r="F327" t="s">
        <v>449</v>
      </c>
      <c r="G327" t="s">
        <v>454</v>
      </c>
      <c r="H327">
        <v>37</v>
      </c>
      <c r="I327" s="5">
        <f>_xlfn.XLOOKUP(Sales[[#This Row],[Product Name]],Products[Product Name],Products[Selling Price (CAD)])</f>
        <v>6.99</v>
      </c>
      <c r="J327" s="5">
        <f>PRODUCT(Sales[[#This Row],[Quantity Sold]],Sales[[#This Row],[Unit Selling Price (CAD)]])</f>
        <v>258.63</v>
      </c>
    </row>
    <row r="328" spans="1:10">
      <c r="A328" t="s">
        <v>776</v>
      </c>
      <c r="B328" s="2">
        <v>46066</v>
      </c>
      <c r="C328" t="s">
        <v>301</v>
      </c>
      <c r="D328" t="s">
        <v>302</v>
      </c>
      <c r="E328" t="str">
        <f>_xlfn.XLOOKUP(Sales[[#This Row],[Product Name]],Products[Product Name],Products[Category])</f>
        <v>Beverages</v>
      </c>
      <c r="F328" t="s">
        <v>444</v>
      </c>
      <c r="G328" t="s">
        <v>445</v>
      </c>
      <c r="H328">
        <v>41</v>
      </c>
      <c r="I328" s="5">
        <f>_xlfn.XLOOKUP(Sales[[#This Row],[Product Name]],Products[Product Name],Products[Selling Price (CAD)])</f>
        <v>1.99</v>
      </c>
      <c r="J328" s="5">
        <f>PRODUCT(Sales[[#This Row],[Quantity Sold]],Sales[[#This Row],[Unit Selling Price (CAD)]])</f>
        <v>81.59</v>
      </c>
    </row>
    <row r="329" spans="1:10">
      <c r="A329" t="s">
        <v>777</v>
      </c>
      <c r="B329" s="2">
        <v>46066</v>
      </c>
      <c r="C329" t="s">
        <v>423</v>
      </c>
      <c r="D329" t="s">
        <v>424</v>
      </c>
      <c r="E329" t="str">
        <f>_xlfn.XLOOKUP(Sales[[#This Row],[Product Name]],Products[Product Name],Products[Category])</f>
        <v>Combo Meals</v>
      </c>
      <c r="F329" t="s">
        <v>447</v>
      </c>
      <c r="G329" t="s">
        <v>445</v>
      </c>
      <c r="H329">
        <v>33</v>
      </c>
      <c r="I329" s="5">
        <f>_xlfn.XLOOKUP(Sales[[#This Row],[Product Name]],Products[Product Name],Products[Selling Price (CAD)])</f>
        <v>12.99</v>
      </c>
      <c r="J329" s="5">
        <f>PRODUCT(Sales[[#This Row],[Quantity Sold]],Sales[[#This Row],[Unit Selling Price (CAD)]])</f>
        <v>428.67</v>
      </c>
    </row>
    <row r="330" spans="1:10">
      <c r="A330" t="s">
        <v>778</v>
      </c>
      <c r="B330" s="2">
        <v>46067</v>
      </c>
      <c r="C330" t="s">
        <v>251</v>
      </c>
      <c r="D330" t="s">
        <v>252</v>
      </c>
      <c r="E330" t="str">
        <f>_xlfn.XLOOKUP(Sales[[#This Row],[Product Name]],Products[Product Name],Products[Category])</f>
        <v>Salads</v>
      </c>
      <c r="F330" t="s">
        <v>447</v>
      </c>
      <c r="G330" t="s">
        <v>450</v>
      </c>
      <c r="H330">
        <v>41</v>
      </c>
      <c r="I330" s="5">
        <f>_xlfn.XLOOKUP(Sales[[#This Row],[Product Name]],Products[Product Name],Products[Selling Price (CAD)])</f>
        <v>7.49</v>
      </c>
      <c r="J330" s="5">
        <f>PRODUCT(Sales[[#This Row],[Quantity Sold]],Sales[[#This Row],[Unit Selling Price (CAD)]])</f>
        <v>307.09000000000003</v>
      </c>
    </row>
    <row r="331" spans="1:10">
      <c r="A331" t="s">
        <v>779</v>
      </c>
      <c r="B331" s="2">
        <v>46067</v>
      </c>
      <c r="C331" t="s">
        <v>70</v>
      </c>
      <c r="D331" t="s">
        <v>71</v>
      </c>
      <c r="E331" t="str">
        <f>_xlfn.XLOOKUP(Sales[[#This Row],[Product Name]],Products[Product Name],Products[Category])</f>
        <v>Burgers</v>
      </c>
      <c r="F331" t="s">
        <v>447</v>
      </c>
      <c r="G331" t="s">
        <v>452</v>
      </c>
      <c r="H331">
        <v>59</v>
      </c>
      <c r="I331" s="5">
        <f>_xlfn.XLOOKUP(Sales[[#This Row],[Product Name]],Products[Product Name],Products[Selling Price (CAD)])</f>
        <v>8.99</v>
      </c>
      <c r="J331" s="5">
        <f>PRODUCT(Sales[[#This Row],[Quantity Sold]],Sales[[#This Row],[Unit Selling Price (CAD)]])</f>
        <v>530.41</v>
      </c>
    </row>
    <row r="332" spans="1:10">
      <c r="A332" t="s">
        <v>780</v>
      </c>
      <c r="B332" s="2">
        <v>46067</v>
      </c>
      <c r="C332" t="s">
        <v>209</v>
      </c>
      <c r="D332" t="s">
        <v>210</v>
      </c>
      <c r="E332" t="str">
        <f>_xlfn.XLOOKUP(Sales[[#This Row],[Product Name]],Products[Product Name],Products[Category])</f>
        <v>Sides</v>
      </c>
      <c r="F332" t="s">
        <v>444</v>
      </c>
      <c r="G332" t="s">
        <v>450</v>
      </c>
      <c r="H332">
        <v>51</v>
      </c>
      <c r="I332" s="5">
        <f>_xlfn.XLOOKUP(Sales[[#This Row],[Product Name]],Products[Product Name],Products[Selling Price (CAD)])</f>
        <v>4.99</v>
      </c>
      <c r="J332" s="5">
        <f>PRODUCT(Sales[[#This Row],[Quantity Sold]],Sales[[#This Row],[Unit Selling Price (CAD)]])</f>
        <v>254.49</v>
      </c>
    </row>
    <row r="333" spans="1:10">
      <c r="A333" t="s">
        <v>781</v>
      </c>
      <c r="B333" s="2">
        <v>46067</v>
      </c>
      <c r="C333" t="s">
        <v>121</v>
      </c>
      <c r="D333" t="s">
        <v>122</v>
      </c>
      <c r="E333" t="str">
        <f>_xlfn.XLOOKUP(Sales[[#This Row],[Product Name]],Products[Product Name],Products[Category])</f>
        <v>Chicken</v>
      </c>
      <c r="F333" t="s">
        <v>449</v>
      </c>
      <c r="G333" t="s">
        <v>450</v>
      </c>
      <c r="H333">
        <v>41</v>
      </c>
      <c r="I333" s="5">
        <f>_xlfn.XLOOKUP(Sales[[#This Row],[Product Name]],Products[Product Name],Products[Selling Price (CAD)])</f>
        <v>11.99</v>
      </c>
      <c r="J333" s="5">
        <f>PRODUCT(Sales[[#This Row],[Quantity Sold]],Sales[[#This Row],[Unit Selling Price (CAD)]])</f>
        <v>491.59000000000003</v>
      </c>
    </row>
    <row r="334" spans="1:10">
      <c r="A334" t="s">
        <v>782</v>
      </c>
      <c r="B334" s="2">
        <v>46067</v>
      </c>
      <c r="C334" t="s">
        <v>78</v>
      </c>
      <c r="D334" t="s">
        <v>79</v>
      </c>
      <c r="E334" t="str">
        <f>_xlfn.XLOOKUP(Sales[[#This Row],[Product Name]],Products[Product Name],Products[Category])</f>
        <v>Burgers</v>
      </c>
      <c r="F334" t="s">
        <v>444</v>
      </c>
      <c r="G334" t="s">
        <v>454</v>
      </c>
      <c r="H334">
        <v>63</v>
      </c>
      <c r="I334" s="5">
        <f>_xlfn.XLOOKUP(Sales[[#This Row],[Product Name]],Products[Product Name],Products[Selling Price (CAD)])</f>
        <v>3.99</v>
      </c>
      <c r="J334" s="5">
        <f>PRODUCT(Sales[[#This Row],[Quantity Sold]],Sales[[#This Row],[Unit Selling Price (CAD)]])</f>
        <v>251.37</v>
      </c>
    </row>
    <row r="335" spans="1:10">
      <c r="A335" t="s">
        <v>783</v>
      </c>
      <c r="B335" s="2">
        <v>46068</v>
      </c>
      <c r="C335" t="s">
        <v>167</v>
      </c>
      <c r="D335" t="s">
        <v>168</v>
      </c>
      <c r="E335" t="str">
        <f>_xlfn.XLOOKUP(Sales[[#This Row],[Product Name]],Products[Product Name],Products[Category])</f>
        <v>Breakfast</v>
      </c>
      <c r="F335" t="s">
        <v>447</v>
      </c>
      <c r="G335" t="s">
        <v>450</v>
      </c>
      <c r="H335">
        <v>44</v>
      </c>
      <c r="I335" s="5">
        <f>_xlfn.XLOOKUP(Sales[[#This Row],[Product Name]],Products[Product Name],Products[Selling Price (CAD)])</f>
        <v>4.99</v>
      </c>
      <c r="J335" s="5">
        <f>PRODUCT(Sales[[#This Row],[Quantity Sold]],Sales[[#This Row],[Unit Selling Price (CAD)]])</f>
        <v>219.56</v>
      </c>
    </row>
    <row r="336" spans="1:10">
      <c r="A336" t="s">
        <v>784</v>
      </c>
      <c r="B336" s="2">
        <v>46068</v>
      </c>
      <c r="C336" t="s">
        <v>271</v>
      </c>
      <c r="D336" t="s">
        <v>272</v>
      </c>
      <c r="E336" t="str">
        <f>_xlfn.XLOOKUP(Sales[[#This Row],[Product Name]],Products[Product Name],Products[Category])</f>
        <v>Beverages</v>
      </c>
      <c r="F336" t="s">
        <v>444</v>
      </c>
      <c r="G336" t="s">
        <v>445</v>
      </c>
      <c r="H336">
        <v>60</v>
      </c>
      <c r="I336" s="5">
        <f>_xlfn.XLOOKUP(Sales[[#This Row],[Product Name]],Products[Product Name],Products[Selling Price (CAD)])</f>
        <v>1.99</v>
      </c>
      <c r="J336" s="5">
        <f>PRODUCT(Sales[[#This Row],[Quantity Sold]],Sales[[#This Row],[Unit Selling Price (CAD)]])</f>
        <v>119.4</v>
      </c>
    </row>
    <row r="337" spans="1:10">
      <c r="A337" t="s">
        <v>785</v>
      </c>
      <c r="B337" s="2">
        <v>46068</v>
      </c>
      <c r="C337" t="s">
        <v>335</v>
      </c>
      <c r="D337" t="s">
        <v>336</v>
      </c>
      <c r="E337" t="str">
        <f>_xlfn.XLOOKUP(Sales[[#This Row],[Product Name]],Products[Product Name],Products[Category])</f>
        <v>Desserts</v>
      </c>
      <c r="F337" t="s">
        <v>449</v>
      </c>
      <c r="G337" t="s">
        <v>450</v>
      </c>
      <c r="H337">
        <v>51</v>
      </c>
      <c r="I337" s="5">
        <f>_xlfn.XLOOKUP(Sales[[#This Row],[Product Name]],Products[Product Name],Products[Selling Price (CAD)])</f>
        <v>1.49</v>
      </c>
      <c r="J337" s="5">
        <f>PRODUCT(Sales[[#This Row],[Quantity Sold]],Sales[[#This Row],[Unit Selling Price (CAD)]])</f>
        <v>75.989999999999995</v>
      </c>
    </row>
    <row r="338" spans="1:10">
      <c r="A338" t="s">
        <v>786</v>
      </c>
      <c r="B338" s="2">
        <v>46068</v>
      </c>
      <c r="C338" t="s">
        <v>119</v>
      </c>
      <c r="D338" t="s">
        <v>120</v>
      </c>
      <c r="E338" t="str">
        <f>_xlfn.XLOOKUP(Sales[[#This Row],[Product Name]],Products[Product Name],Products[Category])</f>
        <v>Chicken</v>
      </c>
      <c r="F338" t="s">
        <v>444</v>
      </c>
      <c r="G338" t="s">
        <v>452</v>
      </c>
      <c r="H338">
        <v>36</v>
      </c>
      <c r="I338" s="5">
        <f>_xlfn.XLOOKUP(Sales[[#This Row],[Product Name]],Products[Product Name],Products[Selling Price (CAD)])</f>
        <v>6.99</v>
      </c>
      <c r="J338" s="5">
        <f>PRODUCT(Sales[[#This Row],[Quantity Sold]],Sales[[#This Row],[Unit Selling Price (CAD)]])</f>
        <v>251.64000000000001</v>
      </c>
    </row>
    <row r="339" spans="1:10">
      <c r="A339" t="s">
        <v>787</v>
      </c>
      <c r="B339" s="2">
        <v>46068</v>
      </c>
      <c r="C339" t="s">
        <v>421</v>
      </c>
      <c r="D339" t="s">
        <v>422</v>
      </c>
      <c r="E339" t="str">
        <f>_xlfn.XLOOKUP(Sales[[#This Row],[Product Name]],Products[Product Name],Products[Category])</f>
        <v>Combo Meals</v>
      </c>
      <c r="F339" t="s">
        <v>449</v>
      </c>
      <c r="G339" t="s">
        <v>454</v>
      </c>
      <c r="H339">
        <v>43</v>
      </c>
      <c r="I339" s="5">
        <f>_xlfn.XLOOKUP(Sales[[#This Row],[Product Name]],Products[Product Name],Products[Selling Price (CAD)])</f>
        <v>8.99</v>
      </c>
      <c r="J339" s="5">
        <f>PRODUCT(Sales[[#This Row],[Quantity Sold]],Sales[[#This Row],[Unit Selling Price (CAD)]])</f>
        <v>386.57</v>
      </c>
    </row>
    <row r="340" spans="1:10">
      <c r="A340" t="s">
        <v>788</v>
      </c>
      <c r="B340" s="2">
        <v>46068</v>
      </c>
      <c r="C340" t="s">
        <v>253</v>
      </c>
      <c r="D340" t="s">
        <v>254</v>
      </c>
      <c r="E340" t="str">
        <f>_xlfn.XLOOKUP(Sales[[#This Row],[Product Name]],Products[Product Name],Products[Category])</f>
        <v>Beverages</v>
      </c>
      <c r="F340" t="s">
        <v>447</v>
      </c>
      <c r="G340" t="s">
        <v>450</v>
      </c>
      <c r="H340">
        <v>55</v>
      </c>
      <c r="I340" s="5">
        <f>_xlfn.XLOOKUP(Sales[[#This Row],[Product Name]],Products[Product Name],Products[Selling Price (CAD)])</f>
        <v>1.99</v>
      </c>
      <c r="J340" s="5">
        <f>PRODUCT(Sales[[#This Row],[Quantity Sold]],Sales[[#This Row],[Unit Selling Price (CAD)]])</f>
        <v>109.45</v>
      </c>
    </row>
    <row r="341" spans="1:10">
      <c r="A341" t="s">
        <v>789</v>
      </c>
      <c r="B341" s="2">
        <v>46068</v>
      </c>
      <c r="C341" t="s">
        <v>32</v>
      </c>
      <c r="D341" t="s">
        <v>33</v>
      </c>
      <c r="E341" t="str">
        <f>_xlfn.XLOOKUP(Sales[[#This Row],[Product Name]],Products[Product Name],Products[Category])</f>
        <v>Burgers</v>
      </c>
      <c r="F341" t="s">
        <v>444</v>
      </c>
      <c r="G341" t="s">
        <v>454</v>
      </c>
      <c r="H341">
        <v>49</v>
      </c>
      <c r="I341" s="5">
        <f>_xlfn.XLOOKUP(Sales[[#This Row],[Product Name]],Products[Product Name],Products[Selling Price (CAD)])</f>
        <v>9.99</v>
      </c>
      <c r="J341" s="5">
        <f>PRODUCT(Sales[[#This Row],[Quantity Sold]],Sales[[#This Row],[Unit Selling Price (CAD)]])</f>
        <v>489.51</v>
      </c>
    </row>
    <row r="342" spans="1:10">
      <c r="A342" t="s">
        <v>790</v>
      </c>
      <c r="B342" s="2">
        <v>46068</v>
      </c>
      <c r="C342" t="s">
        <v>273</v>
      </c>
      <c r="D342" t="s">
        <v>274</v>
      </c>
      <c r="E342" t="str">
        <f>_xlfn.XLOOKUP(Sales[[#This Row],[Product Name]],Products[Product Name],Products[Category])</f>
        <v>Beverages</v>
      </c>
      <c r="F342" t="s">
        <v>449</v>
      </c>
      <c r="G342" t="s">
        <v>454</v>
      </c>
      <c r="H342">
        <v>67</v>
      </c>
      <c r="I342" s="5">
        <f>_xlfn.XLOOKUP(Sales[[#This Row],[Product Name]],Products[Product Name],Products[Selling Price (CAD)])</f>
        <v>2.99</v>
      </c>
      <c r="J342" s="5">
        <f>PRODUCT(Sales[[#This Row],[Quantity Sold]],Sales[[#This Row],[Unit Selling Price (CAD)]])</f>
        <v>200.33</v>
      </c>
    </row>
    <row r="343" spans="1:10">
      <c r="A343" t="s">
        <v>791</v>
      </c>
      <c r="B343" s="2">
        <v>46068</v>
      </c>
      <c r="C343" t="s">
        <v>121</v>
      </c>
      <c r="D343" t="s">
        <v>122</v>
      </c>
      <c r="E343" t="str">
        <f>_xlfn.XLOOKUP(Sales[[#This Row],[Product Name]],Products[Product Name],Products[Category])</f>
        <v>Chicken</v>
      </c>
      <c r="F343" t="s">
        <v>444</v>
      </c>
      <c r="G343" t="s">
        <v>454</v>
      </c>
      <c r="H343">
        <v>70</v>
      </c>
      <c r="I343" s="5">
        <f>_xlfn.XLOOKUP(Sales[[#This Row],[Product Name]],Products[Product Name],Products[Selling Price (CAD)])</f>
        <v>11.99</v>
      </c>
      <c r="J343" s="5">
        <f>PRODUCT(Sales[[#This Row],[Quantity Sold]],Sales[[#This Row],[Unit Selling Price (CAD)]])</f>
        <v>839.30000000000007</v>
      </c>
    </row>
    <row r="344" spans="1:10">
      <c r="A344" t="s">
        <v>792</v>
      </c>
      <c r="B344" s="2">
        <v>46068</v>
      </c>
      <c r="C344" t="s">
        <v>199</v>
      </c>
      <c r="D344" t="s">
        <v>200</v>
      </c>
      <c r="E344" t="str">
        <f>_xlfn.XLOOKUP(Sales[[#This Row],[Product Name]],Products[Product Name],Products[Category])</f>
        <v>Sides</v>
      </c>
      <c r="F344" t="s">
        <v>447</v>
      </c>
      <c r="G344" t="s">
        <v>450</v>
      </c>
      <c r="H344">
        <v>80</v>
      </c>
      <c r="I344" s="5">
        <f>_xlfn.XLOOKUP(Sales[[#This Row],[Product Name]],Products[Product Name],Products[Selling Price (CAD)])</f>
        <v>4.99</v>
      </c>
      <c r="J344" s="5">
        <f>PRODUCT(Sales[[#This Row],[Quantity Sold]],Sales[[#This Row],[Unit Selling Price (CAD)]])</f>
        <v>399.20000000000005</v>
      </c>
    </row>
    <row r="345" spans="1:10">
      <c r="A345" t="s">
        <v>793</v>
      </c>
      <c r="B345" s="2">
        <v>46068</v>
      </c>
      <c r="C345" t="s">
        <v>233</v>
      </c>
      <c r="D345" t="s">
        <v>234</v>
      </c>
      <c r="E345" t="str">
        <f>_xlfn.XLOOKUP(Sales[[#This Row],[Product Name]],Products[Product Name],Products[Category])</f>
        <v>Salads</v>
      </c>
      <c r="F345" t="s">
        <v>444</v>
      </c>
      <c r="G345" t="s">
        <v>452</v>
      </c>
      <c r="H345">
        <v>51</v>
      </c>
      <c r="I345" s="5">
        <f>_xlfn.XLOOKUP(Sales[[#This Row],[Product Name]],Products[Product Name],Products[Selling Price (CAD)])</f>
        <v>9.49</v>
      </c>
      <c r="J345" s="5">
        <f>PRODUCT(Sales[[#This Row],[Quantity Sold]],Sales[[#This Row],[Unit Selling Price (CAD)]])</f>
        <v>483.99</v>
      </c>
    </row>
    <row r="346" spans="1:10">
      <c r="A346" t="s">
        <v>794</v>
      </c>
      <c r="B346" s="2">
        <v>46068</v>
      </c>
      <c r="C346" t="s">
        <v>323</v>
      </c>
      <c r="D346" t="s">
        <v>324</v>
      </c>
      <c r="E346" t="str">
        <f>_xlfn.XLOOKUP(Sales[[#This Row],[Product Name]],Products[Product Name],Products[Category])</f>
        <v>Desserts</v>
      </c>
      <c r="F346" t="s">
        <v>447</v>
      </c>
      <c r="G346" t="s">
        <v>454</v>
      </c>
      <c r="H346">
        <v>57</v>
      </c>
      <c r="I346" s="5">
        <f>_xlfn.XLOOKUP(Sales[[#This Row],[Product Name]],Products[Product Name],Products[Selling Price (CAD)])</f>
        <v>2.99</v>
      </c>
      <c r="J346" s="5">
        <f>PRODUCT(Sales[[#This Row],[Quantity Sold]],Sales[[#This Row],[Unit Selling Price (CAD)]])</f>
        <v>170.43</v>
      </c>
    </row>
    <row r="347" spans="1:10">
      <c r="A347" t="s">
        <v>795</v>
      </c>
      <c r="B347" s="2">
        <v>46069</v>
      </c>
      <c r="C347" t="s">
        <v>12</v>
      </c>
      <c r="D347" t="s">
        <v>13</v>
      </c>
      <c r="E347" t="str">
        <f>_xlfn.XLOOKUP(Sales[[#This Row],[Product Name]],Products[Product Name],Products[Category])</f>
        <v>Burgers</v>
      </c>
      <c r="F347" t="s">
        <v>444</v>
      </c>
      <c r="G347" t="s">
        <v>445</v>
      </c>
      <c r="H347">
        <v>59</v>
      </c>
      <c r="I347" s="5">
        <f>_xlfn.XLOOKUP(Sales[[#This Row],[Product Name]],Products[Product Name],Products[Selling Price (CAD)])</f>
        <v>5.99</v>
      </c>
      <c r="J347" s="5">
        <f>PRODUCT(Sales[[#This Row],[Quantity Sold]],Sales[[#This Row],[Unit Selling Price (CAD)]])</f>
        <v>353.41</v>
      </c>
    </row>
    <row r="348" spans="1:10">
      <c r="A348" t="s">
        <v>796</v>
      </c>
      <c r="B348" s="2">
        <v>46069</v>
      </c>
      <c r="C348" t="s">
        <v>70</v>
      </c>
      <c r="D348" t="s">
        <v>71</v>
      </c>
      <c r="E348" t="str">
        <f>_xlfn.XLOOKUP(Sales[[#This Row],[Product Name]],Products[Product Name],Products[Category])</f>
        <v>Burgers</v>
      </c>
      <c r="F348" t="s">
        <v>444</v>
      </c>
      <c r="G348" t="s">
        <v>452</v>
      </c>
      <c r="H348">
        <v>43</v>
      </c>
      <c r="I348" s="5">
        <f>_xlfn.XLOOKUP(Sales[[#This Row],[Product Name]],Products[Product Name],Products[Selling Price (CAD)])</f>
        <v>8.99</v>
      </c>
      <c r="J348" s="5">
        <f>PRODUCT(Sales[[#This Row],[Quantity Sold]],Sales[[#This Row],[Unit Selling Price (CAD)]])</f>
        <v>386.57</v>
      </c>
    </row>
    <row r="349" spans="1:10">
      <c r="A349" t="s">
        <v>797</v>
      </c>
      <c r="B349" s="2">
        <v>46070</v>
      </c>
      <c r="C349" t="s">
        <v>297</v>
      </c>
      <c r="D349" t="s">
        <v>298</v>
      </c>
      <c r="E349" t="str">
        <f>_xlfn.XLOOKUP(Sales[[#This Row],[Product Name]],Products[Product Name],Products[Category])</f>
        <v>Beverages</v>
      </c>
      <c r="F349" t="s">
        <v>449</v>
      </c>
      <c r="G349" t="s">
        <v>452</v>
      </c>
      <c r="H349">
        <v>45</v>
      </c>
      <c r="I349" s="5">
        <f>_xlfn.XLOOKUP(Sales[[#This Row],[Product Name]],Products[Product Name],Products[Selling Price (CAD)])</f>
        <v>2.99</v>
      </c>
      <c r="J349" s="5">
        <f>PRODUCT(Sales[[#This Row],[Quantity Sold]],Sales[[#This Row],[Unit Selling Price (CAD)]])</f>
        <v>134.55000000000001</v>
      </c>
    </row>
    <row r="350" spans="1:10">
      <c r="A350" t="s">
        <v>798</v>
      </c>
      <c r="B350" s="2">
        <v>46070</v>
      </c>
      <c r="C350" t="s">
        <v>368</v>
      </c>
      <c r="D350" t="s">
        <v>369</v>
      </c>
      <c r="E350" t="str">
        <f>_xlfn.XLOOKUP(Sales[[#This Row],[Product Name]],Products[Product Name],Products[Category])</f>
        <v>Kids Meals</v>
      </c>
      <c r="F350" t="s">
        <v>447</v>
      </c>
      <c r="G350" t="s">
        <v>445</v>
      </c>
      <c r="H350">
        <v>35</v>
      </c>
      <c r="I350" s="5">
        <f>_xlfn.XLOOKUP(Sales[[#This Row],[Product Name]],Products[Product Name],Products[Selling Price (CAD)])</f>
        <v>5.99</v>
      </c>
      <c r="J350" s="5">
        <f>PRODUCT(Sales[[#This Row],[Quantity Sold]],Sales[[#This Row],[Unit Selling Price (CAD)]])</f>
        <v>209.65</v>
      </c>
    </row>
    <row r="351" spans="1:10">
      <c r="A351" t="s">
        <v>799</v>
      </c>
      <c r="B351" s="2">
        <v>46070</v>
      </c>
      <c r="C351" t="s">
        <v>267</v>
      </c>
      <c r="D351" t="s">
        <v>268</v>
      </c>
      <c r="E351" t="str">
        <f>_xlfn.XLOOKUP(Sales[[#This Row],[Product Name]],Products[Product Name],Products[Category])</f>
        <v>Beverages</v>
      </c>
      <c r="F351" t="s">
        <v>444</v>
      </c>
      <c r="G351" t="s">
        <v>445</v>
      </c>
      <c r="H351">
        <v>73</v>
      </c>
      <c r="I351" s="5">
        <f>_xlfn.XLOOKUP(Sales[[#This Row],[Product Name]],Products[Product Name],Products[Selling Price (CAD)])</f>
        <v>2.99</v>
      </c>
      <c r="J351" s="5">
        <f>PRODUCT(Sales[[#This Row],[Quantity Sold]],Sales[[#This Row],[Unit Selling Price (CAD)]])</f>
        <v>218.27</v>
      </c>
    </row>
    <row r="352" spans="1:10">
      <c r="A352" t="s">
        <v>800</v>
      </c>
      <c r="B352" s="2">
        <v>46070</v>
      </c>
      <c r="C352" t="s">
        <v>185</v>
      </c>
      <c r="D352" t="s">
        <v>186</v>
      </c>
      <c r="E352" t="str">
        <f>_xlfn.XLOOKUP(Sales[[#This Row],[Product Name]],Products[Product Name],Products[Category])</f>
        <v>Sides</v>
      </c>
      <c r="F352" t="s">
        <v>449</v>
      </c>
      <c r="G352" t="s">
        <v>450</v>
      </c>
      <c r="H352">
        <v>56</v>
      </c>
      <c r="I352" s="5">
        <f>_xlfn.XLOOKUP(Sales[[#This Row],[Product Name]],Products[Product Name],Products[Selling Price (CAD)])</f>
        <v>3.49</v>
      </c>
      <c r="J352" s="5">
        <f>PRODUCT(Sales[[#This Row],[Quantity Sold]],Sales[[#This Row],[Unit Selling Price (CAD)]])</f>
        <v>195.44</v>
      </c>
    </row>
    <row r="353" spans="1:10">
      <c r="A353" t="s">
        <v>801</v>
      </c>
      <c r="B353" s="2">
        <v>46070</v>
      </c>
      <c r="C353" t="s">
        <v>201</v>
      </c>
      <c r="D353" t="s">
        <v>202</v>
      </c>
      <c r="E353" t="str">
        <f>_xlfn.XLOOKUP(Sales[[#This Row],[Product Name]],Products[Product Name],Products[Category])</f>
        <v>Sides</v>
      </c>
      <c r="F353" t="s">
        <v>449</v>
      </c>
      <c r="G353" t="s">
        <v>454</v>
      </c>
      <c r="H353">
        <v>70</v>
      </c>
      <c r="I353" s="5">
        <f>_xlfn.XLOOKUP(Sales[[#This Row],[Product Name]],Products[Product Name],Products[Selling Price (CAD)])</f>
        <v>3.99</v>
      </c>
      <c r="J353" s="5">
        <f>PRODUCT(Sales[[#This Row],[Quantity Sold]],Sales[[#This Row],[Unit Selling Price (CAD)]])</f>
        <v>279.3</v>
      </c>
    </row>
    <row r="354" spans="1:10">
      <c r="A354" t="s">
        <v>802</v>
      </c>
      <c r="B354" s="2">
        <v>46070</v>
      </c>
      <c r="C354" t="s">
        <v>197</v>
      </c>
      <c r="D354" t="s">
        <v>198</v>
      </c>
      <c r="E354" t="str">
        <f>_xlfn.XLOOKUP(Sales[[#This Row],[Product Name]],Products[Product Name],Products[Category])</f>
        <v>Sides</v>
      </c>
      <c r="F354" t="s">
        <v>444</v>
      </c>
      <c r="G354" t="s">
        <v>454</v>
      </c>
      <c r="H354">
        <v>64</v>
      </c>
      <c r="I354" s="5">
        <f>_xlfn.XLOOKUP(Sales[[#This Row],[Product Name]],Products[Product Name],Products[Selling Price (CAD)])</f>
        <v>4.49</v>
      </c>
      <c r="J354" s="5">
        <f>PRODUCT(Sales[[#This Row],[Quantity Sold]],Sales[[#This Row],[Unit Selling Price (CAD)]])</f>
        <v>287.36</v>
      </c>
    </row>
    <row r="355" spans="1:10">
      <c r="A355" t="s">
        <v>803</v>
      </c>
      <c r="B355" s="2">
        <v>46070</v>
      </c>
      <c r="C355" t="s">
        <v>368</v>
      </c>
      <c r="D355" t="s">
        <v>369</v>
      </c>
      <c r="E355" t="str">
        <f>_xlfn.XLOOKUP(Sales[[#This Row],[Product Name]],Products[Product Name],Products[Category])</f>
        <v>Kids Meals</v>
      </c>
      <c r="F355" t="s">
        <v>444</v>
      </c>
      <c r="G355" t="s">
        <v>450</v>
      </c>
      <c r="H355">
        <v>39</v>
      </c>
      <c r="I355" s="5">
        <f>_xlfn.XLOOKUP(Sales[[#This Row],[Product Name]],Products[Product Name],Products[Selling Price (CAD)])</f>
        <v>5.99</v>
      </c>
      <c r="J355" s="5">
        <f>PRODUCT(Sales[[#This Row],[Quantity Sold]],Sales[[#This Row],[Unit Selling Price (CAD)]])</f>
        <v>233.61</v>
      </c>
    </row>
    <row r="356" spans="1:10">
      <c r="A356" t="s">
        <v>804</v>
      </c>
      <c r="B356" s="2">
        <v>46071</v>
      </c>
      <c r="C356" t="s">
        <v>309</v>
      </c>
      <c r="D356" t="s">
        <v>310</v>
      </c>
      <c r="E356" t="str">
        <f>_xlfn.XLOOKUP(Sales[[#This Row],[Product Name]],Products[Product Name],Products[Category])</f>
        <v>Beverages</v>
      </c>
      <c r="F356" t="s">
        <v>447</v>
      </c>
      <c r="G356" t="s">
        <v>452</v>
      </c>
      <c r="H356">
        <v>58</v>
      </c>
      <c r="I356" s="5">
        <f>_xlfn.XLOOKUP(Sales[[#This Row],[Product Name]],Products[Product Name],Products[Selling Price (CAD)])</f>
        <v>2.99</v>
      </c>
      <c r="J356" s="5">
        <f>PRODUCT(Sales[[#This Row],[Quantity Sold]],Sales[[#This Row],[Unit Selling Price (CAD)]])</f>
        <v>173.42000000000002</v>
      </c>
    </row>
    <row r="357" spans="1:10">
      <c r="A357" t="s">
        <v>805</v>
      </c>
      <c r="B357" s="2">
        <v>46071</v>
      </c>
      <c r="C357" t="s">
        <v>271</v>
      </c>
      <c r="D357" t="s">
        <v>272</v>
      </c>
      <c r="E357" t="str">
        <f>_xlfn.XLOOKUP(Sales[[#This Row],[Product Name]],Products[Product Name],Products[Category])</f>
        <v>Beverages</v>
      </c>
      <c r="F357" t="s">
        <v>447</v>
      </c>
      <c r="G357" t="s">
        <v>450</v>
      </c>
      <c r="H357">
        <v>80</v>
      </c>
      <c r="I357" s="5">
        <f>_xlfn.XLOOKUP(Sales[[#This Row],[Product Name]],Products[Product Name],Products[Selling Price (CAD)])</f>
        <v>1.99</v>
      </c>
      <c r="J357" s="5">
        <f>PRODUCT(Sales[[#This Row],[Quantity Sold]],Sales[[#This Row],[Unit Selling Price (CAD)]])</f>
        <v>159.19999999999999</v>
      </c>
    </row>
    <row r="358" spans="1:10">
      <c r="A358" t="s">
        <v>806</v>
      </c>
      <c r="B358" s="2">
        <v>46071</v>
      </c>
      <c r="C358" t="s">
        <v>295</v>
      </c>
      <c r="D358" t="s">
        <v>296</v>
      </c>
      <c r="E358" t="str">
        <f>_xlfn.XLOOKUP(Sales[[#This Row],[Product Name]],Products[Product Name],Products[Category])</f>
        <v>Beverages</v>
      </c>
      <c r="F358" t="s">
        <v>444</v>
      </c>
      <c r="G358" t="s">
        <v>452</v>
      </c>
      <c r="H358">
        <v>32</v>
      </c>
      <c r="I358" s="5">
        <f>_xlfn.XLOOKUP(Sales[[#This Row],[Product Name]],Products[Product Name],Products[Selling Price (CAD)])</f>
        <v>2.99</v>
      </c>
      <c r="J358" s="5">
        <f>PRODUCT(Sales[[#This Row],[Quantity Sold]],Sales[[#This Row],[Unit Selling Price (CAD)]])</f>
        <v>95.68</v>
      </c>
    </row>
    <row r="359" spans="1:10">
      <c r="A359" t="s">
        <v>807</v>
      </c>
      <c r="B359" s="2">
        <v>46071</v>
      </c>
      <c r="C359" t="s">
        <v>97</v>
      </c>
      <c r="D359" t="s">
        <v>98</v>
      </c>
      <c r="E359" t="str">
        <f>_xlfn.XLOOKUP(Sales[[#This Row],[Product Name]],Products[Product Name],Products[Category])</f>
        <v>Chicken</v>
      </c>
      <c r="F359" t="s">
        <v>447</v>
      </c>
      <c r="G359" t="s">
        <v>454</v>
      </c>
      <c r="H359">
        <v>33</v>
      </c>
      <c r="I359" s="5">
        <f>_xlfn.XLOOKUP(Sales[[#This Row],[Product Name]],Products[Product Name],Products[Selling Price (CAD)])</f>
        <v>6.99</v>
      </c>
      <c r="J359" s="5">
        <f>PRODUCT(Sales[[#This Row],[Quantity Sold]],Sales[[#This Row],[Unit Selling Price (CAD)]])</f>
        <v>230.67000000000002</v>
      </c>
    </row>
    <row r="360" spans="1:10">
      <c r="A360" t="s">
        <v>808</v>
      </c>
      <c r="B360" s="2">
        <v>46072</v>
      </c>
      <c r="C360" t="s">
        <v>125</v>
      </c>
      <c r="D360" t="s">
        <v>126</v>
      </c>
      <c r="E360" t="str">
        <f>_xlfn.XLOOKUP(Sales[[#This Row],[Product Name]],Products[Product Name],Products[Category])</f>
        <v>Chicken</v>
      </c>
      <c r="F360" t="s">
        <v>449</v>
      </c>
      <c r="G360" t="s">
        <v>450</v>
      </c>
      <c r="H360">
        <v>52</v>
      </c>
      <c r="I360" s="5">
        <f>_xlfn.XLOOKUP(Sales[[#This Row],[Product Name]],Products[Product Name],Products[Selling Price (CAD)])</f>
        <v>4.99</v>
      </c>
      <c r="J360" s="5">
        <f>PRODUCT(Sales[[#This Row],[Quantity Sold]],Sales[[#This Row],[Unit Selling Price (CAD)]])</f>
        <v>259.48</v>
      </c>
    </row>
    <row r="361" spans="1:10">
      <c r="A361" t="s">
        <v>809</v>
      </c>
      <c r="B361" s="2">
        <v>46072</v>
      </c>
      <c r="C361" t="s">
        <v>394</v>
      </c>
      <c r="D361" t="s">
        <v>395</v>
      </c>
      <c r="E361" t="str">
        <f>_xlfn.XLOOKUP(Sales[[#This Row],[Product Name]],Products[Product Name],Products[Category])</f>
        <v>Sauces &amp; Add-ons</v>
      </c>
      <c r="F361" t="s">
        <v>449</v>
      </c>
      <c r="G361" t="s">
        <v>445</v>
      </c>
      <c r="H361">
        <v>61</v>
      </c>
      <c r="I361" s="5">
        <f>_xlfn.XLOOKUP(Sales[[#This Row],[Product Name]],Products[Product Name],Products[Selling Price (CAD)])</f>
        <v>0.5</v>
      </c>
      <c r="J361" s="5">
        <f>PRODUCT(Sales[[#This Row],[Quantity Sold]],Sales[[#This Row],[Unit Selling Price (CAD)]])</f>
        <v>30.5</v>
      </c>
    </row>
    <row r="362" spans="1:10">
      <c r="A362" t="s">
        <v>810</v>
      </c>
      <c r="B362" s="2">
        <v>46072</v>
      </c>
      <c r="C362" t="s">
        <v>315</v>
      </c>
      <c r="D362" t="s">
        <v>316</v>
      </c>
      <c r="E362" t="str">
        <f>_xlfn.XLOOKUP(Sales[[#This Row],[Product Name]],Products[Product Name],Products[Category])</f>
        <v>Beverages</v>
      </c>
      <c r="F362" t="s">
        <v>444</v>
      </c>
      <c r="G362" t="s">
        <v>450</v>
      </c>
      <c r="H362">
        <v>72</v>
      </c>
      <c r="I362" s="5">
        <f>_xlfn.XLOOKUP(Sales[[#This Row],[Product Name]],Products[Product Name],Products[Selling Price (CAD)])</f>
        <v>3.99</v>
      </c>
      <c r="J362" s="5">
        <f>PRODUCT(Sales[[#This Row],[Quantity Sold]],Sales[[#This Row],[Unit Selling Price (CAD)]])</f>
        <v>287.28000000000003</v>
      </c>
    </row>
    <row r="363" spans="1:10">
      <c r="A363" t="s">
        <v>811</v>
      </c>
      <c r="B363" s="2">
        <v>46072</v>
      </c>
      <c r="C363" t="s">
        <v>349</v>
      </c>
      <c r="D363" t="s">
        <v>350</v>
      </c>
      <c r="E363" t="str">
        <f>_xlfn.XLOOKUP(Sales[[#This Row],[Product Name]],Products[Product Name],Products[Category])</f>
        <v>Desserts</v>
      </c>
      <c r="F363" t="s">
        <v>449</v>
      </c>
      <c r="G363" t="s">
        <v>450</v>
      </c>
      <c r="H363">
        <v>62</v>
      </c>
      <c r="I363" s="5">
        <f>_xlfn.XLOOKUP(Sales[[#This Row],[Product Name]],Products[Product Name],Products[Selling Price (CAD)])</f>
        <v>4.99</v>
      </c>
      <c r="J363" s="5">
        <f>PRODUCT(Sales[[#This Row],[Quantity Sold]],Sales[[#This Row],[Unit Selling Price (CAD)]])</f>
        <v>309.38</v>
      </c>
    </row>
    <row r="364" spans="1:10">
      <c r="A364" t="s">
        <v>812</v>
      </c>
      <c r="B364" s="2">
        <v>46072</v>
      </c>
      <c r="C364" t="s">
        <v>279</v>
      </c>
      <c r="D364" t="s">
        <v>280</v>
      </c>
      <c r="E364" t="str">
        <f>_xlfn.XLOOKUP(Sales[[#This Row],[Product Name]],Products[Product Name],Products[Category])</f>
        <v>Beverages</v>
      </c>
      <c r="F364" t="s">
        <v>449</v>
      </c>
      <c r="G364" t="s">
        <v>450</v>
      </c>
      <c r="H364">
        <v>73</v>
      </c>
      <c r="I364" s="5">
        <f>_xlfn.XLOOKUP(Sales[[#This Row],[Product Name]],Products[Product Name],Products[Selling Price (CAD)])</f>
        <v>2.99</v>
      </c>
      <c r="J364" s="5">
        <f>PRODUCT(Sales[[#This Row],[Quantity Sold]],Sales[[#This Row],[Unit Selling Price (CAD)]])</f>
        <v>218.27</v>
      </c>
    </row>
    <row r="365" spans="1:10">
      <c r="A365" t="s">
        <v>813</v>
      </c>
      <c r="B365" s="2">
        <v>46072</v>
      </c>
      <c r="C365" t="s">
        <v>25</v>
      </c>
      <c r="D365" t="s">
        <v>26</v>
      </c>
      <c r="E365" t="str">
        <f>_xlfn.XLOOKUP(Sales[[#This Row],[Product Name]],Products[Product Name],Products[Category])</f>
        <v>Burgers</v>
      </c>
      <c r="F365" t="s">
        <v>447</v>
      </c>
      <c r="G365" t="s">
        <v>454</v>
      </c>
      <c r="H365">
        <v>74</v>
      </c>
      <c r="I365" s="5">
        <f>_xlfn.XLOOKUP(Sales[[#This Row],[Product Name]],Products[Product Name],Products[Selling Price (CAD)])</f>
        <v>5.99</v>
      </c>
      <c r="J365" s="5">
        <f>PRODUCT(Sales[[#This Row],[Quantity Sold]],Sales[[#This Row],[Unit Selling Price (CAD)]])</f>
        <v>443.26</v>
      </c>
    </row>
    <row r="366" spans="1:10">
      <c r="A366" t="s">
        <v>814</v>
      </c>
      <c r="B366" s="2">
        <v>46072</v>
      </c>
      <c r="C366" t="s">
        <v>287</v>
      </c>
      <c r="D366" t="s">
        <v>288</v>
      </c>
      <c r="E366" t="str">
        <f>_xlfn.XLOOKUP(Sales[[#This Row],[Product Name]],Products[Product Name],Products[Category])</f>
        <v>Beverages</v>
      </c>
      <c r="F366" t="s">
        <v>449</v>
      </c>
      <c r="G366" t="s">
        <v>450</v>
      </c>
      <c r="H366">
        <v>48</v>
      </c>
      <c r="I366" s="5">
        <f>_xlfn.XLOOKUP(Sales[[#This Row],[Product Name]],Products[Product Name],Products[Selling Price (CAD)])</f>
        <v>3.99</v>
      </c>
      <c r="J366" s="5">
        <f>PRODUCT(Sales[[#This Row],[Quantity Sold]],Sales[[#This Row],[Unit Selling Price (CAD)]])</f>
        <v>191.52</v>
      </c>
    </row>
    <row r="367" spans="1:10">
      <c r="A367" t="s">
        <v>815</v>
      </c>
      <c r="B367" s="2">
        <v>46072</v>
      </c>
      <c r="C367" t="s">
        <v>153</v>
      </c>
      <c r="D367" t="s">
        <v>154</v>
      </c>
      <c r="E367" t="str">
        <f>_xlfn.XLOOKUP(Sales[[#This Row],[Product Name]],Products[Product Name],Products[Category])</f>
        <v>Breakfast</v>
      </c>
      <c r="F367" t="s">
        <v>449</v>
      </c>
      <c r="G367" t="s">
        <v>452</v>
      </c>
      <c r="H367">
        <v>52</v>
      </c>
      <c r="I367" s="5">
        <f>_xlfn.XLOOKUP(Sales[[#This Row],[Product Name]],Products[Product Name],Products[Selling Price (CAD)])</f>
        <v>4.99</v>
      </c>
      <c r="J367" s="5">
        <f>PRODUCT(Sales[[#This Row],[Quantity Sold]],Sales[[#This Row],[Unit Selling Price (CAD)]])</f>
        <v>259.48</v>
      </c>
    </row>
    <row r="368" spans="1:10">
      <c r="A368" t="s">
        <v>816</v>
      </c>
      <c r="B368" s="2">
        <v>46072</v>
      </c>
      <c r="C368" t="s">
        <v>321</v>
      </c>
      <c r="D368" t="s">
        <v>322</v>
      </c>
      <c r="E368" t="str">
        <f>_xlfn.XLOOKUP(Sales[[#This Row],[Product Name]],Products[Product Name],Products[Category])</f>
        <v>Beverages</v>
      </c>
      <c r="F368" t="s">
        <v>444</v>
      </c>
      <c r="G368" t="s">
        <v>450</v>
      </c>
      <c r="H368">
        <v>33</v>
      </c>
      <c r="I368" s="5">
        <f>_xlfn.XLOOKUP(Sales[[#This Row],[Product Name]],Products[Product Name],Products[Selling Price (CAD)])</f>
        <v>2.4900000000000002</v>
      </c>
      <c r="J368" s="5">
        <f>PRODUCT(Sales[[#This Row],[Quantity Sold]],Sales[[#This Row],[Unit Selling Price (CAD)]])</f>
        <v>82.17</v>
      </c>
    </row>
    <row r="369" spans="1:10">
      <c r="A369" t="s">
        <v>817</v>
      </c>
      <c r="B369" s="2">
        <v>46073</v>
      </c>
      <c r="C369" t="s">
        <v>413</v>
      </c>
      <c r="D369" t="s">
        <v>414</v>
      </c>
      <c r="E369" t="str">
        <f>_xlfn.XLOOKUP(Sales[[#This Row],[Product Name]],Products[Product Name],Products[Category])</f>
        <v>Combo Meals</v>
      </c>
      <c r="F369" t="s">
        <v>447</v>
      </c>
      <c r="G369" t="s">
        <v>450</v>
      </c>
      <c r="H369">
        <v>75</v>
      </c>
      <c r="I369" s="5">
        <f>_xlfn.XLOOKUP(Sales[[#This Row],[Product Name]],Products[Product Name],Products[Selling Price (CAD)])</f>
        <v>10.99</v>
      </c>
      <c r="J369" s="5">
        <f>PRODUCT(Sales[[#This Row],[Quantity Sold]],Sales[[#This Row],[Unit Selling Price (CAD)]])</f>
        <v>824.25</v>
      </c>
    </row>
    <row r="370" spans="1:10">
      <c r="A370" t="s">
        <v>818</v>
      </c>
      <c r="B370" s="2">
        <v>46073</v>
      </c>
      <c r="C370" t="s">
        <v>113</v>
      </c>
      <c r="D370" t="s">
        <v>114</v>
      </c>
      <c r="E370" t="str">
        <f>_xlfn.XLOOKUP(Sales[[#This Row],[Product Name]],Products[Product Name],Products[Category])</f>
        <v>Chicken</v>
      </c>
      <c r="F370" t="s">
        <v>444</v>
      </c>
      <c r="G370" t="s">
        <v>450</v>
      </c>
      <c r="H370">
        <v>68</v>
      </c>
      <c r="I370" s="5">
        <f>_xlfn.XLOOKUP(Sales[[#This Row],[Product Name]],Products[Product Name],Products[Selling Price (CAD)])</f>
        <v>5.99</v>
      </c>
      <c r="J370" s="5">
        <f>PRODUCT(Sales[[#This Row],[Quantity Sold]],Sales[[#This Row],[Unit Selling Price (CAD)]])</f>
        <v>407.32</v>
      </c>
    </row>
    <row r="371" spans="1:10">
      <c r="A371" t="s">
        <v>819</v>
      </c>
      <c r="B371" s="2">
        <v>46073</v>
      </c>
      <c r="C371" t="s">
        <v>151</v>
      </c>
      <c r="D371" t="s">
        <v>152</v>
      </c>
      <c r="E371" t="str">
        <f>_xlfn.XLOOKUP(Sales[[#This Row],[Product Name]],Products[Product Name],Products[Category])</f>
        <v>Breakfast</v>
      </c>
      <c r="F371" t="s">
        <v>449</v>
      </c>
      <c r="G371" t="s">
        <v>452</v>
      </c>
      <c r="H371">
        <v>74</v>
      </c>
      <c r="I371" s="5">
        <f>_xlfn.XLOOKUP(Sales[[#This Row],[Product Name]],Products[Product Name],Products[Selling Price (CAD)])</f>
        <v>5.99</v>
      </c>
      <c r="J371" s="5">
        <f>PRODUCT(Sales[[#This Row],[Quantity Sold]],Sales[[#This Row],[Unit Selling Price (CAD)]])</f>
        <v>443.26</v>
      </c>
    </row>
    <row r="372" spans="1:10">
      <c r="A372" t="s">
        <v>820</v>
      </c>
      <c r="B372" s="2">
        <v>46073</v>
      </c>
      <c r="C372" t="s">
        <v>60</v>
      </c>
      <c r="D372" t="s">
        <v>61</v>
      </c>
      <c r="E372" t="str">
        <f>_xlfn.XLOOKUP(Sales[[#This Row],[Product Name]],Products[Product Name],Products[Category])</f>
        <v>Burgers</v>
      </c>
      <c r="F372" t="s">
        <v>447</v>
      </c>
      <c r="G372" t="s">
        <v>450</v>
      </c>
      <c r="H372">
        <v>80</v>
      </c>
      <c r="I372" s="5">
        <f>_xlfn.XLOOKUP(Sales[[#This Row],[Product Name]],Products[Product Name],Products[Selling Price (CAD)])</f>
        <v>6.99</v>
      </c>
      <c r="J372" s="5">
        <f>PRODUCT(Sales[[#This Row],[Quantity Sold]],Sales[[#This Row],[Unit Selling Price (CAD)]])</f>
        <v>559.20000000000005</v>
      </c>
    </row>
    <row r="373" spans="1:10">
      <c r="A373" t="s">
        <v>821</v>
      </c>
      <c r="B373" s="2">
        <v>46073</v>
      </c>
      <c r="C373" t="s">
        <v>303</v>
      </c>
      <c r="D373" t="s">
        <v>304</v>
      </c>
      <c r="E373" t="str">
        <f>_xlfn.XLOOKUP(Sales[[#This Row],[Product Name]],Products[Product Name],Products[Category])</f>
        <v>Beverages</v>
      </c>
      <c r="F373" t="s">
        <v>449</v>
      </c>
      <c r="G373" t="s">
        <v>452</v>
      </c>
      <c r="H373">
        <v>69</v>
      </c>
      <c r="I373" s="5">
        <f>_xlfn.XLOOKUP(Sales[[#This Row],[Product Name]],Products[Product Name],Products[Selling Price (CAD)])</f>
        <v>2.4900000000000002</v>
      </c>
      <c r="J373" s="5">
        <f>PRODUCT(Sales[[#This Row],[Quantity Sold]],Sales[[#This Row],[Unit Selling Price (CAD)]])</f>
        <v>171.81</v>
      </c>
    </row>
    <row r="374" spans="1:10">
      <c r="A374" t="s">
        <v>822</v>
      </c>
      <c r="B374" s="2">
        <v>46073</v>
      </c>
      <c r="C374" t="s">
        <v>191</v>
      </c>
      <c r="D374" t="s">
        <v>192</v>
      </c>
      <c r="E374" t="str">
        <f>_xlfn.XLOOKUP(Sales[[#This Row],[Product Name]],Products[Product Name],Products[Category])</f>
        <v>Sides</v>
      </c>
      <c r="F374" t="s">
        <v>449</v>
      </c>
      <c r="G374" t="s">
        <v>450</v>
      </c>
      <c r="H374">
        <v>49</v>
      </c>
      <c r="I374" s="5">
        <f>_xlfn.XLOOKUP(Sales[[#This Row],[Product Name]],Products[Product Name],Products[Selling Price (CAD)])</f>
        <v>3.99</v>
      </c>
      <c r="J374" s="5">
        <f>PRODUCT(Sales[[#This Row],[Quantity Sold]],Sales[[#This Row],[Unit Selling Price (CAD)]])</f>
        <v>195.51000000000002</v>
      </c>
    </row>
    <row r="375" spans="1:10">
      <c r="A375" t="s">
        <v>823</v>
      </c>
      <c r="B375" s="2">
        <v>46073</v>
      </c>
      <c r="C375" t="s">
        <v>297</v>
      </c>
      <c r="D375" t="s">
        <v>298</v>
      </c>
      <c r="E375" t="str">
        <f>_xlfn.XLOOKUP(Sales[[#This Row],[Product Name]],Products[Product Name],Products[Category])</f>
        <v>Beverages</v>
      </c>
      <c r="F375" t="s">
        <v>449</v>
      </c>
      <c r="G375" t="s">
        <v>452</v>
      </c>
      <c r="H375">
        <v>79</v>
      </c>
      <c r="I375" s="5">
        <f>_xlfn.XLOOKUP(Sales[[#This Row],[Product Name]],Products[Product Name],Products[Selling Price (CAD)])</f>
        <v>2.99</v>
      </c>
      <c r="J375" s="5">
        <f>PRODUCT(Sales[[#This Row],[Quantity Sold]],Sales[[#This Row],[Unit Selling Price (CAD)]])</f>
        <v>236.21</v>
      </c>
    </row>
    <row r="376" spans="1:10">
      <c r="A376" t="s">
        <v>824</v>
      </c>
      <c r="B376" s="2">
        <v>46073</v>
      </c>
      <c r="C376" t="s">
        <v>249</v>
      </c>
      <c r="D376" t="s">
        <v>250</v>
      </c>
      <c r="E376" t="str">
        <f>_xlfn.XLOOKUP(Sales[[#This Row],[Product Name]],Products[Product Name],Products[Category])</f>
        <v>Salads</v>
      </c>
      <c r="F376" t="s">
        <v>444</v>
      </c>
      <c r="G376" t="s">
        <v>452</v>
      </c>
      <c r="H376">
        <v>68</v>
      </c>
      <c r="I376" s="5">
        <f>_xlfn.XLOOKUP(Sales[[#This Row],[Product Name]],Products[Product Name],Products[Selling Price (CAD)])</f>
        <v>7.49</v>
      </c>
      <c r="J376" s="5">
        <f>PRODUCT(Sales[[#This Row],[Quantity Sold]],Sales[[#This Row],[Unit Selling Price (CAD)]])</f>
        <v>509.32</v>
      </c>
    </row>
    <row r="377" spans="1:10">
      <c r="A377" t="s">
        <v>825</v>
      </c>
      <c r="B377" s="2">
        <v>46073</v>
      </c>
      <c r="C377" t="s">
        <v>307</v>
      </c>
      <c r="D377" t="s">
        <v>308</v>
      </c>
      <c r="E377" t="str">
        <f>_xlfn.XLOOKUP(Sales[[#This Row],[Product Name]],Products[Product Name],Products[Category])</f>
        <v>Beverages</v>
      </c>
      <c r="F377" t="s">
        <v>449</v>
      </c>
      <c r="G377" t="s">
        <v>450</v>
      </c>
      <c r="H377">
        <v>73</v>
      </c>
      <c r="I377" s="5">
        <f>_xlfn.XLOOKUP(Sales[[#This Row],[Product Name]],Products[Product Name],Products[Selling Price (CAD)])</f>
        <v>2.99</v>
      </c>
      <c r="J377" s="5">
        <f>PRODUCT(Sales[[#This Row],[Quantity Sold]],Sales[[#This Row],[Unit Selling Price (CAD)]])</f>
        <v>218.27</v>
      </c>
    </row>
    <row r="378" spans="1:10">
      <c r="A378" t="s">
        <v>826</v>
      </c>
      <c r="B378" s="2">
        <v>46073</v>
      </c>
      <c r="C378" t="s">
        <v>287</v>
      </c>
      <c r="D378" t="s">
        <v>288</v>
      </c>
      <c r="E378" t="str">
        <f>_xlfn.XLOOKUP(Sales[[#This Row],[Product Name]],Products[Product Name],Products[Category])</f>
        <v>Beverages</v>
      </c>
      <c r="F378" t="s">
        <v>444</v>
      </c>
      <c r="G378" t="s">
        <v>450</v>
      </c>
      <c r="H378">
        <v>71</v>
      </c>
      <c r="I378" s="5">
        <f>_xlfn.XLOOKUP(Sales[[#This Row],[Product Name]],Products[Product Name],Products[Selling Price (CAD)])</f>
        <v>3.99</v>
      </c>
      <c r="J378" s="5">
        <f>PRODUCT(Sales[[#This Row],[Quantity Sold]],Sales[[#This Row],[Unit Selling Price (CAD)]])</f>
        <v>283.29000000000002</v>
      </c>
    </row>
    <row r="379" spans="1:10">
      <c r="A379" t="s">
        <v>827</v>
      </c>
      <c r="B379" s="2">
        <v>46074</v>
      </c>
      <c r="C379" t="s">
        <v>245</v>
      </c>
      <c r="D379" t="s">
        <v>246</v>
      </c>
      <c r="E379" t="str">
        <f>_xlfn.XLOOKUP(Sales[[#This Row],[Product Name]],Products[Product Name],Products[Category])</f>
        <v>Salads</v>
      </c>
      <c r="F379" t="s">
        <v>447</v>
      </c>
      <c r="G379" t="s">
        <v>454</v>
      </c>
      <c r="H379">
        <v>71</v>
      </c>
      <c r="I379" s="5">
        <f>_xlfn.XLOOKUP(Sales[[#This Row],[Product Name]],Products[Product Name],Products[Selling Price (CAD)])</f>
        <v>6.99</v>
      </c>
      <c r="J379" s="5">
        <f>PRODUCT(Sales[[#This Row],[Quantity Sold]],Sales[[#This Row],[Unit Selling Price (CAD)]])</f>
        <v>496.29</v>
      </c>
    </row>
    <row r="380" spans="1:10">
      <c r="A380" t="s">
        <v>828</v>
      </c>
      <c r="B380" s="2">
        <v>46074</v>
      </c>
      <c r="C380" t="s">
        <v>189</v>
      </c>
      <c r="D380" t="s">
        <v>190</v>
      </c>
      <c r="E380" t="str">
        <f>_xlfn.XLOOKUP(Sales[[#This Row],[Product Name]],Products[Product Name],Products[Category])</f>
        <v>Sides</v>
      </c>
      <c r="F380" t="s">
        <v>447</v>
      </c>
      <c r="G380" t="s">
        <v>454</v>
      </c>
      <c r="H380">
        <v>64</v>
      </c>
      <c r="I380" s="5">
        <f>_xlfn.XLOOKUP(Sales[[#This Row],[Product Name]],Products[Product Name],Products[Selling Price (CAD)])</f>
        <v>2.99</v>
      </c>
      <c r="J380" s="5">
        <f>PRODUCT(Sales[[#This Row],[Quantity Sold]],Sales[[#This Row],[Unit Selling Price (CAD)]])</f>
        <v>191.36</v>
      </c>
    </row>
    <row r="381" spans="1:10">
      <c r="A381" t="s">
        <v>829</v>
      </c>
      <c r="B381" s="2">
        <v>46074</v>
      </c>
      <c r="C381" t="s">
        <v>17</v>
      </c>
      <c r="D381" t="s">
        <v>18</v>
      </c>
      <c r="E381" t="str">
        <f>_xlfn.XLOOKUP(Sales[[#This Row],[Product Name]],Products[Product Name],Products[Category])</f>
        <v>Burgers</v>
      </c>
      <c r="F381" t="s">
        <v>447</v>
      </c>
      <c r="G381" t="s">
        <v>454</v>
      </c>
      <c r="H381">
        <v>36</v>
      </c>
      <c r="I381" s="5">
        <f>_xlfn.XLOOKUP(Sales[[#This Row],[Product Name]],Products[Product Name],Products[Selling Price (CAD)])</f>
        <v>7.99</v>
      </c>
      <c r="J381" s="5">
        <f>PRODUCT(Sales[[#This Row],[Quantity Sold]],Sales[[#This Row],[Unit Selling Price (CAD)]])</f>
        <v>287.64</v>
      </c>
    </row>
    <row r="382" spans="1:10">
      <c r="A382" t="s">
        <v>830</v>
      </c>
      <c r="B382" s="2">
        <v>46074</v>
      </c>
      <c r="C382" t="s">
        <v>267</v>
      </c>
      <c r="D382" t="s">
        <v>268</v>
      </c>
      <c r="E382" t="str">
        <f>_xlfn.XLOOKUP(Sales[[#This Row],[Product Name]],Products[Product Name],Products[Category])</f>
        <v>Beverages</v>
      </c>
      <c r="F382" t="s">
        <v>444</v>
      </c>
      <c r="G382" t="s">
        <v>450</v>
      </c>
      <c r="H382">
        <v>61</v>
      </c>
      <c r="I382" s="5">
        <f>_xlfn.XLOOKUP(Sales[[#This Row],[Product Name]],Products[Product Name],Products[Selling Price (CAD)])</f>
        <v>2.99</v>
      </c>
      <c r="J382" s="5">
        <f>PRODUCT(Sales[[#This Row],[Quantity Sold]],Sales[[#This Row],[Unit Selling Price (CAD)]])</f>
        <v>182.39000000000001</v>
      </c>
    </row>
    <row r="383" spans="1:10">
      <c r="A383" t="s">
        <v>831</v>
      </c>
      <c r="B383" s="2">
        <v>46074</v>
      </c>
      <c r="C383" t="s">
        <v>153</v>
      </c>
      <c r="D383" t="s">
        <v>154</v>
      </c>
      <c r="E383" t="str">
        <f>_xlfn.XLOOKUP(Sales[[#This Row],[Product Name]],Products[Product Name],Products[Category])</f>
        <v>Breakfast</v>
      </c>
      <c r="F383" t="s">
        <v>444</v>
      </c>
      <c r="G383" t="s">
        <v>452</v>
      </c>
      <c r="H383">
        <v>63</v>
      </c>
      <c r="I383" s="5">
        <f>_xlfn.XLOOKUP(Sales[[#This Row],[Product Name]],Products[Product Name],Products[Selling Price (CAD)])</f>
        <v>4.99</v>
      </c>
      <c r="J383" s="5">
        <f>PRODUCT(Sales[[#This Row],[Quantity Sold]],Sales[[#This Row],[Unit Selling Price (CAD)]])</f>
        <v>314.37</v>
      </c>
    </row>
    <row r="384" spans="1:10">
      <c r="A384" t="s">
        <v>832</v>
      </c>
      <c r="B384" s="2">
        <v>46074</v>
      </c>
      <c r="C384" t="s">
        <v>307</v>
      </c>
      <c r="D384" t="s">
        <v>308</v>
      </c>
      <c r="E384" t="str">
        <f>_xlfn.XLOOKUP(Sales[[#This Row],[Product Name]],Products[Product Name],Products[Category])</f>
        <v>Beverages</v>
      </c>
      <c r="F384" t="s">
        <v>447</v>
      </c>
      <c r="G384" t="s">
        <v>450</v>
      </c>
      <c r="H384">
        <v>62</v>
      </c>
      <c r="I384" s="5">
        <f>_xlfn.XLOOKUP(Sales[[#This Row],[Product Name]],Products[Product Name],Products[Selling Price (CAD)])</f>
        <v>2.99</v>
      </c>
      <c r="J384" s="5">
        <f>PRODUCT(Sales[[#This Row],[Quantity Sold]],Sales[[#This Row],[Unit Selling Price (CAD)]])</f>
        <v>185.38000000000002</v>
      </c>
    </row>
    <row r="385" spans="1:10">
      <c r="A385" t="s">
        <v>833</v>
      </c>
      <c r="B385" s="2">
        <v>46074</v>
      </c>
      <c r="C385" t="s">
        <v>359</v>
      </c>
      <c r="D385" t="s">
        <v>360</v>
      </c>
      <c r="E385" t="str">
        <f>_xlfn.XLOOKUP(Sales[[#This Row],[Product Name]],Products[Product Name],Products[Category])</f>
        <v>Desserts</v>
      </c>
      <c r="F385" t="s">
        <v>449</v>
      </c>
      <c r="G385" t="s">
        <v>452</v>
      </c>
      <c r="H385">
        <v>37</v>
      </c>
      <c r="I385" s="5">
        <f>_xlfn.XLOOKUP(Sales[[#This Row],[Product Name]],Products[Product Name],Products[Selling Price (CAD)])</f>
        <v>5.99</v>
      </c>
      <c r="J385" s="5">
        <f>PRODUCT(Sales[[#This Row],[Quantity Sold]],Sales[[#This Row],[Unit Selling Price (CAD)]])</f>
        <v>221.63</v>
      </c>
    </row>
    <row r="386" spans="1:10">
      <c r="A386" t="s">
        <v>834</v>
      </c>
      <c r="B386" s="2">
        <v>46074</v>
      </c>
      <c r="C386" t="s">
        <v>181</v>
      </c>
      <c r="D386" t="s">
        <v>182</v>
      </c>
      <c r="E386" t="str">
        <f>_xlfn.XLOOKUP(Sales[[#This Row],[Product Name]],Products[Product Name],Products[Category])</f>
        <v>Breakfast</v>
      </c>
      <c r="F386" t="s">
        <v>449</v>
      </c>
      <c r="G386" t="s">
        <v>450</v>
      </c>
      <c r="H386">
        <v>43</v>
      </c>
      <c r="I386" s="5">
        <f>_xlfn.XLOOKUP(Sales[[#This Row],[Product Name]],Products[Product Name],Products[Selling Price (CAD)])</f>
        <v>4.99</v>
      </c>
      <c r="J386" s="5">
        <f>PRODUCT(Sales[[#This Row],[Quantity Sold]],Sales[[#This Row],[Unit Selling Price (CAD)]])</f>
        <v>214.57000000000002</v>
      </c>
    </row>
    <row r="387" spans="1:10">
      <c r="A387" t="s">
        <v>835</v>
      </c>
      <c r="B387" s="2">
        <v>46075</v>
      </c>
      <c r="C387" t="s">
        <v>209</v>
      </c>
      <c r="D387" t="s">
        <v>210</v>
      </c>
      <c r="E387" t="str">
        <f>_xlfn.XLOOKUP(Sales[[#This Row],[Product Name]],Products[Product Name],Products[Category])</f>
        <v>Sides</v>
      </c>
      <c r="F387" t="s">
        <v>444</v>
      </c>
      <c r="G387" t="s">
        <v>450</v>
      </c>
      <c r="H387">
        <v>49</v>
      </c>
      <c r="I387" s="5">
        <f>_xlfn.XLOOKUP(Sales[[#This Row],[Product Name]],Products[Product Name],Products[Selling Price (CAD)])</f>
        <v>4.99</v>
      </c>
      <c r="J387" s="5">
        <f>PRODUCT(Sales[[#This Row],[Quantity Sold]],Sales[[#This Row],[Unit Selling Price (CAD)]])</f>
        <v>244.51000000000002</v>
      </c>
    </row>
    <row r="388" spans="1:10">
      <c r="A388" t="s">
        <v>836</v>
      </c>
      <c r="B388" s="2">
        <v>46075</v>
      </c>
      <c r="C388" t="s">
        <v>185</v>
      </c>
      <c r="D388" t="s">
        <v>186</v>
      </c>
      <c r="E388" t="str">
        <f>_xlfn.XLOOKUP(Sales[[#This Row],[Product Name]],Products[Product Name],Products[Category])</f>
        <v>Sides</v>
      </c>
      <c r="F388" t="s">
        <v>444</v>
      </c>
      <c r="G388" t="s">
        <v>450</v>
      </c>
      <c r="H388">
        <v>32</v>
      </c>
      <c r="I388" s="5">
        <f>_xlfn.XLOOKUP(Sales[[#This Row],[Product Name]],Products[Product Name],Products[Selling Price (CAD)])</f>
        <v>3.49</v>
      </c>
      <c r="J388" s="5">
        <f>PRODUCT(Sales[[#This Row],[Quantity Sold]],Sales[[#This Row],[Unit Selling Price (CAD)]])</f>
        <v>111.68</v>
      </c>
    </row>
    <row r="389" spans="1:10">
      <c r="A389" t="s">
        <v>837</v>
      </c>
      <c r="B389" s="2">
        <v>46075</v>
      </c>
      <c r="C389" t="s">
        <v>315</v>
      </c>
      <c r="D389" t="s">
        <v>316</v>
      </c>
      <c r="E389" t="str">
        <f>_xlfn.XLOOKUP(Sales[[#This Row],[Product Name]],Products[Product Name],Products[Category])</f>
        <v>Beverages</v>
      </c>
      <c r="F389" t="s">
        <v>449</v>
      </c>
      <c r="G389" t="s">
        <v>452</v>
      </c>
      <c r="H389">
        <v>61</v>
      </c>
      <c r="I389" s="5">
        <f>_xlfn.XLOOKUP(Sales[[#This Row],[Product Name]],Products[Product Name],Products[Selling Price (CAD)])</f>
        <v>3.99</v>
      </c>
      <c r="J389" s="5">
        <f>PRODUCT(Sales[[#This Row],[Quantity Sold]],Sales[[#This Row],[Unit Selling Price (CAD)]])</f>
        <v>243.39000000000001</v>
      </c>
    </row>
    <row r="390" spans="1:10">
      <c r="A390" t="s">
        <v>838</v>
      </c>
      <c r="B390" s="2">
        <v>46075</v>
      </c>
      <c r="C390" t="s">
        <v>299</v>
      </c>
      <c r="D390" t="s">
        <v>300</v>
      </c>
      <c r="E390" t="str">
        <f>_xlfn.XLOOKUP(Sales[[#This Row],[Product Name]],Products[Product Name],Products[Category])</f>
        <v>Beverages</v>
      </c>
      <c r="F390" t="s">
        <v>449</v>
      </c>
      <c r="G390" t="s">
        <v>454</v>
      </c>
      <c r="H390">
        <v>51</v>
      </c>
      <c r="I390" s="5">
        <f>_xlfn.XLOOKUP(Sales[[#This Row],[Product Name]],Products[Product Name],Products[Selling Price (CAD)])</f>
        <v>2.4900000000000002</v>
      </c>
      <c r="J390" s="5">
        <f>PRODUCT(Sales[[#This Row],[Quantity Sold]],Sales[[#This Row],[Unit Selling Price (CAD)]])</f>
        <v>126.99000000000001</v>
      </c>
    </row>
    <row r="391" spans="1:10">
      <c r="A391" t="s">
        <v>839</v>
      </c>
      <c r="B391" s="2">
        <v>46075</v>
      </c>
      <c r="C391" t="s">
        <v>323</v>
      </c>
      <c r="D391" t="s">
        <v>324</v>
      </c>
      <c r="E391" t="str">
        <f>_xlfn.XLOOKUP(Sales[[#This Row],[Product Name]],Products[Product Name],Products[Category])</f>
        <v>Desserts</v>
      </c>
      <c r="F391" t="s">
        <v>444</v>
      </c>
      <c r="G391" t="s">
        <v>452</v>
      </c>
      <c r="H391">
        <v>70</v>
      </c>
      <c r="I391" s="5">
        <f>_xlfn.XLOOKUP(Sales[[#This Row],[Product Name]],Products[Product Name],Products[Selling Price (CAD)])</f>
        <v>2.99</v>
      </c>
      <c r="J391" s="5">
        <f>PRODUCT(Sales[[#This Row],[Quantity Sold]],Sales[[#This Row],[Unit Selling Price (CAD)]])</f>
        <v>209.3</v>
      </c>
    </row>
    <row r="392" spans="1:10">
      <c r="A392" t="s">
        <v>840</v>
      </c>
      <c r="B392" s="2">
        <v>46075</v>
      </c>
      <c r="C392" t="s">
        <v>133</v>
      </c>
      <c r="D392" t="s">
        <v>134</v>
      </c>
      <c r="E392" t="str">
        <f>_xlfn.XLOOKUP(Sales[[#This Row],[Product Name]],Products[Product Name],Products[Category])</f>
        <v>Breakfast</v>
      </c>
      <c r="F392" t="s">
        <v>447</v>
      </c>
      <c r="G392" t="s">
        <v>445</v>
      </c>
      <c r="H392">
        <v>68</v>
      </c>
      <c r="I392" s="5">
        <f>_xlfn.XLOOKUP(Sales[[#This Row],[Product Name]],Products[Product Name],Products[Selling Price (CAD)])</f>
        <v>4.99</v>
      </c>
      <c r="J392" s="5">
        <f>PRODUCT(Sales[[#This Row],[Quantity Sold]],Sales[[#This Row],[Unit Selling Price (CAD)]])</f>
        <v>339.32</v>
      </c>
    </row>
    <row r="393" spans="1:10">
      <c r="A393" t="s">
        <v>841</v>
      </c>
      <c r="B393" s="2">
        <v>46075</v>
      </c>
      <c r="C393" t="s">
        <v>301</v>
      </c>
      <c r="D393" t="s">
        <v>302</v>
      </c>
      <c r="E393" t="str">
        <f>_xlfn.XLOOKUP(Sales[[#This Row],[Product Name]],Products[Product Name],Products[Category])</f>
        <v>Beverages</v>
      </c>
      <c r="F393" t="s">
        <v>447</v>
      </c>
      <c r="G393" t="s">
        <v>452</v>
      </c>
      <c r="H393">
        <v>50</v>
      </c>
      <c r="I393" s="5">
        <f>_xlfn.XLOOKUP(Sales[[#This Row],[Product Name]],Products[Product Name],Products[Selling Price (CAD)])</f>
        <v>1.99</v>
      </c>
      <c r="J393" s="5">
        <f>PRODUCT(Sales[[#This Row],[Quantity Sold]],Sales[[#This Row],[Unit Selling Price (CAD)]])</f>
        <v>99.5</v>
      </c>
    </row>
    <row r="394" spans="1:10">
      <c r="A394" t="s">
        <v>842</v>
      </c>
      <c r="B394" s="2">
        <v>46075</v>
      </c>
      <c r="C394" t="s">
        <v>349</v>
      </c>
      <c r="D394" t="s">
        <v>350</v>
      </c>
      <c r="E394" t="str">
        <f>_xlfn.XLOOKUP(Sales[[#This Row],[Product Name]],Products[Product Name],Products[Category])</f>
        <v>Desserts</v>
      </c>
      <c r="F394" t="s">
        <v>449</v>
      </c>
      <c r="G394" t="s">
        <v>450</v>
      </c>
      <c r="H394">
        <v>74</v>
      </c>
      <c r="I394" s="5">
        <f>_xlfn.XLOOKUP(Sales[[#This Row],[Product Name]],Products[Product Name],Products[Selling Price (CAD)])</f>
        <v>4.99</v>
      </c>
      <c r="J394" s="5">
        <f>PRODUCT(Sales[[#This Row],[Quantity Sold]],Sales[[#This Row],[Unit Selling Price (CAD)]])</f>
        <v>369.26</v>
      </c>
    </row>
    <row r="395" spans="1:10">
      <c r="A395" t="s">
        <v>843</v>
      </c>
      <c r="B395" s="2">
        <v>46075</v>
      </c>
      <c r="C395" t="s">
        <v>177</v>
      </c>
      <c r="D395" t="s">
        <v>178</v>
      </c>
      <c r="E395" t="str">
        <f>_xlfn.XLOOKUP(Sales[[#This Row],[Product Name]],Products[Product Name],Products[Category])</f>
        <v>Breakfast</v>
      </c>
      <c r="F395" t="s">
        <v>444</v>
      </c>
      <c r="G395" t="s">
        <v>450</v>
      </c>
      <c r="H395">
        <v>73</v>
      </c>
      <c r="I395" s="5">
        <f>_xlfn.XLOOKUP(Sales[[#This Row],[Product Name]],Products[Product Name],Products[Selling Price (CAD)])</f>
        <v>7.99</v>
      </c>
      <c r="J395" s="5">
        <f>PRODUCT(Sales[[#This Row],[Quantity Sold]],Sales[[#This Row],[Unit Selling Price (CAD)]])</f>
        <v>583.27</v>
      </c>
    </row>
    <row r="396" spans="1:10">
      <c r="A396" t="s">
        <v>844</v>
      </c>
      <c r="B396" s="2">
        <v>46075</v>
      </c>
      <c r="C396" t="s">
        <v>193</v>
      </c>
      <c r="D396" t="s">
        <v>194</v>
      </c>
      <c r="E396" t="str">
        <f>_xlfn.XLOOKUP(Sales[[#This Row],[Product Name]],Products[Product Name],Products[Category])</f>
        <v>Sides</v>
      </c>
      <c r="F396" t="s">
        <v>444</v>
      </c>
      <c r="G396" t="s">
        <v>452</v>
      </c>
      <c r="H396">
        <v>80</v>
      </c>
      <c r="I396" s="5">
        <f>_xlfn.XLOOKUP(Sales[[#This Row],[Product Name]],Products[Product Name],Products[Selling Price (CAD)])</f>
        <v>4.99</v>
      </c>
      <c r="J396" s="5">
        <f>PRODUCT(Sales[[#This Row],[Quantity Sold]],Sales[[#This Row],[Unit Selling Price (CAD)]])</f>
        <v>399.20000000000005</v>
      </c>
    </row>
    <row r="397" spans="1:10">
      <c r="A397" t="s">
        <v>845</v>
      </c>
      <c r="B397" s="2">
        <v>46075</v>
      </c>
      <c r="C397" t="s">
        <v>359</v>
      </c>
      <c r="D397" t="s">
        <v>360</v>
      </c>
      <c r="E397" t="str">
        <f>_xlfn.XLOOKUP(Sales[[#This Row],[Product Name]],Products[Product Name],Products[Category])</f>
        <v>Desserts</v>
      </c>
      <c r="F397" t="s">
        <v>444</v>
      </c>
      <c r="G397" t="s">
        <v>445</v>
      </c>
      <c r="H397">
        <v>51</v>
      </c>
      <c r="I397" s="5">
        <f>_xlfn.XLOOKUP(Sales[[#This Row],[Product Name]],Products[Product Name],Products[Selling Price (CAD)])</f>
        <v>5.99</v>
      </c>
      <c r="J397" s="5">
        <f>PRODUCT(Sales[[#This Row],[Quantity Sold]],Sales[[#This Row],[Unit Selling Price (CAD)]])</f>
        <v>305.49</v>
      </c>
    </row>
    <row r="398" spans="1:10">
      <c r="A398" t="s">
        <v>846</v>
      </c>
      <c r="B398" s="2">
        <v>46075</v>
      </c>
      <c r="C398" t="s">
        <v>245</v>
      </c>
      <c r="D398" t="s">
        <v>246</v>
      </c>
      <c r="E398" t="str">
        <f>_xlfn.XLOOKUP(Sales[[#This Row],[Product Name]],Products[Product Name],Products[Category])</f>
        <v>Salads</v>
      </c>
      <c r="F398" t="s">
        <v>449</v>
      </c>
      <c r="G398" t="s">
        <v>450</v>
      </c>
      <c r="H398">
        <v>80</v>
      </c>
      <c r="I398" s="5">
        <f>_xlfn.XLOOKUP(Sales[[#This Row],[Product Name]],Products[Product Name],Products[Selling Price (CAD)])</f>
        <v>6.99</v>
      </c>
      <c r="J398" s="5">
        <f>PRODUCT(Sales[[#This Row],[Quantity Sold]],Sales[[#This Row],[Unit Selling Price (CAD)]])</f>
        <v>559.20000000000005</v>
      </c>
    </row>
    <row r="399" spans="1:10">
      <c r="A399" t="s">
        <v>847</v>
      </c>
      <c r="B399" s="2">
        <v>46076</v>
      </c>
      <c r="C399" t="s">
        <v>423</v>
      </c>
      <c r="D399" t="s">
        <v>424</v>
      </c>
      <c r="E399" t="str">
        <f>_xlfn.XLOOKUP(Sales[[#This Row],[Product Name]],Products[Product Name],Products[Category])</f>
        <v>Combo Meals</v>
      </c>
      <c r="F399" t="s">
        <v>444</v>
      </c>
      <c r="G399" t="s">
        <v>452</v>
      </c>
      <c r="H399">
        <v>63</v>
      </c>
      <c r="I399" s="5">
        <f>_xlfn.XLOOKUP(Sales[[#This Row],[Product Name]],Products[Product Name],Products[Selling Price (CAD)])</f>
        <v>12.99</v>
      </c>
      <c r="J399" s="5">
        <f>PRODUCT(Sales[[#This Row],[Quantity Sold]],Sales[[#This Row],[Unit Selling Price (CAD)]])</f>
        <v>818.37</v>
      </c>
    </row>
    <row r="400" spans="1:10">
      <c r="A400" t="s">
        <v>848</v>
      </c>
      <c r="B400" s="2">
        <v>46076</v>
      </c>
      <c r="C400" t="s">
        <v>21</v>
      </c>
      <c r="D400" t="s">
        <v>22</v>
      </c>
      <c r="E400" t="str">
        <f>_xlfn.XLOOKUP(Sales[[#This Row],[Product Name]],Products[Product Name],Products[Category])</f>
        <v>Burgers</v>
      </c>
      <c r="F400" t="s">
        <v>449</v>
      </c>
      <c r="G400" t="s">
        <v>445</v>
      </c>
      <c r="H400">
        <v>71</v>
      </c>
      <c r="I400" s="5">
        <f>_xlfn.XLOOKUP(Sales[[#This Row],[Product Name]],Products[Product Name],Products[Selling Price (CAD)])</f>
        <v>9.99</v>
      </c>
      <c r="J400" s="5">
        <f>PRODUCT(Sales[[#This Row],[Quantity Sold]],Sales[[#This Row],[Unit Selling Price (CAD)]])</f>
        <v>709.29</v>
      </c>
    </row>
    <row r="401" spans="1:10">
      <c r="A401" t="s">
        <v>849</v>
      </c>
      <c r="B401" s="2">
        <v>46076</v>
      </c>
      <c r="C401" t="s">
        <v>233</v>
      </c>
      <c r="D401" t="s">
        <v>234</v>
      </c>
      <c r="E401" t="str">
        <f>_xlfn.XLOOKUP(Sales[[#This Row],[Product Name]],Products[Product Name],Products[Category])</f>
        <v>Salads</v>
      </c>
      <c r="F401" t="s">
        <v>447</v>
      </c>
      <c r="G401" t="s">
        <v>452</v>
      </c>
      <c r="H401">
        <v>63</v>
      </c>
      <c r="I401" s="5">
        <f>_xlfn.XLOOKUP(Sales[[#This Row],[Product Name]],Products[Product Name],Products[Selling Price (CAD)])</f>
        <v>9.49</v>
      </c>
      <c r="J401" s="5">
        <f>PRODUCT(Sales[[#This Row],[Quantity Sold]],Sales[[#This Row],[Unit Selling Price (CAD)]])</f>
        <v>597.87</v>
      </c>
    </row>
    <row r="402" spans="1:10">
      <c r="A402" t="s">
        <v>850</v>
      </c>
      <c r="B402" s="2">
        <v>46076</v>
      </c>
      <c r="C402" t="s">
        <v>60</v>
      </c>
      <c r="D402" t="s">
        <v>61</v>
      </c>
      <c r="E402" t="str">
        <f>_xlfn.XLOOKUP(Sales[[#This Row],[Product Name]],Products[Product Name],Products[Category])</f>
        <v>Burgers</v>
      </c>
      <c r="F402" t="s">
        <v>449</v>
      </c>
      <c r="G402" t="s">
        <v>452</v>
      </c>
      <c r="H402">
        <v>68</v>
      </c>
      <c r="I402" s="5">
        <f>_xlfn.XLOOKUP(Sales[[#This Row],[Product Name]],Products[Product Name],Products[Selling Price (CAD)])</f>
        <v>6.99</v>
      </c>
      <c r="J402" s="5">
        <f>PRODUCT(Sales[[#This Row],[Quantity Sold]],Sales[[#This Row],[Unit Selling Price (CAD)]])</f>
        <v>475.32</v>
      </c>
    </row>
    <row r="403" spans="1:10">
      <c r="A403" t="s">
        <v>851</v>
      </c>
      <c r="B403" s="2">
        <v>46076</v>
      </c>
      <c r="C403" t="s">
        <v>76</v>
      </c>
      <c r="D403" t="s">
        <v>77</v>
      </c>
      <c r="E403" t="str">
        <f>_xlfn.XLOOKUP(Sales[[#This Row],[Product Name]],Products[Product Name],Products[Category])</f>
        <v>Burgers</v>
      </c>
      <c r="F403" t="s">
        <v>449</v>
      </c>
      <c r="G403" t="s">
        <v>452</v>
      </c>
      <c r="H403">
        <v>57</v>
      </c>
      <c r="I403" s="5">
        <f>_xlfn.XLOOKUP(Sales[[#This Row],[Product Name]],Products[Product Name],Products[Selling Price (CAD)])</f>
        <v>2.99</v>
      </c>
      <c r="J403" s="5">
        <f>PRODUCT(Sales[[#This Row],[Quantity Sold]],Sales[[#This Row],[Unit Selling Price (CAD)]])</f>
        <v>170.43</v>
      </c>
    </row>
    <row r="404" spans="1:10">
      <c r="A404" t="s">
        <v>852</v>
      </c>
      <c r="B404" s="2">
        <v>46076</v>
      </c>
      <c r="C404" t="s">
        <v>293</v>
      </c>
      <c r="D404" t="s">
        <v>294</v>
      </c>
      <c r="E404" t="str">
        <f>_xlfn.XLOOKUP(Sales[[#This Row],[Product Name]],Products[Product Name],Products[Category])</f>
        <v>Beverages</v>
      </c>
      <c r="F404" t="s">
        <v>449</v>
      </c>
      <c r="G404" t="s">
        <v>454</v>
      </c>
      <c r="H404">
        <v>61</v>
      </c>
      <c r="I404" s="5">
        <f>_xlfn.XLOOKUP(Sales[[#This Row],[Product Name]],Products[Product Name],Products[Selling Price (CAD)])</f>
        <v>3.99</v>
      </c>
      <c r="J404" s="5">
        <f>PRODUCT(Sales[[#This Row],[Quantity Sold]],Sales[[#This Row],[Unit Selling Price (CAD)]])</f>
        <v>243.39000000000001</v>
      </c>
    </row>
    <row r="405" spans="1:10">
      <c r="A405" t="s">
        <v>853</v>
      </c>
      <c r="B405" s="2">
        <v>46076</v>
      </c>
      <c r="C405" t="s">
        <v>419</v>
      </c>
      <c r="D405" t="s">
        <v>420</v>
      </c>
      <c r="E405" t="str">
        <f>_xlfn.XLOOKUP(Sales[[#This Row],[Product Name]],Products[Product Name],Products[Category])</f>
        <v>Combo Meals</v>
      </c>
      <c r="F405" t="s">
        <v>449</v>
      </c>
      <c r="G405" t="s">
        <v>454</v>
      </c>
      <c r="H405">
        <v>46</v>
      </c>
      <c r="I405" s="5">
        <f>_xlfn.XLOOKUP(Sales[[#This Row],[Product Name]],Products[Product Name],Products[Selling Price (CAD)])</f>
        <v>7.99</v>
      </c>
      <c r="J405" s="5">
        <f>PRODUCT(Sales[[#This Row],[Quantity Sold]],Sales[[#This Row],[Unit Selling Price (CAD)]])</f>
        <v>367.54</v>
      </c>
    </row>
    <row r="406" spans="1:10">
      <c r="A406" t="s">
        <v>854</v>
      </c>
      <c r="B406" s="2">
        <v>46076</v>
      </c>
      <c r="C406" t="s">
        <v>305</v>
      </c>
      <c r="D406" t="s">
        <v>306</v>
      </c>
      <c r="E406" t="str">
        <f>_xlfn.XLOOKUP(Sales[[#This Row],[Product Name]],Products[Product Name],Products[Category])</f>
        <v>Beverages</v>
      </c>
      <c r="F406" t="s">
        <v>444</v>
      </c>
      <c r="G406" t="s">
        <v>454</v>
      </c>
      <c r="H406">
        <v>60</v>
      </c>
      <c r="I406" s="5">
        <f>_xlfn.XLOOKUP(Sales[[#This Row],[Product Name]],Products[Product Name],Products[Selling Price (CAD)])</f>
        <v>2.99</v>
      </c>
      <c r="J406" s="5">
        <f>PRODUCT(Sales[[#This Row],[Quantity Sold]],Sales[[#This Row],[Unit Selling Price (CAD)]])</f>
        <v>179.4</v>
      </c>
    </row>
    <row r="407" spans="1:10">
      <c r="A407" t="s">
        <v>855</v>
      </c>
      <c r="B407" s="2">
        <v>46077</v>
      </c>
      <c r="C407" t="s">
        <v>147</v>
      </c>
      <c r="D407" t="s">
        <v>148</v>
      </c>
      <c r="E407" t="str">
        <f>_xlfn.XLOOKUP(Sales[[#This Row],[Product Name]],Products[Product Name],Products[Category])</f>
        <v>Breakfast</v>
      </c>
      <c r="F407" t="s">
        <v>444</v>
      </c>
      <c r="G407" t="s">
        <v>450</v>
      </c>
      <c r="H407">
        <v>80</v>
      </c>
      <c r="I407" s="5">
        <f>_xlfn.XLOOKUP(Sales[[#This Row],[Product Name]],Products[Product Name],Products[Selling Price (CAD)])</f>
        <v>4.99</v>
      </c>
      <c r="J407" s="5">
        <f>PRODUCT(Sales[[#This Row],[Quantity Sold]],Sales[[#This Row],[Unit Selling Price (CAD)]])</f>
        <v>399.20000000000005</v>
      </c>
    </row>
    <row r="408" spans="1:10">
      <c r="A408" t="s">
        <v>856</v>
      </c>
      <c r="B408" s="2">
        <v>46077</v>
      </c>
      <c r="C408" t="s">
        <v>46</v>
      </c>
      <c r="D408" t="s">
        <v>47</v>
      </c>
      <c r="E408" t="str">
        <f>_xlfn.XLOOKUP(Sales[[#This Row],[Product Name]],Products[Product Name],Products[Category])</f>
        <v>Burgers</v>
      </c>
      <c r="F408" t="s">
        <v>447</v>
      </c>
      <c r="G408" t="s">
        <v>452</v>
      </c>
      <c r="H408">
        <v>57</v>
      </c>
      <c r="I408" s="5">
        <f>_xlfn.XLOOKUP(Sales[[#This Row],[Product Name]],Products[Product Name],Products[Selling Price (CAD)])</f>
        <v>8.49</v>
      </c>
      <c r="J408" s="5">
        <f>PRODUCT(Sales[[#This Row],[Quantity Sold]],Sales[[#This Row],[Unit Selling Price (CAD)]])</f>
        <v>483.93</v>
      </c>
    </row>
    <row r="409" spans="1:10">
      <c r="A409" t="s">
        <v>857</v>
      </c>
      <c r="B409" s="2">
        <v>46077</v>
      </c>
      <c r="C409" t="s">
        <v>58</v>
      </c>
      <c r="D409" t="s">
        <v>59</v>
      </c>
      <c r="E409" t="str">
        <f>_xlfn.XLOOKUP(Sales[[#This Row],[Product Name]],Products[Product Name],Products[Category])</f>
        <v>Burgers</v>
      </c>
      <c r="F409" t="s">
        <v>444</v>
      </c>
      <c r="G409" t="s">
        <v>445</v>
      </c>
      <c r="H409">
        <v>40</v>
      </c>
      <c r="I409" s="5">
        <f>_xlfn.XLOOKUP(Sales[[#This Row],[Product Name]],Products[Product Name],Products[Selling Price (CAD)])</f>
        <v>8.49</v>
      </c>
      <c r="J409" s="5">
        <f>PRODUCT(Sales[[#This Row],[Quantity Sold]],Sales[[#This Row],[Unit Selling Price (CAD)]])</f>
        <v>339.6</v>
      </c>
    </row>
    <row r="410" spans="1:10">
      <c r="A410" t="s">
        <v>858</v>
      </c>
      <c r="B410" s="2">
        <v>46077</v>
      </c>
      <c r="C410" t="s">
        <v>66</v>
      </c>
      <c r="D410" t="s">
        <v>67</v>
      </c>
      <c r="E410" t="str">
        <f>_xlfn.XLOOKUP(Sales[[#This Row],[Product Name]],Products[Product Name],Products[Category])</f>
        <v>Burgers</v>
      </c>
      <c r="F410" t="s">
        <v>444</v>
      </c>
      <c r="G410" t="s">
        <v>445</v>
      </c>
      <c r="H410">
        <v>36</v>
      </c>
      <c r="I410" s="5">
        <f>_xlfn.XLOOKUP(Sales[[#This Row],[Product Name]],Products[Product Name],Products[Selling Price (CAD)])</f>
        <v>8.49</v>
      </c>
      <c r="J410" s="5">
        <f>PRODUCT(Sales[[#This Row],[Quantity Sold]],Sales[[#This Row],[Unit Selling Price (CAD)]])</f>
        <v>305.64</v>
      </c>
    </row>
    <row r="411" spans="1:10">
      <c r="A411" t="s">
        <v>859</v>
      </c>
      <c r="B411" s="2">
        <v>46077</v>
      </c>
      <c r="C411" t="s">
        <v>157</v>
      </c>
      <c r="D411" t="s">
        <v>158</v>
      </c>
      <c r="E411" t="str">
        <f>_xlfn.XLOOKUP(Sales[[#This Row],[Product Name]],Products[Product Name],Products[Category])</f>
        <v>Breakfast</v>
      </c>
      <c r="F411" t="s">
        <v>447</v>
      </c>
      <c r="G411" t="s">
        <v>452</v>
      </c>
      <c r="H411">
        <v>39</v>
      </c>
      <c r="I411" s="5">
        <f>_xlfn.XLOOKUP(Sales[[#This Row],[Product Name]],Products[Product Name],Products[Selling Price (CAD)])</f>
        <v>4.99</v>
      </c>
      <c r="J411" s="5">
        <f>PRODUCT(Sales[[#This Row],[Quantity Sold]],Sales[[#This Row],[Unit Selling Price (CAD)]])</f>
        <v>194.61</v>
      </c>
    </row>
    <row r="412" spans="1:10">
      <c r="A412" t="s">
        <v>860</v>
      </c>
      <c r="B412" s="2">
        <v>46077</v>
      </c>
      <c r="C412" t="s">
        <v>305</v>
      </c>
      <c r="D412" t="s">
        <v>306</v>
      </c>
      <c r="E412" t="str">
        <f>_xlfn.XLOOKUP(Sales[[#This Row],[Product Name]],Products[Product Name],Products[Category])</f>
        <v>Beverages</v>
      </c>
      <c r="F412" t="s">
        <v>447</v>
      </c>
      <c r="G412" t="s">
        <v>454</v>
      </c>
      <c r="H412">
        <v>57</v>
      </c>
      <c r="I412" s="5">
        <f>_xlfn.XLOOKUP(Sales[[#This Row],[Product Name]],Products[Product Name],Products[Selling Price (CAD)])</f>
        <v>2.99</v>
      </c>
      <c r="J412" s="5">
        <f>PRODUCT(Sales[[#This Row],[Quantity Sold]],Sales[[#This Row],[Unit Selling Price (CAD)]])</f>
        <v>170.43</v>
      </c>
    </row>
    <row r="413" spans="1:10">
      <c r="A413" t="s">
        <v>861</v>
      </c>
      <c r="B413" s="2">
        <v>46078</v>
      </c>
      <c r="C413" t="s">
        <v>259</v>
      </c>
      <c r="D413" t="s">
        <v>260</v>
      </c>
      <c r="E413" t="str">
        <f>_xlfn.XLOOKUP(Sales[[#This Row],[Product Name]],Products[Product Name],Products[Category])</f>
        <v>Beverages</v>
      </c>
      <c r="F413" t="s">
        <v>449</v>
      </c>
      <c r="G413" t="s">
        <v>450</v>
      </c>
      <c r="H413">
        <v>36</v>
      </c>
      <c r="I413" s="5">
        <f>_xlfn.XLOOKUP(Sales[[#This Row],[Product Name]],Products[Product Name],Products[Selling Price (CAD)])</f>
        <v>1.99</v>
      </c>
      <c r="J413" s="5">
        <f>PRODUCT(Sales[[#This Row],[Quantity Sold]],Sales[[#This Row],[Unit Selling Price (CAD)]])</f>
        <v>71.64</v>
      </c>
    </row>
    <row r="414" spans="1:10">
      <c r="A414" t="s">
        <v>862</v>
      </c>
      <c r="B414" s="2">
        <v>46078</v>
      </c>
      <c r="C414" t="s">
        <v>42</v>
      </c>
      <c r="D414" t="s">
        <v>43</v>
      </c>
      <c r="E414" t="str">
        <f>_xlfn.XLOOKUP(Sales[[#This Row],[Product Name]],Products[Product Name],Products[Category])</f>
        <v>Burgers</v>
      </c>
      <c r="F414" t="s">
        <v>444</v>
      </c>
      <c r="G414" t="s">
        <v>450</v>
      </c>
      <c r="H414">
        <v>66</v>
      </c>
      <c r="I414" s="5">
        <f>_xlfn.XLOOKUP(Sales[[#This Row],[Product Name]],Products[Product Name],Products[Selling Price (CAD)])</f>
        <v>8.99</v>
      </c>
      <c r="J414" s="5">
        <f>PRODUCT(Sales[[#This Row],[Quantity Sold]],Sales[[#This Row],[Unit Selling Price (CAD)]])</f>
        <v>593.34</v>
      </c>
    </row>
    <row r="415" spans="1:10">
      <c r="A415" t="s">
        <v>863</v>
      </c>
      <c r="B415" s="2">
        <v>46078</v>
      </c>
      <c r="C415" t="s">
        <v>297</v>
      </c>
      <c r="D415" t="s">
        <v>298</v>
      </c>
      <c r="E415" t="str">
        <f>_xlfn.XLOOKUP(Sales[[#This Row],[Product Name]],Products[Product Name],Products[Category])</f>
        <v>Beverages</v>
      </c>
      <c r="F415" t="s">
        <v>447</v>
      </c>
      <c r="G415" t="s">
        <v>454</v>
      </c>
      <c r="H415">
        <v>64</v>
      </c>
      <c r="I415" s="5">
        <f>_xlfn.XLOOKUP(Sales[[#This Row],[Product Name]],Products[Product Name],Products[Selling Price (CAD)])</f>
        <v>2.99</v>
      </c>
      <c r="J415" s="5">
        <f>PRODUCT(Sales[[#This Row],[Quantity Sold]],Sales[[#This Row],[Unit Selling Price (CAD)]])</f>
        <v>191.36</v>
      </c>
    </row>
    <row r="416" spans="1:10">
      <c r="A416" t="s">
        <v>864</v>
      </c>
      <c r="B416" s="2">
        <v>46078</v>
      </c>
      <c r="C416" t="s">
        <v>167</v>
      </c>
      <c r="D416" t="s">
        <v>168</v>
      </c>
      <c r="E416" t="str">
        <f>_xlfn.XLOOKUP(Sales[[#This Row],[Product Name]],Products[Product Name],Products[Category])</f>
        <v>Breakfast</v>
      </c>
      <c r="F416" t="s">
        <v>444</v>
      </c>
      <c r="G416" t="s">
        <v>445</v>
      </c>
      <c r="H416">
        <v>74</v>
      </c>
      <c r="I416" s="5">
        <f>_xlfn.XLOOKUP(Sales[[#This Row],[Product Name]],Products[Product Name],Products[Selling Price (CAD)])</f>
        <v>4.99</v>
      </c>
      <c r="J416" s="5">
        <f>PRODUCT(Sales[[#This Row],[Quantity Sold]],Sales[[#This Row],[Unit Selling Price (CAD)]])</f>
        <v>369.26</v>
      </c>
    </row>
    <row r="417" spans="1:10">
      <c r="A417" t="s">
        <v>865</v>
      </c>
      <c r="B417" s="2">
        <v>46078</v>
      </c>
      <c r="C417" t="s">
        <v>40</v>
      </c>
      <c r="D417" t="s">
        <v>41</v>
      </c>
      <c r="E417" t="str">
        <f>_xlfn.XLOOKUP(Sales[[#This Row],[Product Name]],Products[Product Name],Products[Category])</f>
        <v>Burgers</v>
      </c>
      <c r="F417" t="s">
        <v>449</v>
      </c>
      <c r="G417" t="s">
        <v>450</v>
      </c>
      <c r="H417">
        <v>80</v>
      </c>
      <c r="I417" s="5">
        <f>_xlfn.XLOOKUP(Sales[[#This Row],[Product Name]],Products[Product Name],Products[Selling Price (CAD)])</f>
        <v>6.99</v>
      </c>
      <c r="J417" s="5">
        <f>PRODUCT(Sales[[#This Row],[Quantity Sold]],Sales[[#This Row],[Unit Selling Price (CAD)]])</f>
        <v>559.20000000000005</v>
      </c>
    </row>
    <row r="418" spans="1:10">
      <c r="A418" t="s">
        <v>866</v>
      </c>
      <c r="B418" s="2">
        <v>46078</v>
      </c>
      <c r="C418" t="s">
        <v>159</v>
      </c>
      <c r="D418" t="s">
        <v>160</v>
      </c>
      <c r="E418" t="str">
        <f>_xlfn.XLOOKUP(Sales[[#This Row],[Product Name]],Products[Product Name],Products[Category])</f>
        <v>Breakfast</v>
      </c>
      <c r="F418" t="s">
        <v>444</v>
      </c>
      <c r="G418" t="s">
        <v>450</v>
      </c>
      <c r="H418">
        <v>55</v>
      </c>
      <c r="I418" s="5">
        <f>_xlfn.XLOOKUP(Sales[[#This Row],[Product Name]],Products[Product Name],Products[Selling Price (CAD)])</f>
        <v>2.4900000000000002</v>
      </c>
      <c r="J418" s="5">
        <f>PRODUCT(Sales[[#This Row],[Quantity Sold]],Sales[[#This Row],[Unit Selling Price (CAD)]])</f>
        <v>136.95000000000002</v>
      </c>
    </row>
    <row r="419" spans="1:10">
      <c r="A419" t="s">
        <v>867</v>
      </c>
      <c r="B419" s="2">
        <v>46078</v>
      </c>
      <c r="C419" t="s">
        <v>141</v>
      </c>
      <c r="D419" t="s">
        <v>142</v>
      </c>
      <c r="E419" t="str">
        <f>_xlfn.XLOOKUP(Sales[[#This Row],[Product Name]],Products[Product Name],Products[Category])</f>
        <v>Breakfast</v>
      </c>
      <c r="F419" t="s">
        <v>444</v>
      </c>
      <c r="G419" t="s">
        <v>454</v>
      </c>
      <c r="H419">
        <v>69</v>
      </c>
      <c r="I419" s="5">
        <f>_xlfn.XLOOKUP(Sales[[#This Row],[Product Name]],Products[Product Name],Products[Selling Price (CAD)])</f>
        <v>4.99</v>
      </c>
      <c r="J419" s="5">
        <f>PRODUCT(Sales[[#This Row],[Quantity Sold]],Sales[[#This Row],[Unit Selling Price (CAD)]])</f>
        <v>344.31</v>
      </c>
    </row>
    <row r="420" spans="1:10">
      <c r="A420" t="s">
        <v>868</v>
      </c>
      <c r="B420" s="2">
        <v>46078</v>
      </c>
      <c r="C420" t="s">
        <v>211</v>
      </c>
      <c r="D420" t="s">
        <v>212</v>
      </c>
      <c r="E420" t="str">
        <f>_xlfn.XLOOKUP(Sales[[#This Row],[Product Name]],Products[Product Name],Products[Category])</f>
        <v>Sides</v>
      </c>
      <c r="F420" t="s">
        <v>444</v>
      </c>
      <c r="G420" t="s">
        <v>450</v>
      </c>
      <c r="H420">
        <v>59</v>
      </c>
      <c r="I420" s="5">
        <f>_xlfn.XLOOKUP(Sales[[#This Row],[Product Name]],Products[Product Name],Products[Selling Price (CAD)])</f>
        <v>3.99</v>
      </c>
      <c r="J420" s="5">
        <f>PRODUCT(Sales[[#This Row],[Quantity Sold]],Sales[[#This Row],[Unit Selling Price (CAD)]])</f>
        <v>235.41000000000003</v>
      </c>
    </row>
    <row r="421" spans="1:10">
      <c r="A421" t="s">
        <v>869</v>
      </c>
      <c r="B421" s="2">
        <v>46078</v>
      </c>
      <c r="C421" t="s">
        <v>279</v>
      </c>
      <c r="D421" t="s">
        <v>280</v>
      </c>
      <c r="E421" t="str">
        <f>_xlfn.XLOOKUP(Sales[[#This Row],[Product Name]],Products[Product Name],Products[Category])</f>
        <v>Beverages</v>
      </c>
      <c r="F421" t="s">
        <v>449</v>
      </c>
      <c r="G421" t="s">
        <v>450</v>
      </c>
      <c r="H421">
        <v>65</v>
      </c>
      <c r="I421" s="5">
        <f>_xlfn.XLOOKUP(Sales[[#This Row],[Product Name]],Products[Product Name],Products[Selling Price (CAD)])</f>
        <v>2.99</v>
      </c>
      <c r="J421" s="5">
        <f>PRODUCT(Sales[[#This Row],[Quantity Sold]],Sales[[#This Row],[Unit Selling Price (CAD)]])</f>
        <v>194.35000000000002</v>
      </c>
    </row>
    <row r="422" spans="1:10">
      <c r="A422" t="s">
        <v>870</v>
      </c>
      <c r="B422" s="2">
        <v>46078</v>
      </c>
      <c r="C422" t="s">
        <v>121</v>
      </c>
      <c r="D422" t="s">
        <v>122</v>
      </c>
      <c r="E422" t="str">
        <f>_xlfn.XLOOKUP(Sales[[#This Row],[Product Name]],Products[Product Name],Products[Category])</f>
        <v>Chicken</v>
      </c>
      <c r="F422" t="s">
        <v>449</v>
      </c>
      <c r="G422" t="s">
        <v>450</v>
      </c>
      <c r="H422">
        <v>62</v>
      </c>
      <c r="I422" s="5">
        <f>_xlfn.XLOOKUP(Sales[[#This Row],[Product Name]],Products[Product Name],Products[Selling Price (CAD)])</f>
        <v>11.99</v>
      </c>
      <c r="J422" s="5">
        <f>PRODUCT(Sales[[#This Row],[Quantity Sold]],Sales[[#This Row],[Unit Selling Price (CAD)]])</f>
        <v>743.38</v>
      </c>
    </row>
    <row r="423" spans="1:10">
      <c r="A423" t="s">
        <v>871</v>
      </c>
      <c r="B423" s="2">
        <v>46079</v>
      </c>
      <c r="C423" t="s">
        <v>25</v>
      </c>
      <c r="D423" t="s">
        <v>26</v>
      </c>
      <c r="E423" t="str">
        <f>_xlfn.XLOOKUP(Sales[[#This Row],[Product Name]],Products[Product Name],Products[Category])</f>
        <v>Burgers</v>
      </c>
      <c r="F423" t="s">
        <v>449</v>
      </c>
      <c r="G423" t="s">
        <v>454</v>
      </c>
      <c r="H423">
        <v>54</v>
      </c>
      <c r="I423" s="5">
        <f>_xlfn.XLOOKUP(Sales[[#This Row],[Product Name]],Products[Product Name],Products[Selling Price (CAD)])</f>
        <v>5.99</v>
      </c>
      <c r="J423" s="5">
        <f>PRODUCT(Sales[[#This Row],[Quantity Sold]],Sales[[#This Row],[Unit Selling Price (CAD)]])</f>
        <v>323.46000000000004</v>
      </c>
    </row>
    <row r="424" spans="1:10">
      <c r="A424" t="s">
        <v>872</v>
      </c>
      <c r="B424" s="2">
        <v>46079</v>
      </c>
      <c r="C424" t="s">
        <v>209</v>
      </c>
      <c r="D424" t="s">
        <v>210</v>
      </c>
      <c r="E424" t="str">
        <f>_xlfn.XLOOKUP(Sales[[#This Row],[Product Name]],Products[Product Name],Products[Category])</f>
        <v>Sides</v>
      </c>
      <c r="F424" t="s">
        <v>447</v>
      </c>
      <c r="G424" t="s">
        <v>454</v>
      </c>
      <c r="H424">
        <v>36</v>
      </c>
      <c r="I424" s="5">
        <f>_xlfn.XLOOKUP(Sales[[#This Row],[Product Name]],Products[Product Name],Products[Selling Price (CAD)])</f>
        <v>4.99</v>
      </c>
      <c r="J424" s="5">
        <f>PRODUCT(Sales[[#This Row],[Quantity Sold]],Sales[[#This Row],[Unit Selling Price (CAD)]])</f>
        <v>179.64000000000001</v>
      </c>
    </row>
    <row r="425" spans="1:10">
      <c r="A425" t="s">
        <v>873</v>
      </c>
      <c r="B425" s="2">
        <v>46079</v>
      </c>
      <c r="C425" t="s">
        <v>72</v>
      </c>
      <c r="D425" t="s">
        <v>73</v>
      </c>
      <c r="E425" t="str">
        <f>_xlfn.XLOOKUP(Sales[[#This Row],[Product Name]],Products[Product Name],Products[Category])</f>
        <v>Burgers</v>
      </c>
      <c r="F425" t="s">
        <v>449</v>
      </c>
      <c r="G425" t="s">
        <v>450</v>
      </c>
      <c r="H425">
        <v>77</v>
      </c>
      <c r="I425" s="5">
        <f>_xlfn.XLOOKUP(Sales[[#This Row],[Product Name]],Products[Product Name],Products[Selling Price (CAD)])</f>
        <v>6.99</v>
      </c>
      <c r="J425" s="5">
        <f>PRODUCT(Sales[[#This Row],[Quantity Sold]],Sales[[#This Row],[Unit Selling Price (CAD)]])</f>
        <v>538.23</v>
      </c>
    </row>
    <row r="426" spans="1:10">
      <c r="A426" t="s">
        <v>874</v>
      </c>
      <c r="B426" s="2">
        <v>46079</v>
      </c>
      <c r="C426" t="s">
        <v>374</v>
      </c>
      <c r="D426" t="s">
        <v>375</v>
      </c>
      <c r="E426" t="str">
        <f>_xlfn.XLOOKUP(Sales[[#This Row],[Product Name]],Products[Product Name],Products[Category])</f>
        <v>Kids Meals</v>
      </c>
      <c r="F426" t="s">
        <v>444</v>
      </c>
      <c r="G426" t="s">
        <v>452</v>
      </c>
      <c r="H426">
        <v>42</v>
      </c>
      <c r="I426" s="5">
        <f>_xlfn.XLOOKUP(Sales[[#This Row],[Product Name]],Products[Product Name],Products[Selling Price (CAD)])</f>
        <v>6.49</v>
      </c>
      <c r="J426" s="5">
        <f>PRODUCT(Sales[[#This Row],[Quantity Sold]],Sales[[#This Row],[Unit Selling Price (CAD)]])</f>
        <v>272.58</v>
      </c>
    </row>
    <row r="427" spans="1:10">
      <c r="A427" t="s">
        <v>875</v>
      </c>
      <c r="B427" s="2">
        <v>46079</v>
      </c>
      <c r="C427" t="s">
        <v>345</v>
      </c>
      <c r="D427" t="s">
        <v>346</v>
      </c>
      <c r="E427" t="str">
        <f>_xlfn.XLOOKUP(Sales[[#This Row],[Product Name]],Products[Product Name],Products[Category])</f>
        <v>Desserts</v>
      </c>
      <c r="F427" t="s">
        <v>449</v>
      </c>
      <c r="G427" t="s">
        <v>450</v>
      </c>
      <c r="H427">
        <v>42</v>
      </c>
      <c r="I427" s="5">
        <f>_xlfn.XLOOKUP(Sales[[#This Row],[Product Name]],Products[Product Name],Products[Selling Price (CAD)])</f>
        <v>5.99</v>
      </c>
      <c r="J427" s="5">
        <f>PRODUCT(Sales[[#This Row],[Quantity Sold]],Sales[[#This Row],[Unit Selling Price (CAD)]])</f>
        <v>251.58</v>
      </c>
    </row>
    <row r="428" spans="1:10">
      <c r="A428" t="s">
        <v>876</v>
      </c>
      <c r="B428" s="2">
        <v>46079</v>
      </c>
      <c r="C428" t="s">
        <v>177</v>
      </c>
      <c r="D428" t="s">
        <v>178</v>
      </c>
      <c r="E428" t="str">
        <f>_xlfn.XLOOKUP(Sales[[#This Row],[Product Name]],Products[Product Name],Products[Category])</f>
        <v>Breakfast</v>
      </c>
      <c r="F428" t="s">
        <v>447</v>
      </c>
      <c r="G428" t="s">
        <v>450</v>
      </c>
      <c r="H428">
        <v>52</v>
      </c>
      <c r="I428" s="5">
        <f>_xlfn.XLOOKUP(Sales[[#This Row],[Product Name]],Products[Product Name],Products[Selling Price (CAD)])</f>
        <v>7.99</v>
      </c>
      <c r="J428" s="5">
        <f>PRODUCT(Sales[[#This Row],[Quantity Sold]],Sales[[#This Row],[Unit Selling Price (CAD)]])</f>
        <v>415.48</v>
      </c>
    </row>
    <row r="429" spans="1:10">
      <c r="A429" t="s">
        <v>877</v>
      </c>
      <c r="B429" s="2">
        <v>46079</v>
      </c>
      <c r="C429" t="s">
        <v>52</v>
      </c>
      <c r="D429" t="s">
        <v>53</v>
      </c>
      <c r="E429" t="str">
        <f>_xlfn.XLOOKUP(Sales[[#This Row],[Product Name]],Products[Product Name],Products[Category])</f>
        <v>Burgers</v>
      </c>
      <c r="F429" t="s">
        <v>444</v>
      </c>
      <c r="G429" t="s">
        <v>452</v>
      </c>
      <c r="H429">
        <v>73</v>
      </c>
      <c r="I429" s="5">
        <f>_xlfn.XLOOKUP(Sales[[#This Row],[Product Name]],Products[Product Name],Products[Selling Price (CAD)])</f>
        <v>6.99</v>
      </c>
      <c r="J429" s="5">
        <f>PRODUCT(Sales[[#This Row],[Quantity Sold]],Sales[[#This Row],[Unit Selling Price (CAD)]])</f>
        <v>510.27000000000004</v>
      </c>
    </row>
    <row r="430" spans="1:10">
      <c r="A430" t="s">
        <v>878</v>
      </c>
      <c r="B430" s="2">
        <v>46080</v>
      </c>
      <c r="C430" t="s">
        <v>91</v>
      </c>
      <c r="D430" t="s">
        <v>92</v>
      </c>
      <c r="E430" t="str">
        <f>_xlfn.XLOOKUP(Sales[[#This Row],[Product Name]],Products[Product Name],Products[Category])</f>
        <v>Chicken</v>
      </c>
      <c r="F430" t="s">
        <v>449</v>
      </c>
      <c r="G430" t="s">
        <v>450</v>
      </c>
      <c r="H430">
        <v>67</v>
      </c>
      <c r="I430" s="5">
        <f>_xlfn.XLOOKUP(Sales[[#This Row],[Product Name]],Products[Product Name],Products[Selling Price (CAD)])</f>
        <v>7.49</v>
      </c>
      <c r="J430" s="5">
        <f>PRODUCT(Sales[[#This Row],[Quantity Sold]],Sales[[#This Row],[Unit Selling Price (CAD)]])</f>
        <v>501.83000000000004</v>
      </c>
    </row>
    <row r="431" spans="1:10">
      <c r="A431" t="s">
        <v>879</v>
      </c>
      <c r="B431" s="2">
        <v>46080</v>
      </c>
      <c r="C431" t="s">
        <v>34</v>
      </c>
      <c r="D431" t="s">
        <v>35</v>
      </c>
      <c r="E431" t="str">
        <f>_xlfn.XLOOKUP(Sales[[#This Row],[Product Name]],Products[Product Name],Products[Category])</f>
        <v>Burgers</v>
      </c>
      <c r="F431" t="s">
        <v>447</v>
      </c>
      <c r="G431" t="s">
        <v>454</v>
      </c>
      <c r="H431">
        <v>46</v>
      </c>
      <c r="I431" s="5">
        <f>_xlfn.XLOOKUP(Sales[[#This Row],[Product Name]],Products[Product Name],Products[Selling Price (CAD)])</f>
        <v>6.99</v>
      </c>
      <c r="J431" s="5">
        <f>PRODUCT(Sales[[#This Row],[Quantity Sold]],Sales[[#This Row],[Unit Selling Price (CAD)]])</f>
        <v>321.54000000000002</v>
      </c>
    </row>
    <row r="432" spans="1:10">
      <c r="A432" t="s">
        <v>880</v>
      </c>
      <c r="B432" s="2">
        <v>46080</v>
      </c>
      <c r="C432" t="s">
        <v>215</v>
      </c>
      <c r="D432" t="s">
        <v>216</v>
      </c>
      <c r="E432" t="str">
        <f>_xlfn.XLOOKUP(Sales[[#This Row],[Product Name]],Products[Product Name],Products[Category])</f>
        <v>Sides</v>
      </c>
      <c r="F432" t="s">
        <v>449</v>
      </c>
      <c r="G432" t="s">
        <v>450</v>
      </c>
      <c r="H432">
        <v>80</v>
      </c>
      <c r="I432" s="5">
        <f>_xlfn.XLOOKUP(Sales[[#This Row],[Product Name]],Products[Product Name],Products[Selling Price (CAD)])</f>
        <v>2.99</v>
      </c>
      <c r="J432" s="5">
        <f>PRODUCT(Sales[[#This Row],[Quantity Sold]],Sales[[#This Row],[Unit Selling Price (CAD)]])</f>
        <v>239.20000000000002</v>
      </c>
    </row>
    <row r="433" spans="1:10">
      <c r="A433" t="s">
        <v>881</v>
      </c>
      <c r="B433" s="2">
        <v>46080</v>
      </c>
      <c r="C433" t="s">
        <v>125</v>
      </c>
      <c r="D433" t="s">
        <v>126</v>
      </c>
      <c r="E433" t="str">
        <f>_xlfn.XLOOKUP(Sales[[#This Row],[Product Name]],Products[Product Name],Products[Category])</f>
        <v>Chicken</v>
      </c>
      <c r="F433" t="s">
        <v>444</v>
      </c>
      <c r="G433" t="s">
        <v>450</v>
      </c>
      <c r="H433">
        <v>46</v>
      </c>
      <c r="I433" s="5">
        <f>_xlfn.XLOOKUP(Sales[[#This Row],[Product Name]],Products[Product Name],Products[Selling Price (CAD)])</f>
        <v>4.99</v>
      </c>
      <c r="J433" s="5">
        <f>PRODUCT(Sales[[#This Row],[Quantity Sold]],Sales[[#This Row],[Unit Selling Price (CAD)]])</f>
        <v>229.54000000000002</v>
      </c>
    </row>
    <row r="434" spans="1:10">
      <c r="A434" t="s">
        <v>882</v>
      </c>
      <c r="B434" s="2">
        <v>46081</v>
      </c>
      <c r="C434" t="s">
        <v>297</v>
      </c>
      <c r="D434" t="s">
        <v>298</v>
      </c>
      <c r="E434" t="str">
        <f>_xlfn.XLOOKUP(Sales[[#This Row],[Product Name]],Products[Product Name],Products[Category])</f>
        <v>Beverages</v>
      </c>
      <c r="F434" t="s">
        <v>449</v>
      </c>
      <c r="G434" t="s">
        <v>452</v>
      </c>
      <c r="H434">
        <v>42</v>
      </c>
      <c r="I434" s="5">
        <f>_xlfn.XLOOKUP(Sales[[#This Row],[Product Name]],Products[Product Name],Products[Selling Price (CAD)])</f>
        <v>2.99</v>
      </c>
      <c r="J434" s="5">
        <f>PRODUCT(Sales[[#This Row],[Quantity Sold]],Sales[[#This Row],[Unit Selling Price (CAD)]])</f>
        <v>125.58000000000001</v>
      </c>
    </row>
    <row r="435" spans="1:10">
      <c r="A435" t="s">
        <v>883</v>
      </c>
      <c r="B435" s="2">
        <v>46081</v>
      </c>
      <c r="C435" t="s">
        <v>287</v>
      </c>
      <c r="D435" t="s">
        <v>288</v>
      </c>
      <c r="E435" t="str">
        <f>_xlfn.XLOOKUP(Sales[[#This Row],[Product Name]],Products[Product Name],Products[Category])</f>
        <v>Beverages</v>
      </c>
      <c r="F435" t="s">
        <v>444</v>
      </c>
      <c r="G435" t="s">
        <v>450</v>
      </c>
      <c r="H435">
        <v>71</v>
      </c>
      <c r="I435" s="5">
        <f>_xlfn.XLOOKUP(Sales[[#This Row],[Product Name]],Products[Product Name],Products[Selling Price (CAD)])</f>
        <v>3.99</v>
      </c>
      <c r="J435" s="5">
        <f>PRODUCT(Sales[[#This Row],[Quantity Sold]],Sales[[#This Row],[Unit Selling Price (CAD)]])</f>
        <v>283.29000000000002</v>
      </c>
    </row>
    <row r="436" spans="1:10">
      <c r="A436" t="s">
        <v>884</v>
      </c>
      <c r="B436" s="2">
        <v>46081</v>
      </c>
      <c r="C436" t="s">
        <v>215</v>
      </c>
      <c r="D436" t="s">
        <v>216</v>
      </c>
      <c r="E436" t="str">
        <f>_xlfn.XLOOKUP(Sales[[#This Row],[Product Name]],Products[Product Name],Products[Category])</f>
        <v>Sides</v>
      </c>
      <c r="F436" t="s">
        <v>444</v>
      </c>
      <c r="G436" t="s">
        <v>450</v>
      </c>
      <c r="H436">
        <v>35</v>
      </c>
      <c r="I436" s="5">
        <f>_xlfn.XLOOKUP(Sales[[#This Row],[Product Name]],Products[Product Name],Products[Selling Price (CAD)])</f>
        <v>2.99</v>
      </c>
      <c r="J436" s="5">
        <f>PRODUCT(Sales[[#This Row],[Quantity Sold]],Sales[[#This Row],[Unit Selling Price (CAD)]])</f>
        <v>104.65</v>
      </c>
    </row>
    <row r="437" spans="1:10">
      <c r="A437" t="s">
        <v>885</v>
      </c>
      <c r="B437" s="2">
        <v>46081</v>
      </c>
      <c r="C437" t="s">
        <v>56</v>
      </c>
      <c r="D437" t="s">
        <v>57</v>
      </c>
      <c r="E437" t="str">
        <f>_xlfn.XLOOKUP(Sales[[#This Row],[Product Name]],Products[Product Name],Products[Category])</f>
        <v>Burgers</v>
      </c>
      <c r="F437" t="s">
        <v>449</v>
      </c>
      <c r="G437" t="s">
        <v>445</v>
      </c>
      <c r="H437">
        <v>65</v>
      </c>
      <c r="I437" s="5">
        <f>_xlfn.XLOOKUP(Sales[[#This Row],[Product Name]],Products[Product Name],Products[Selling Price (CAD)])</f>
        <v>6.49</v>
      </c>
      <c r="J437" s="5">
        <f>PRODUCT(Sales[[#This Row],[Quantity Sold]],Sales[[#This Row],[Unit Selling Price (CAD)]])</f>
        <v>421.85</v>
      </c>
    </row>
    <row r="438" spans="1:10">
      <c r="A438" t="s">
        <v>886</v>
      </c>
      <c r="B438" s="2">
        <v>46081</v>
      </c>
      <c r="C438" t="s">
        <v>185</v>
      </c>
      <c r="D438" t="s">
        <v>186</v>
      </c>
      <c r="E438" t="str">
        <f>_xlfn.XLOOKUP(Sales[[#This Row],[Product Name]],Products[Product Name],Products[Category])</f>
        <v>Sides</v>
      </c>
      <c r="F438" t="s">
        <v>444</v>
      </c>
      <c r="G438" t="s">
        <v>450</v>
      </c>
      <c r="H438">
        <v>44</v>
      </c>
      <c r="I438" s="5">
        <f>_xlfn.XLOOKUP(Sales[[#This Row],[Product Name]],Products[Product Name],Products[Selling Price (CAD)])</f>
        <v>3.49</v>
      </c>
      <c r="J438" s="5">
        <f>PRODUCT(Sales[[#This Row],[Quantity Sold]],Sales[[#This Row],[Unit Selling Price (CAD)]])</f>
        <v>153.56</v>
      </c>
    </row>
    <row r="439" spans="1:10">
      <c r="A439" t="s">
        <v>887</v>
      </c>
      <c r="B439" s="2">
        <v>46081</v>
      </c>
      <c r="C439" t="s">
        <v>289</v>
      </c>
      <c r="D439" t="s">
        <v>290</v>
      </c>
      <c r="E439" t="str">
        <f>_xlfn.XLOOKUP(Sales[[#This Row],[Product Name]],Products[Product Name],Products[Category])</f>
        <v>Beverages</v>
      </c>
      <c r="F439" t="s">
        <v>449</v>
      </c>
      <c r="G439" t="s">
        <v>450</v>
      </c>
      <c r="H439">
        <v>42</v>
      </c>
      <c r="I439" s="5">
        <f>_xlfn.XLOOKUP(Sales[[#This Row],[Product Name]],Products[Product Name],Products[Selling Price (CAD)])</f>
        <v>2.99</v>
      </c>
      <c r="J439" s="5">
        <f>PRODUCT(Sales[[#This Row],[Quantity Sold]],Sales[[#This Row],[Unit Selling Price (CAD)]])</f>
        <v>125.58000000000001</v>
      </c>
    </row>
    <row r="440" spans="1:10">
      <c r="A440" t="s">
        <v>888</v>
      </c>
      <c r="B440" s="2">
        <v>46081</v>
      </c>
      <c r="C440" t="s">
        <v>327</v>
      </c>
      <c r="D440" t="s">
        <v>328</v>
      </c>
      <c r="E440" t="str">
        <f>_xlfn.XLOOKUP(Sales[[#This Row],[Product Name]],Products[Product Name],Products[Category])</f>
        <v>Desserts</v>
      </c>
      <c r="F440" t="s">
        <v>447</v>
      </c>
      <c r="G440" t="s">
        <v>450</v>
      </c>
      <c r="H440">
        <v>60</v>
      </c>
      <c r="I440" s="5">
        <f>_xlfn.XLOOKUP(Sales[[#This Row],[Product Name]],Products[Product Name],Products[Selling Price (CAD)])</f>
        <v>4.49</v>
      </c>
      <c r="J440" s="5">
        <f>PRODUCT(Sales[[#This Row],[Quantity Sold]],Sales[[#This Row],[Unit Selling Price (CAD)]])</f>
        <v>269.40000000000003</v>
      </c>
    </row>
    <row r="441" spans="1:10">
      <c r="A441" t="s">
        <v>889</v>
      </c>
      <c r="B441" s="2">
        <v>46081</v>
      </c>
      <c r="C441" t="s">
        <v>169</v>
      </c>
      <c r="D441" t="s">
        <v>170</v>
      </c>
      <c r="E441" t="str">
        <f>_xlfn.XLOOKUP(Sales[[#This Row],[Product Name]],Products[Product Name],Products[Category])</f>
        <v>Breakfast</v>
      </c>
      <c r="F441" t="s">
        <v>444</v>
      </c>
      <c r="G441" t="s">
        <v>450</v>
      </c>
      <c r="H441">
        <v>50</v>
      </c>
      <c r="I441" s="5">
        <f>_xlfn.XLOOKUP(Sales[[#This Row],[Product Name]],Products[Product Name],Products[Selling Price (CAD)])</f>
        <v>2.99</v>
      </c>
      <c r="J441" s="5">
        <f>PRODUCT(Sales[[#This Row],[Quantity Sold]],Sales[[#This Row],[Unit Selling Price (CAD)]])</f>
        <v>149.5</v>
      </c>
    </row>
    <row r="442" spans="1:10">
      <c r="A442" t="s">
        <v>890</v>
      </c>
      <c r="B442" s="2">
        <v>46081</v>
      </c>
      <c r="C442" t="s">
        <v>187</v>
      </c>
      <c r="D442" t="s">
        <v>188</v>
      </c>
      <c r="E442" t="str">
        <f>_xlfn.XLOOKUP(Sales[[#This Row],[Product Name]],Products[Product Name],Products[Category])</f>
        <v>Sides</v>
      </c>
      <c r="F442" t="s">
        <v>447</v>
      </c>
      <c r="G442" t="s">
        <v>445</v>
      </c>
      <c r="H442">
        <v>49</v>
      </c>
      <c r="I442" s="5">
        <f>_xlfn.XLOOKUP(Sales[[#This Row],[Product Name]],Products[Product Name],Products[Selling Price (CAD)])</f>
        <v>4.49</v>
      </c>
      <c r="J442" s="5">
        <f>PRODUCT(Sales[[#This Row],[Quantity Sold]],Sales[[#This Row],[Unit Selling Price (CAD)]])</f>
        <v>220.01000000000002</v>
      </c>
    </row>
    <row r="443" spans="1:10">
      <c r="A443" t="s">
        <v>891</v>
      </c>
      <c r="B443" s="2">
        <v>46081</v>
      </c>
      <c r="C443" t="s">
        <v>80</v>
      </c>
      <c r="D443" t="s">
        <v>81</v>
      </c>
      <c r="E443" t="str">
        <f>_xlfn.XLOOKUP(Sales[[#This Row],[Product Name]],Products[Product Name],Products[Category])</f>
        <v>Burgers</v>
      </c>
      <c r="F443" t="s">
        <v>444</v>
      </c>
      <c r="G443" t="s">
        <v>450</v>
      </c>
      <c r="H443">
        <v>36</v>
      </c>
      <c r="I443" s="5">
        <f>_xlfn.XLOOKUP(Sales[[#This Row],[Product Name]],Products[Product Name],Products[Selling Price (CAD)])</f>
        <v>2.99</v>
      </c>
      <c r="J443" s="5">
        <f>PRODUCT(Sales[[#This Row],[Quantity Sold]],Sales[[#This Row],[Unit Selling Price (CAD)]])</f>
        <v>107.64000000000001</v>
      </c>
    </row>
    <row r="444" spans="1:10">
      <c r="A444" t="s">
        <v>892</v>
      </c>
      <c r="B444" s="2">
        <v>46081</v>
      </c>
      <c r="C444" t="s">
        <v>50</v>
      </c>
      <c r="D444" t="s">
        <v>51</v>
      </c>
      <c r="E444" t="str">
        <f>_xlfn.XLOOKUP(Sales[[#This Row],[Product Name]],Products[Product Name],Products[Category])</f>
        <v>Burgers</v>
      </c>
      <c r="F444" t="s">
        <v>447</v>
      </c>
      <c r="G444" t="s">
        <v>454</v>
      </c>
      <c r="H444">
        <v>60</v>
      </c>
      <c r="I444" s="5">
        <f>_xlfn.XLOOKUP(Sales[[#This Row],[Product Name]],Products[Product Name],Products[Selling Price (CAD)])</f>
        <v>8.49</v>
      </c>
      <c r="J444" s="5">
        <f>PRODUCT(Sales[[#This Row],[Quantity Sold]],Sales[[#This Row],[Unit Selling Price (CAD)]])</f>
        <v>509.40000000000003</v>
      </c>
    </row>
    <row r="445" spans="1:10">
      <c r="A445" t="s">
        <v>893</v>
      </c>
      <c r="B445" s="2">
        <v>46081</v>
      </c>
      <c r="C445" t="s">
        <v>221</v>
      </c>
      <c r="D445" t="s">
        <v>222</v>
      </c>
      <c r="E445" t="str">
        <f>_xlfn.XLOOKUP(Sales[[#This Row],[Product Name]],Products[Product Name],Products[Category])</f>
        <v>Sides</v>
      </c>
      <c r="F445" t="s">
        <v>444</v>
      </c>
      <c r="G445" t="s">
        <v>454</v>
      </c>
      <c r="H445">
        <v>76</v>
      </c>
      <c r="I445" s="5">
        <f>_xlfn.XLOOKUP(Sales[[#This Row],[Product Name]],Products[Product Name],Products[Selling Price (CAD)])</f>
        <v>5.99</v>
      </c>
      <c r="J445" s="5">
        <f>PRODUCT(Sales[[#This Row],[Quantity Sold]],Sales[[#This Row],[Unit Selling Price (CAD)]])</f>
        <v>455.24</v>
      </c>
    </row>
    <row r="446" spans="1:10">
      <c r="A446" t="s">
        <v>894</v>
      </c>
      <c r="B446" s="2">
        <v>46081</v>
      </c>
      <c r="C446" t="s">
        <v>169</v>
      </c>
      <c r="D446" t="s">
        <v>170</v>
      </c>
      <c r="E446" t="str">
        <f>_xlfn.XLOOKUP(Sales[[#This Row],[Product Name]],Products[Product Name],Products[Category])</f>
        <v>Breakfast</v>
      </c>
      <c r="F446" t="s">
        <v>447</v>
      </c>
      <c r="G446" t="s">
        <v>445</v>
      </c>
      <c r="H446">
        <v>57</v>
      </c>
      <c r="I446" s="5">
        <f>_xlfn.XLOOKUP(Sales[[#This Row],[Product Name]],Products[Product Name],Products[Selling Price (CAD)])</f>
        <v>2.99</v>
      </c>
      <c r="J446" s="5">
        <f>PRODUCT(Sales[[#This Row],[Quantity Sold]],Sales[[#This Row],[Unit Selling Price (CAD)]])</f>
        <v>170.43</v>
      </c>
    </row>
    <row r="447" spans="1:10">
      <c r="A447" t="s">
        <v>895</v>
      </c>
      <c r="B447" s="2">
        <v>46082</v>
      </c>
      <c r="C447" t="s">
        <v>95</v>
      </c>
      <c r="D447" t="s">
        <v>96</v>
      </c>
      <c r="E447" t="str">
        <f>_xlfn.XLOOKUP(Sales[[#This Row],[Product Name]],Products[Product Name],Products[Category])</f>
        <v>Chicken</v>
      </c>
      <c r="F447" t="s">
        <v>444</v>
      </c>
      <c r="G447" t="s">
        <v>450</v>
      </c>
      <c r="H447">
        <v>77</v>
      </c>
      <c r="I447" s="5">
        <f>_xlfn.XLOOKUP(Sales[[#This Row],[Product Name]],Products[Product Name],Products[Selling Price (CAD)])</f>
        <v>7.49</v>
      </c>
      <c r="J447" s="5">
        <f>PRODUCT(Sales[[#This Row],[Quantity Sold]],Sales[[#This Row],[Unit Selling Price (CAD)]])</f>
        <v>576.73</v>
      </c>
    </row>
    <row r="448" spans="1:10">
      <c r="A448" t="s">
        <v>896</v>
      </c>
      <c r="B448" s="2">
        <v>46082</v>
      </c>
      <c r="C448" t="s">
        <v>291</v>
      </c>
      <c r="D448" t="s">
        <v>292</v>
      </c>
      <c r="E448" t="str">
        <f>_xlfn.XLOOKUP(Sales[[#This Row],[Product Name]],Products[Product Name],Products[Category])</f>
        <v>Beverages</v>
      </c>
      <c r="F448" t="s">
        <v>444</v>
      </c>
      <c r="G448" t="s">
        <v>450</v>
      </c>
      <c r="H448">
        <v>40</v>
      </c>
      <c r="I448" s="5">
        <f>_xlfn.XLOOKUP(Sales[[#This Row],[Product Name]],Products[Product Name],Products[Selling Price (CAD)])</f>
        <v>3.99</v>
      </c>
      <c r="J448" s="5">
        <f>PRODUCT(Sales[[#This Row],[Quantity Sold]],Sales[[#This Row],[Unit Selling Price (CAD)]])</f>
        <v>159.60000000000002</v>
      </c>
    </row>
    <row r="449" spans="1:10">
      <c r="A449" t="s">
        <v>897</v>
      </c>
      <c r="B449" s="2">
        <v>46082</v>
      </c>
      <c r="C449" t="s">
        <v>68</v>
      </c>
      <c r="D449" t="s">
        <v>69</v>
      </c>
      <c r="E449" t="str">
        <f>_xlfn.XLOOKUP(Sales[[#This Row],[Product Name]],Products[Product Name],Products[Category])</f>
        <v>Burgers</v>
      </c>
      <c r="F449" t="s">
        <v>447</v>
      </c>
      <c r="G449" t="s">
        <v>450</v>
      </c>
      <c r="H449">
        <v>70</v>
      </c>
      <c r="I449" s="5">
        <f>_xlfn.XLOOKUP(Sales[[#This Row],[Product Name]],Products[Product Name],Products[Selling Price (CAD)])</f>
        <v>6.99</v>
      </c>
      <c r="J449" s="5">
        <f>PRODUCT(Sales[[#This Row],[Quantity Sold]],Sales[[#This Row],[Unit Selling Price (CAD)]])</f>
        <v>489.3</v>
      </c>
    </row>
    <row r="450" spans="1:10">
      <c r="A450" t="s">
        <v>898</v>
      </c>
      <c r="B450" s="2">
        <v>46082</v>
      </c>
      <c r="C450" t="s">
        <v>265</v>
      </c>
      <c r="D450" t="s">
        <v>266</v>
      </c>
      <c r="E450" t="str">
        <f>_xlfn.XLOOKUP(Sales[[#This Row],[Product Name]],Products[Product Name],Products[Category])</f>
        <v>Beverages</v>
      </c>
      <c r="F450" t="s">
        <v>444</v>
      </c>
      <c r="G450" t="s">
        <v>450</v>
      </c>
      <c r="H450">
        <v>58</v>
      </c>
      <c r="I450" s="5">
        <f>_xlfn.XLOOKUP(Sales[[#This Row],[Product Name]],Products[Product Name],Products[Selling Price (CAD)])</f>
        <v>1.99</v>
      </c>
      <c r="J450" s="5">
        <f>PRODUCT(Sales[[#This Row],[Quantity Sold]],Sales[[#This Row],[Unit Selling Price (CAD)]])</f>
        <v>115.42</v>
      </c>
    </row>
    <row r="451" spans="1:10">
      <c r="A451" t="s">
        <v>899</v>
      </c>
      <c r="B451" s="2">
        <v>46082</v>
      </c>
      <c r="C451" t="s">
        <v>404</v>
      </c>
      <c r="D451" t="s">
        <v>405</v>
      </c>
      <c r="E451" t="str">
        <f>_xlfn.XLOOKUP(Sales[[#This Row],[Product Name]],Products[Product Name],Products[Category])</f>
        <v>Combo Meals</v>
      </c>
      <c r="F451" t="s">
        <v>444</v>
      </c>
      <c r="G451" t="s">
        <v>445</v>
      </c>
      <c r="H451">
        <v>43</v>
      </c>
      <c r="I451" s="5">
        <f>_xlfn.XLOOKUP(Sales[[#This Row],[Product Name]],Products[Product Name],Products[Selling Price (CAD)])</f>
        <v>8.99</v>
      </c>
      <c r="J451" s="5">
        <f>PRODUCT(Sales[[#This Row],[Quantity Sold]],Sales[[#This Row],[Unit Selling Price (CAD)]])</f>
        <v>386.57</v>
      </c>
    </row>
    <row r="452" spans="1:10">
      <c r="A452" t="s">
        <v>900</v>
      </c>
      <c r="B452" s="2">
        <v>46082</v>
      </c>
      <c r="C452" t="s">
        <v>32</v>
      </c>
      <c r="D452" t="s">
        <v>33</v>
      </c>
      <c r="E452" t="str">
        <f>_xlfn.XLOOKUP(Sales[[#This Row],[Product Name]],Products[Product Name],Products[Category])</f>
        <v>Burgers</v>
      </c>
      <c r="F452" t="s">
        <v>444</v>
      </c>
      <c r="G452" t="s">
        <v>450</v>
      </c>
      <c r="H452">
        <v>59</v>
      </c>
      <c r="I452" s="5">
        <f>_xlfn.XLOOKUP(Sales[[#This Row],[Product Name]],Products[Product Name],Products[Selling Price (CAD)])</f>
        <v>9.99</v>
      </c>
      <c r="J452" s="5">
        <f>PRODUCT(Sales[[#This Row],[Quantity Sold]],Sales[[#This Row],[Unit Selling Price (CAD)]])</f>
        <v>589.41</v>
      </c>
    </row>
    <row r="453" spans="1:10">
      <c r="A453" t="s">
        <v>901</v>
      </c>
      <c r="B453" s="2">
        <v>46082</v>
      </c>
      <c r="C453" t="s">
        <v>421</v>
      </c>
      <c r="D453" t="s">
        <v>422</v>
      </c>
      <c r="E453" t="str">
        <f>_xlfn.XLOOKUP(Sales[[#This Row],[Product Name]],Products[Product Name],Products[Category])</f>
        <v>Combo Meals</v>
      </c>
      <c r="F453" t="s">
        <v>449</v>
      </c>
      <c r="G453" t="s">
        <v>445</v>
      </c>
      <c r="H453">
        <v>31</v>
      </c>
      <c r="I453" s="5">
        <f>_xlfn.XLOOKUP(Sales[[#This Row],[Product Name]],Products[Product Name],Products[Selling Price (CAD)])</f>
        <v>8.99</v>
      </c>
      <c r="J453" s="5">
        <f>PRODUCT(Sales[[#This Row],[Quantity Sold]],Sales[[#This Row],[Unit Selling Price (CAD)]])</f>
        <v>278.69</v>
      </c>
    </row>
    <row r="454" spans="1:10">
      <c r="A454" t="s">
        <v>902</v>
      </c>
      <c r="B454" s="2">
        <v>46082</v>
      </c>
      <c r="C454" t="s">
        <v>415</v>
      </c>
      <c r="D454" t="s">
        <v>416</v>
      </c>
      <c r="E454" t="str">
        <f>_xlfn.XLOOKUP(Sales[[#This Row],[Product Name]],Products[Product Name],Products[Category])</f>
        <v>Combo Meals</v>
      </c>
      <c r="F454" t="s">
        <v>444</v>
      </c>
      <c r="G454" t="s">
        <v>454</v>
      </c>
      <c r="H454">
        <v>56</v>
      </c>
      <c r="I454" s="5">
        <f>_xlfn.XLOOKUP(Sales[[#This Row],[Product Name]],Products[Product Name],Products[Selling Price (CAD)])</f>
        <v>9.99</v>
      </c>
      <c r="J454" s="5">
        <f>PRODUCT(Sales[[#This Row],[Quantity Sold]],Sales[[#This Row],[Unit Selling Price (CAD)]])</f>
        <v>559.44000000000005</v>
      </c>
    </row>
    <row r="455" spans="1:10">
      <c r="A455" t="s">
        <v>903</v>
      </c>
      <c r="B455" s="2">
        <v>46082</v>
      </c>
      <c r="C455" t="s">
        <v>311</v>
      </c>
      <c r="D455" t="s">
        <v>312</v>
      </c>
      <c r="E455" t="str">
        <f>_xlfn.XLOOKUP(Sales[[#This Row],[Product Name]],Products[Product Name],Products[Category])</f>
        <v>Beverages</v>
      </c>
      <c r="F455" t="s">
        <v>449</v>
      </c>
      <c r="G455" t="s">
        <v>450</v>
      </c>
      <c r="H455">
        <v>30</v>
      </c>
      <c r="I455" s="5">
        <f>_xlfn.XLOOKUP(Sales[[#This Row],[Product Name]],Products[Product Name],Products[Selling Price (CAD)])</f>
        <v>3.99</v>
      </c>
      <c r="J455" s="5">
        <f>PRODUCT(Sales[[#This Row],[Quantity Sold]],Sales[[#This Row],[Unit Selling Price (CAD)]])</f>
        <v>119.7</v>
      </c>
    </row>
    <row r="456" spans="1:10">
      <c r="A456" t="s">
        <v>904</v>
      </c>
      <c r="B456" s="2">
        <v>46082</v>
      </c>
      <c r="C456" t="s">
        <v>183</v>
      </c>
      <c r="D456" t="s">
        <v>184</v>
      </c>
      <c r="E456" t="str">
        <f>_xlfn.XLOOKUP(Sales[[#This Row],[Product Name]],Products[Product Name],Products[Category])</f>
        <v>Sides</v>
      </c>
      <c r="F456" t="s">
        <v>444</v>
      </c>
      <c r="G456" t="s">
        <v>450</v>
      </c>
      <c r="H456">
        <v>61</v>
      </c>
      <c r="I456" s="5">
        <f>_xlfn.XLOOKUP(Sales[[#This Row],[Product Name]],Products[Product Name],Products[Selling Price (CAD)])</f>
        <v>2.99</v>
      </c>
      <c r="J456" s="5">
        <f>PRODUCT(Sales[[#This Row],[Quantity Sold]],Sales[[#This Row],[Unit Selling Price (CAD)]])</f>
        <v>182.39000000000001</v>
      </c>
    </row>
    <row r="457" spans="1:10">
      <c r="A457" t="s">
        <v>905</v>
      </c>
      <c r="B457" s="2">
        <v>46082</v>
      </c>
      <c r="C457" t="s">
        <v>97</v>
      </c>
      <c r="D457" t="s">
        <v>98</v>
      </c>
      <c r="E457" t="str">
        <f>_xlfn.XLOOKUP(Sales[[#This Row],[Product Name]],Products[Product Name],Products[Category])</f>
        <v>Chicken</v>
      </c>
      <c r="F457" t="s">
        <v>447</v>
      </c>
      <c r="G457" t="s">
        <v>454</v>
      </c>
      <c r="H457">
        <v>67</v>
      </c>
      <c r="I457" s="5">
        <f>_xlfn.XLOOKUP(Sales[[#This Row],[Product Name]],Products[Product Name],Products[Selling Price (CAD)])</f>
        <v>6.99</v>
      </c>
      <c r="J457" s="5">
        <f>PRODUCT(Sales[[#This Row],[Quantity Sold]],Sales[[#This Row],[Unit Selling Price (CAD)]])</f>
        <v>468.33000000000004</v>
      </c>
    </row>
    <row r="458" spans="1:10">
      <c r="A458" t="s">
        <v>906</v>
      </c>
      <c r="B458" s="2">
        <v>46082</v>
      </c>
      <c r="C458" t="s">
        <v>123</v>
      </c>
      <c r="D458" t="s">
        <v>124</v>
      </c>
      <c r="E458" t="str">
        <f>_xlfn.XLOOKUP(Sales[[#This Row],[Product Name]],Products[Product Name],Products[Category])</f>
        <v>Chicken</v>
      </c>
      <c r="F458" t="s">
        <v>444</v>
      </c>
      <c r="G458" t="s">
        <v>450</v>
      </c>
      <c r="H458">
        <v>57</v>
      </c>
      <c r="I458" s="5">
        <f>_xlfn.XLOOKUP(Sales[[#This Row],[Product Name]],Products[Product Name],Products[Selling Price (CAD)])</f>
        <v>2.99</v>
      </c>
      <c r="J458" s="5">
        <f>PRODUCT(Sales[[#This Row],[Quantity Sold]],Sales[[#This Row],[Unit Selling Price (CAD)]])</f>
        <v>170.43</v>
      </c>
    </row>
    <row r="459" spans="1:10">
      <c r="A459" t="s">
        <v>907</v>
      </c>
      <c r="B459" s="2">
        <v>46083</v>
      </c>
      <c r="C459" t="s">
        <v>72</v>
      </c>
      <c r="D459" t="s">
        <v>73</v>
      </c>
      <c r="E459" t="str">
        <f>_xlfn.XLOOKUP(Sales[[#This Row],[Product Name]],Products[Product Name],Products[Category])</f>
        <v>Burgers</v>
      </c>
      <c r="F459" t="s">
        <v>444</v>
      </c>
      <c r="G459" t="s">
        <v>454</v>
      </c>
      <c r="H459">
        <v>40</v>
      </c>
      <c r="I459" s="5">
        <f>_xlfn.XLOOKUP(Sales[[#This Row],[Product Name]],Products[Product Name],Products[Selling Price (CAD)])</f>
        <v>6.99</v>
      </c>
      <c r="J459" s="5">
        <f>PRODUCT(Sales[[#This Row],[Quantity Sold]],Sales[[#This Row],[Unit Selling Price (CAD)]])</f>
        <v>279.60000000000002</v>
      </c>
    </row>
    <row r="460" spans="1:10">
      <c r="A460" t="s">
        <v>908</v>
      </c>
      <c r="B460" s="2">
        <v>46083</v>
      </c>
      <c r="C460" t="s">
        <v>257</v>
      </c>
      <c r="D460" t="s">
        <v>258</v>
      </c>
      <c r="E460" t="str">
        <f>_xlfn.XLOOKUP(Sales[[#This Row],[Product Name]],Products[Product Name],Products[Category])</f>
        <v>Beverages</v>
      </c>
      <c r="F460" t="s">
        <v>444</v>
      </c>
      <c r="G460" t="s">
        <v>452</v>
      </c>
      <c r="H460">
        <v>77</v>
      </c>
      <c r="I460" s="5">
        <f>_xlfn.XLOOKUP(Sales[[#This Row],[Product Name]],Products[Product Name],Products[Selling Price (CAD)])</f>
        <v>2.99</v>
      </c>
      <c r="J460" s="5">
        <f>PRODUCT(Sales[[#This Row],[Quantity Sold]],Sales[[#This Row],[Unit Selling Price (CAD)]])</f>
        <v>230.23000000000002</v>
      </c>
    </row>
    <row r="461" spans="1:10">
      <c r="A461" t="s">
        <v>909</v>
      </c>
      <c r="B461" s="2">
        <v>46083</v>
      </c>
      <c r="C461" t="s">
        <v>121</v>
      </c>
      <c r="D461" t="s">
        <v>122</v>
      </c>
      <c r="E461" t="str">
        <f>_xlfn.XLOOKUP(Sales[[#This Row],[Product Name]],Products[Product Name],Products[Category])</f>
        <v>Chicken</v>
      </c>
      <c r="F461" t="s">
        <v>444</v>
      </c>
      <c r="G461" t="s">
        <v>450</v>
      </c>
      <c r="H461">
        <v>63</v>
      </c>
      <c r="I461" s="5">
        <f>_xlfn.XLOOKUP(Sales[[#This Row],[Product Name]],Products[Product Name],Products[Selling Price (CAD)])</f>
        <v>11.99</v>
      </c>
      <c r="J461" s="5">
        <f>PRODUCT(Sales[[#This Row],[Quantity Sold]],Sales[[#This Row],[Unit Selling Price (CAD)]])</f>
        <v>755.37</v>
      </c>
    </row>
    <row r="462" spans="1:10">
      <c r="A462" t="s">
        <v>910</v>
      </c>
      <c r="B462" s="2">
        <v>46083</v>
      </c>
      <c r="C462" t="s">
        <v>283</v>
      </c>
      <c r="D462" t="s">
        <v>284</v>
      </c>
      <c r="E462" t="str">
        <f>_xlfn.XLOOKUP(Sales[[#This Row],[Product Name]],Products[Product Name],Products[Category])</f>
        <v>Beverages</v>
      </c>
      <c r="F462" t="s">
        <v>449</v>
      </c>
      <c r="G462" t="s">
        <v>450</v>
      </c>
      <c r="H462">
        <v>63</v>
      </c>
      <c r="I462" s="5">
        <f>_xlfn.XLOOKUP(Sales[[#This Row],[Product Name]],Products[Product Name],Products[Selling Price (CAD)])</f>
        <v>2.99</v>
      </c>
      <c r="J462" s="5">
        <f>PRODUCT(Sales[[#This Row],[Quantity Sold]],Sales[[#This Row],[Unit Selling Price (CAD)]])</f>
        <v>188.37</v>
      </c>
    </row>
    <row r="463" spans="1:10">
      <c r="A463" t="s">
        <v>911</v>
      </c>
      <c r="B463" s="2">
        <v>46083</v>
      </c>
      <c r="C463" t="s">
        <v>331</v>
      </c>
      <c r="D463" t="s">
        <v>332</v>
      </c>
      <c r="E463" t="str">
        <f>_xlfn.XLOOKUP(Sales[[#This Row],[Product Name]],Products[Product Name],Products[Category])</f>
        <v>Desserts</v>
      </c>
      <c r="F463" t="s">
        <v>447</v>
      </c>
      <c r="G463" t="s">
        <v>450</v>
      </c>
      <c r="H463">
        <v>32</v>
      </c>
      <c r="I463" s="5">
        <f>_xlfn.XLOOKUP(Sales[[#This Row],[Product Name]],Products[Product Name],Products[Selling Price (CAD)])</f>
        <v>3.49</v>
      </c>
      <c r="J463" s="5">
        <f>PRODUCT(Sales[[#This Row],[Quantity Sold]],Sales[[#This Row],[Unit Selling Price (CAD)]])</f>
        <v>111.68</v>
      </c>
    </row>
    <row r="464" spans="1:10">
      <c r="A464" t="s">
        <v>912</v>
      </c>
      <c r="B464" s="2">
        <v>46083</v>
      </c>
      <c r="C464" t="s">
        <v>54</v>
      </c>
      <c r="D464" t="s">
        <v>55</v>
      </c>
      <c r="E464" t="str">
        <f>_xlfn.XLOOKUP(Sales[[#This Row],[Product Name]],Products[Product Name],Products[Category])</f>
        <v>Burgers</v>
      </c>
      <c r="F464" t="s">
        <v>444</v>
      </c>
      <c r="G464" t="s">
        <v>452</v>
      </c>
      <c r="H464">
        <v>50</v>
      </c>
      <c r="I464" s="5">
        <f>_xlfn.XLOOKUP(Sales[[#This Row],[Product Name]],Products[Product Name],Products[Selling Price (CAD)])</f>
        <v>8.99</v>
      </c>
      <c r="J464" s="5">
        <f>PRODUCT(Sales[[#This Row],[Quantity Sold]],Sales[[#This Row],[Unit Selling Price (CAD)]])</f>
        <v>449.5</v>
      </c>
    </row>
    <row r="465" spans="1:10">
      <c r="A465" t="s">
        <v>913</v>
      </c>
      <c r="B465" s="2">
        <v>46083</v>
      </c>
      <c r="C465" t="s">
        <v>407</v>
      </c>
      <c r="D465" t="s">
        <v>408</v>
      </c>
      <c r="E465" t="str">
        <f>_xlfn.XLOOKUP(Sales[[#This Row],[Product Name]],Products[Product Name],Products[Category])</f>
        <v>Combo Meals</v>
      </c>
      <c r="F465" t="s">
        <v>444</v>
      </c>
      <c r="G465" t="s">
        <v>452</v>
      </c>
      <c r="H465">
        <v>34</v>
      </c>
      <c r="I465" s="5">
        <f>_xlfn.XLOOKUP(Sales[[#This Row],[Product Name]],Products[Product Name],Products[Selling Price (CAD)])</f>
        <v>10.99</v>
      </c>
      <c r="J465" s="5">
        <f>PRODUCT(Sales[[#This Row],[Quantity Sold]],Sales[[#This Row],[Unit Selling Price (CAD)]])</f>
        <v>373.66</v>
      </c>
    </row>
    <row r="466" spans="1:10">
      <c r="A466" t="s">
        <v>914</v>
      </c>
      <c r="B466" s="2">
        <v>46083</v>
      </c>
      <c r="C466" t="s">
        <v>411</v>
      </c>
      <c r="D466" t="s">
        <v>412</v>
      </c>
      <c r="E466" t="str">
        <f>_xlfn.XLOOKUP(Sales[[#This Row],[Product Name]],Products[Product Name],Products[Category])</f>
        <v>Combo Meals</v>
      </c>
      <c r="F466" t="s">
        <v>444</v>
      </c>
      <c r="G466" t="s">
        <v>450</v>
      </c>
      <c r="H466">
        <v>78</v>
      </c>
      <c r="I466" s="5">
        <f>_xlfn.XLOOKUP(Sales[[#This Row],[Product Name]],Products[Product Name],Products[Selling Price (CAD)])</f>
        <v>10.99</v>
      </c>
      <c r="J466" s="5">
        <f>PRODUCT(Sales[[#This Row],[Quantity Sold]],Sales[[#This Row],[Unit Selling Price (CAD)]])</f>
        <v>857.22</v>
      </c>
    </row>
    <row r="467" spans="1:10">
      <c r="A467" t="s">
        <v>915</v>
      </c>
      <c r="B467" s="2">
        <v>46083</v>
      </c>
      <c r="C467" t="s">
        <v>295</v>
      </c>
      <c r="D467" t="s">
        <v>296</v>
      </c>
      <c r="E467" t="str">
        <f>_xlfn.XLOOKUP(Sales[[#This Row],[Product Name]],Products[Product Name],Products[Category])</f>
        <v>Beverages</v>
      </c>
      <c r="F467" t="s">
        <v>444</v>
      </c>
      <c r="G467" t="s">
        <v>452</v>
      </c>
      <c r="H467">
        <v>59</v>
      </c>
      <c r="I467" s="5">
        <f>_xlfn.XLOOKUP(Sales[[#This Row],[Product Name]],Products[Product Name],Products[Selling Price (CAD)])</f>
        <v>2.99</v>
      </c>
      <c r="J467" s="5">
        <f>PRODUCT(Sales[[#This Row],[Quantity Sold]],Sales[[#This Row],[Unit Selling Price (CAD)]])</f>
        <v>176.41000000000003</v>
      </c>
    </row>
    <row r="468" spans="1:10">
      <c r="A468" t="s">
        <v>916</v>
      </c>
      <c r="B468" s="2">
        <v>46083</v>
      </c>
      <c r="C468" t="s">
        <v>329</v>
      </c>
      <c r="D468" t="s">
        <v>330</v>
      </c>
      <c r="E468" t="str">
        <f>_xlfn.XLOOKUP(Sales[[#This Row],[Product Name]],Products[Product Name],Products[Category])</f>
        <v>Desserts</v>
      </c>
      <c r="F468" t="s">
        <v>444</v>
      </c>
      <c r="G468" t="s">
        <v>452</v>
      </c>
      <c r="H468">
        <v>31</v>
      </c>
      <c r="I468" s="5">
        <f>_xlfn.XLOOKUP(Sales[[#This Row],[Product Name]],Products[Product Name],Products[Selling Price (CAD)])</f>
        <v>2.99</v>
      </c>
      <c r="J468" s="5">
        <f>PRODUCT(Sales[[#This Row],[Quantity Sold]],Sales[[#This Row],[Unit Selling Price (CAD)]])</f>
        <v>92.690000000000012</v>
      </c>
    </row>
    <row r="469" spans="1:10">
      <c r="A469" t="s">
        <v>917</v>
      </c>
      <c r="B469" s="2">
        <v>46083</v>
      </c>
      <c r="C469" t="s">
        <v>417</v>
      </c>
      <c r="D469" t="s">
        <v>418</v>
      </c>
      <c r="E469" t="str">
        <f>_xlfn.XLOOKUP(Sales[[#This Row],[Product Name]],Products[Product Name],Products[Category])</f>
        <v>Combo Meals</v>
      </c>
      <c r="F469" t="s">
        <v>449</v>
      </c>
      <c r="G469" t="s">
        <v>450</v>
      </c>
      <c r="H469">
        <v>54</v>
      </c>
      <c r="I469" s="5">
        <f>_xlfn.XLOOKUP(Sales[[#This Row],[Product Name]],Products[Product Name],Products[Selling Price (CAD)])</f>
        <v>9.99</v>
      </c>
      <c r="J469" s="5">
        <f>PRODUCT(Sales[[#This Row],[Quantity Sold]],Sales[[#This Row],[Unit Selling Price (CAD)]])</f>
        <v>539.46</v>
      </c>
    </row>
    <row r="470" spans="1:10">
      <c r="A470" t="s">
        <v>918</v>
      </c>
      <c r="B470" s="2">
        <v>46083</v>
      </c>
      <c r="C470" t="s">
        <v>325</v>
      </c>
      <c r="D470" t="s">
        <v>326</v>
      </c>
      <c r="E470" t="str">
        <f>_xlfn.XLOOKUP(Sales[[#This Row],[Product Name]],Products[Product Name],Products[Category])</f>
        <v>Desserts</v>
      </c>
      <c r="F470" t="s">
        <v>444</v>
      </c>
      <c r="G470" t="s">
        <v>454</v>
      </c>
      <c r="H470">
        <v>34</v>
      </c>
      <c r="I470" s="5">
        <f>_xlfn.XLOOKUP(Sales[[#This Row],[Product Name]],Products[Product Name],Products[Selling Price (CAD)])</f>
        <v>3.49</v>
      </c>
      <c r="J470" s="5">
        <f>PRODUCT(Sales[[#This Row],[Quantity Sold]],Sales[[#This Row],[Unit Selling Price (CAD)]])</f>
        <v>118.66000000000001</v>
      </c>
    </row>
    <row r="471" spans="1:10">
      <c r="A471" t="s">
        <v>919</v>
      </c>
      <c r="B471" s="2">
        <v>46084</v>
      </c>
      <c r="C471" t="s">
        <v>386</v>
      </c>
      <c r="D471" t="s">
        <v>387</v>
      </c>
      <c r="E471" t="str">
        <f>_xlfn.XLOOKUP(Sales[[#This Row],[Product Name]],Products[Product Name],Products[Category])</f>
        <v>Sauces &amp; Add-ons</v>
      </c>
      <c r="F471" t="s">
        <v>447</v>
      </c>
      <c r="G471" t="s">
        <v>450</v>
      </c>
      <c r="H471">
        <v>51</v>
      </c>
      <c r="I471" s="5">
        <f>_xlfn.XLOOKUP(Sales[[#This Row],[Product Name]],Products[Product Name],Products[Selling Price (CAD)])</f>
        <v>0.25</v>
      </c>
      <c r="J471" s="5">
        <f>PRODUCT(Sales[[#This Row],[Quantity Sold]],Sales[[#This Row],[Unit Selling Price (CAD)]])</f>
        <v>12.75</v>
      </c>
    </row>
    <row r="472" spans="1:10">
      <c r="A472" t="s">
        <v>920</v>
      </c>
      <c r="B472" s="2">
        <v>46084</v>
      </c>
      <c r="C472" t="s">
        <v>103</v>
      </c>
      <c r="D472" t="s">
        <v>104</v>
      </c>
      <c r="E472" t="str">
        <f>_xlfn.XLOOKUP(Sales[[#This Row],[Product Name]],Products[Product Name],Products[Category])</f>
        <v>Chicken</v>
      </c>
      <c r="F472" t="s">
        <v>447</v>
      </c>
      <c r="G472" t="s">
        <v>450</v>
      </c>
      <c r="H472">
        <v>73</v>
      </c>
      <c r="I472" s="5">
        <f>_xlfn.XLOOKUP(Sales[[#This Row],[Product Name]],Products[Product Name],Products[Selling Price (CAD)])</f>
        <v>7.99</v>
      </c>
      <c r="J472" s="5">
        <f>PRODUCT(Sales[[#This Row],[Quantity Sold]],Sales[[#This Row],[Unit Selling Price (CAD)]])</f>
        <v>583.27</v>
      </c>
    </row>
    <row r="473" spans="1:10">
      <c r="A473" t="s">
        <v>921</v>
      </c>
      <c r="B473" s="2">
        <v>46084</v>
      </c>
      <c r="C473" t="s">
        <v>74</v>
      </c>
      <c r="D473" t="s">
        <v>75</v>
      </c>
      <c r="E473" t="str">
        <f>_xlfn.XLOOKUP(Sales[[#This Row],[Product Name]],Products[Product Name],Products[Category])</f>
        <v>Burgers</v>
      </c>
      <c r="F473" t="s">
        <v>444</v>
      </c>
      <c r="G473" t="s">
        <v>454</v>
      </c>
      <c r="H473">
        <v>34</v>
      </c>
      <c r="I473" s="5">
        <f>_xlfn.XLOOKUP(Sales[[#This Row],[Product Name]],Products[Product Name],Products[Selling Price (CAD)])</f>
        <v>8.99</v>
      </c>
      <c r="J473" s="5">
        <f>PRODUCT(Sales[[#This Row],[Quantity Sold]],Sales[[#This Row],[Unit Selling Price (CAD)]])</f>
        <v>305.66000000000003</v>
      </c>
    </row>
    <row r="474" spans="1:10">
      <c r="A474" t="s">
        <v>922</v>
      </c>
      <c r="B474" s="2">
        <v>46084</v>
      </c>
      <c r="C474" t="s">
        <v>121</v>
      </c>
      <c r="D474" t="s">
        <v>122</v>
      </c>
      <c r="E474" t="str">
        <f>_xlfn.XLOOKUP(Sales[[#This Row],[Product Name]],Products[Product Name],Products[Category])</f>
        <v>Chicken</v>
      </c>
      <c r="F474" t="s">
        <v>449</v>
      </c>
      <c r="G474" t="s">
        <v>445</v>
      </c>
      <c r="H474">
        <v>59</v>
      </c>
      <c r="I474" s="5">
        <f>_xlfn.XLOOKUP(Sales[[#This Row],[Product Name]],Products[Product Name],Products[Selling Price (CAD)])</f>
        <v>11.99</v>
      </c>
      <c r="J474" s="5">
        <f>PRODUCT(Sales[[#This Row],[Quantity Sold]],Sales[[#This Row],[Unit Selling Price (CAD)]])</f>
        <v>707.41</v>
      </c>
    </row>
    <row r="475" spans="1:10">
      <c r="A475" t="s">
        <v>923</v>
      </c>
      <c r="B475" s="2">
        <v>46084</v>
      </c>
      <c r="C475" t="s">
        <v>281</v>
      </c>
      <c r="D475" t="s">
        <v>282</v>
      </c>
      <c r="E475" t="str">
        <f>_xlfn.XLOOKUP(Sales[[#This Row],[Product Name]],Products[Product Name],Products[Category])</f>
        <v>Beverages</v>
      </c>
      <c r="F475" t="s">
        <v>449</v>
      </c>
      <c r="G475" t="s">
        <v>450</v>
      </c>
      <c r="H475">
        <v>68</v>
      </c>
      <c r="I475" s="5">
        <f>_xlfn.XLOOKUP(Sales[[#This Row],[Product Name]],Products[Product Name],Products[Selling Price (CAD)])</f>
        <v>2.99</v>
      </c>
      <c r="J475" s="5">
        <f>PRODUCT(Sales[[#This Row],[Quantity Sold]],Sales[[#This Row],[Unit Selling Price (CAD)]])</f>
        <v>203.32000000000002</v>
      </c>
    </row>
    <row r="476" spans="1:10">
      <c r="A476" t="s">
        <v>924</v>
      </c>
      <c r="B476" s="2">
        <v>46084</v>
      </c>
      <c r="C476" t="s">
        <v>70</v>
      </c>
      <c r="D476" t="s">
        <v>71</v>
      </c>
      <c r="E476" t="str">
        <f>_xlfn.XLOOKUP(Sales[[#This Row],[Product Name]],Products[Product Name],Products[Category])</f>
        <v>Burgers</v>
      </c>
      <c r="F476" t="s">
        <v>444</v>
      </c>
      <c r="G476" t="s">
        <v>454</v>
      </c>
      <c r="H476">
        <v>37</v>
      </c>
      <c r="I476" s="5">
        <f>_xlfn.XLOOKUP(Sales[[#This Row],[Product Name]],Products[Product Name],Products[Selling Price (CAD)])</f>
        <v>8.99</v>
      </c>
      <c r="J476" s="5">
        <f>PRODUCT(Sales[[#This Row],[Quantity Sold]],Sales[[#This Row],[Unit Selling Price (CAD)]])</f>
        <v>332.63</v>
      </c>
    </row>
    <row r="477" spans="1:10">
      <c r="A477" t="s">
        <v>925</v>
      </c>
      <c r="B477" s="2">
        <v>46085</v>
      </c>
      <c r="C477" t="s">
        <v>317</v>
      </c>
      <c r="D477" t="s">
        <v>318</v>
      </c>
      <c r="E477" t="str">
        <f>_xlfn.XLOOKUP(Sales[[#This Row],[Product Name]],Products[Product Name],Products[Category])</f>
        <v>Beverages</v>
      </c>
      <c r="F477" t="s">
        <v>444</v>
      </c>
      <c r="G477" t="s">
        <v>454</v>
      </c>
      <c r="H477">
        <v>44</v>
      </c>
      <c r="I477" s="5">
        <f>_xlfn.XLOOKUP(Sales[[#This Row],[Product Name]],Products[Product Name],Products[Selling Price (CAD)])</f>
        <v>3.99</v>
      </c>
      <c r="J477" s="5">
        <f>PRODUCT(Sales[[#This Row],[Quantity Sold]],Sales[[#This Row],[Unit Selling Price (CAD)]])</f>
        <v>175.56</v>
      </c>
    </row>
    <row r="478" spans="1:10">
      <c r="A478" t="s">
        <v>926</v>
      </c>
      <c r="B478" s="2">
        <v>46085</v>
      </c>
      <c r="C478" t="s">
        <v>287</v>
      </c>
      <c r="D478" t="s">
        <v>288</v>
      </c>
      <c r="E478" t="str">
        <f>_xlfn.XLOOKUP(Sales[[#This Row],[Product Name]],Products[Product Name],Products[Category])</f>
        <v>Beverages</v>
      </c>
      <c r="F478" t="s">
        <v>444</v>
      </c>
      <c r="G478" t="s">
        <v>454</v>
      </c>
      <c r="H478">
        <v>67</v>
      </c>
      <c r="I478" s="5">
        <f>_xlfn.XLOOKUP(Sales[[#This Row],[Product Name]],Products[Product Name],Products[Selling Price (CAD)])</f>
        <v>3.99</v>
      </c>
      <c r="J478" s="5">
        <f>PRODUCT(Sales[[#This Row],[Quantity Sold]],Sales[[#This Row],[Unit Selling Price (CAD)]])</f>
        <v>267.33000000000004</v>
      </c>
    </row>
    <row r="479" spans="1:10">
      <c r="A479" t="s">
        <v>927</v>
      </c>
      <c r="B479" s="2">
        <v>46085</v>
      </c>
      <c r="C479" t="s">
        <v>46</v>
      </c>
      <c r="D479" t="s">
        <v>47</v>
      </c>
      <c r="E479" t="str">
        <f>_xlfn.XLOOKUP(Sales[[#This Row],[Product Name]],Products[Product Name],Products[Category])</f>
        <v>Burgers</v>
      </c>
      <c r="F479" t="s">
        <v>447</v>
      </c>
      <c r="G479" t="s">
        <v>450</v>
      </c>
      <c r="H479">
        <v>57</v>
      </c>
      <c r="I479" s="5">
        <f>_xlfn.XLOOKUP(Sales[[#This Row],[Product Name]],Products[Product Name],Products[Selling Price (CAD)])</f>
        <v>8.49</v>
      </c>
      <c r="J479" s="5">
        <f>PRODUCT(Sales[[#This Row],[Quantity Sold]],Sales[[#This Row],[Unit Selling Price (CAD)]])</f>
        <v>483.93</v>
      </c>
    </row>
    <row r="480" spans="1:10">
      <c r="A480" t="s">
        <v>928</v>
      </c>
      <c r="B480" s="2">
        <v>46085</v>
      </c>
      <c r="C480" t="s">
        <v>48</v>
      </c>
      <c r="D480" t="s">
        <v>49</v>
      </c>
      <c r="E480" t="str">
        <f>_xlfn.XLOOKUP(Sales[[#This Row],[Product Name]],Products[Product Name],Products[Category])</f>
        <v>Burgers</v>
      </c>
      <c r="F480" t="s">
        <v>444</v>
      </c>
      <c r="G480" t="s">
        <v>450</v>
      </c>
      <c r="H480">
        <v>55</v>
      </c>
      <c r="I480" s="5">
        <f>_xlfn.XLOOKUP(Sales[[#This Row],[Product Name]],Products[Product Name],Products[Selling Price (CAD)])</f>
        <v>6.49</v>
      </c>
      <c r="J480" s="5">
        <f>PRODUCT(Sales[[#This Row],[Quantity Sold]],Sales[[#This Row],[Unit Selling Price (CAD)]])</f>
        <v>356.95</v>
      </c>
    </row>
    <row r="481" spans="1:10">
      <c r="A481" t="s">
        <v>929</v>
      </c>
      <c r="B481" s="2">
        <v>46085</v>
      </c>
      <c r="C481" t="s">
        <v>217</v>
      </c>
      <c r="D481" t="s">
        <v>218</v>
      </c>
      <c r="E481" t="str">
        <f>_xlfn.XLOOKUP(Sales[[#This Row],[Product Name]],Products[Product Name],Products[Category])</f>
        <v>Sides</v>
      </c>
      <c r="F481" t="s">
        <v>444</v>
      </c>
      <c r="G481" t="s">
        <v>450</v>
      </c>
      <c r="H481">
        <v>62</v>
      </c>
      <c r="I481" s="5">
        <f>_xlfn.XLOOKUP(Sales[[#This Row],[Product Name]],Products[Product Name],Products[Selling Price (CAD)])</f>
        <v>3.99</v>
      </c>
      <c r="J481" s="5">
        <f>PRODUCT(Sales[[#This Row],[Quantity Sold]],Sales[[#This Row],[Unit Selling Price (CAD)]])</f>
        <v>247.38000000000002</v>
      </c>
    </row>
    <row r="482" spans="1:10">
      <c r="A482" t="s">
        <v>930</v>
      </c>
      <c r="B482" s="2">
        <v>46085</v>
      </c>
      <c r="C482" t="s">
        <v>281</v>
      </c>
      <c r="D482" t="s">
        <v>282</v>
      </c>
      <c r="E482" t="str">
        <f>_xlfn.XLOOKUP(Sales[[#This Row],[Product Name]],Products[Product Name],Products[Category])</f>
        <v>Beverages</v>
      </c>
      <c r="F482" t="s">
        <v>447</v>
      </c>
      <c r="G482" t="s">
        <v>452</v>
      </c>
      <c r="H482">
        <v>51</v>
      </c>
      <c r="I482" s="5">
        <f>_xlfn.XLOOKUP(Sales[[#This Row],[Product Name]],Products[Product Name],Products[Selling Price (CAD)])</f>
        <v>2.99</v>
      </c>
      <c r="J482" s="5">
        <f>PRODUCT(Sales[[#This Row],[Quantity Sold]],Sales[[#This Row],[Unit Selling Price (CAD)]])</f>
        <v>152.49</v>
      </c>
    </row>
    <row r="483" spans="1:10">
      <c r="A483" t="s">
        <v>931</v>
      </c>
      <c r="B483" s="2">
        <v>46085</v>
      </c>
      <c r="C483" t="s">
        <v>297</v>
      </c>
      <c r="D483" t="s">
        <v>298</v>
      </c>
      <c r="E483" t="str">
        <f>_xlfn.XLOOKUP(Sales[[#This Row],[Product Name]],Products[Product Name],Products[Category])</f>
        <v>Beverages</v>
      </c>
      <c r="F483" t="s">
        <v>444</v>
      </c>
      <c r="G483" t="s">
        <v>450</v>
      </c>
      <c r="H483">
        <v>65</v>
      </c>
      <c r="I483" s="5">
        <f>_xlfn.XLOOKUP(Sales[[#This Row],[Product Name]],Products[Product Name],Products[Selling Price (CAD)])</f>
        <v>2.99</v>
      </c>
      <c r="J483" s="5">
        <f>PRODUCT(Sales[[#This Row],[Quantity Sold]],Sales[[#This Row],[Unit Selling Price (CAD)]])</f>
        <v>194.35000000000002</v>
      </c>
    </row>
    <row r="484" spans="1:10">
      <c r="A484" t="s">
        <v>932</v>
      </c>
      <c r="B484" s="2">
        <v>46085</v>
      </c>
      <c r="C484" t="s">
        <v>355</v>
      </c>
      <c r="D484" t="s">
        <v>356</v>
      </c>
      <c r="E484" t="str">
        <f>_xlfn.XLOOKUP(Sales[[#This Row],[Product Name]],Products[Product Name],Products[Category])</f>
        <v>Desserts</v>
      </c>
      <c r="F484" t="s">
        <v>447</v>
      </c>
      <c r="G484" t="s">
        <v>450</v>
      </c>
      <c r="H484">
        <v>63</v>
      </c>
      <c r="I484" s="5">
        <f>_xlfn.XLOOKUP(Sales[[#This Row],[Product Name]],Products[Product Name],Products[Selling Price (CAD)])</f>
        <v>5.99</v>
      </c>
      <c r="J484" s="5">
        <f>PRODUCT(Sales[[#This Row],[Quantity Sold]],Sales[[#This Row],[Unit Selling Price (CAD)]])</f>
        <v>377.37</v>
      </c>
    </row>
    <row r="485" spans="1:10">
      <c r="A485" t="s">
        <v>933</v>
      </c>
      <c r="B485" s="2">
        <v>46085</v>
      </c>
      <c r="C485" t="s">
        <v>409</v>
      </c>
      <c r="D485" t="s">
        <v>410</v>
      </c>
      <c r="E485" t="str">
        <f>_xlfn.XLOOKUP(Sales[[#This Row],[Product Name]],Products[Product Name],Products[Category])</f>
        <v>Combo Meals</v>
      </c>
      <c r="F485" t="s">
        <v>444</v>
      </c>
      <c r="G485" t="s">
        <v>445</v>
      </c>
      <c r="H485">
        <v>80</v>
      </c>
      <c r="I485" s="5">
        <f>_xlfn.XLOOKUP(Sales[[#This Row],[Product Name]],Products[Product Name],Products[Selling Price (CAD)])</f>
        <v>11.99</v>
      </c>
      <c r="J485" s="5">
        <f>PRODUCT(Sales[[#This Row],[Quantity Sold]],Sales[[#This Row],[Unit Selling Price (CAD)]])</f>
        <v>959.2</v>
      </c>
    </row>
    <row r="486" spans="1:10">
      <c r="A486" t="s">
        <v>934</v>
      </c>
      <c r="B486" s="2">
        <v>46086</v>
      </c>
      <c r="C486" t="s">
        <v>271</v>
      </c>
      <c r="D486" t="s">
        <v>272</v>
      </c>
      <c r="E486" t="str">
        <f>_xlfn.XLOOKUP(Sales[[#This Row],[Product Name]],Products[Product Name],Products[Category])</f>
        <v>Beverages</v>
      </c>
      <c r="F486" t="s">
        <v>447</v>
      </c>
      <c r="G486" t="s">
        <v>452</v>
      </c>
      <c r="H486">
        <v>45</v>
      </c>
      <c r="I486" s="5">
        <f>_xlfn.XLOOKUP(Sales[[#This Row],[Product Name]],Products[Product Name],Products[Selling Price (CAD)])</f>
        <v>1.99</v>
      </c>
      <c r="J486" s="5">
        <f>PRODUCT(Sales[[#This Row],[Quantity Sold]],Sales[[#This Row],[Unit Selling Price (CAD)]])</f>
        <v>89.55</v>
      </c>
    </row>
    <row r="487" spans="1:10">
      <c r="A487" t="s">
        <v>935</v>
      </c>
      <c r="B487" s="2">
        <v>46086</v>
      </c>
      <c r="C487" t="s">
        <v>155</v>
      </c>
      <c r="D487" t="s">
        <v>156</v>
      </c>
      <c r="E487" t="str">
        <f>_xlfn.XLOOKUP(Sales[[#This Row],[Product Name]],Products[Product Name],Products[Category])</f>
        <v>Breakfast</v>
      </c>
      <c r="F487" t="s">
        <v>449</v>
      </c>
      <c r="G487" t="s">
        <v>445</v>
      </c>
      <c r="H487">
        <v>60</v>
      </c>
      <c r="I487" s="5">
        <f>_xlfn.XLOOKUP(Sales[[#This Row],[Product Name]],Products[Product Name],Products[Selling Price (CAD)])</f>
        <v>4.99</v>
      </c>
      <c r="J487" s="5">
        <f>PRODUCT(Sales[[#This Row],[Quantity Sold]],Sales[[#This Row],[Unit Selling Price (CAD)]])</f>
        <v>299.40000000000003</v>
      </c>
    </row>
    <row r="488" spans="1:10">
      <c r="A488" t="s">
        <v>936</v>
      </c>
      <c r="B488" s="2">
        <v>46086</v>
      </c>
      <c r="C488" t="s">
        <v>103</v>
      </c>
      <c r="D488" t="s">
        <v>104</v>
      </c>
      <c r="E488" t="str">
        <f>_xlfn.XLOOKUP(Sales[[#This Row],[Product Name]],Products[Product Name],Products[Category])</f>
        <v>Chicken</v>
      </c>
      <c r="F488" t="s">
        <v>444</v>
      </c>
      <c r="G488" t="s">
        <v>452</v>
      </c>
      <c r="H488">
        <v>68</v>
      </c>
      <c r="I488" s="5">
        <f>_xlfn.XLOOKUP(Sales[[#This Row],[Product Name]],Products[Product Name],Products[Selling Price (CAD)])</f>
        <v>7.99</v>
      </c>
      <c r="J488" s="5">
        <f>PRODUCT(Sales[[#This Row],[Quantity Sold]],Sales[[#This Row],[Unit Selling Price (CAD)]])</f>
        <v>543.32000000000005</v>
      </c>
    </row>
    <row r="489" spans="1:10">
      <c r="A489" t="s">
        <v>937</v>
      </c>
      <c r="B489" s="2">
        <v>46086</v>
      </c>
      <c r="C489" t="s">
        <v>99</v>
      </c>
      <c r="D489" t="s">
        <v>100</v>
      </c>
      <c r="E489" t="str">
        <f>_xlfn.XLOOKUP(Sales[[#This Row],[Product Name]],Products[Product Name],Products[Category])</f>
        <v>Chicken</v>
      </c>
      <c r="F489" t="s">
        <v>447</v>
      </c>
      <c r="G489" t="s">
        <v>450</v>
      </c>
      <c r="H489">
        <v>73</v>
      </c>
      <c r="I489" s="5">
        <f>_xlfn.XLOOKUP(Sales[[#This Row],[Product Name]],Products[Product Name],Products[Selling Price (CAD)])</f>
        <v>7.99</v>
      </c>
      <c r="J489" s="5">
        <f>PRODUCT(Sales[[#This Row],[Quantity Sold]],Sales[[#This Row],[Unit Selling Price (CAD)]])</f>
        <v>583.27</v>
      </c>
    </row>
    <row r="490" spans="1:10">
      <c r="A490" t="s">
        <v>938</v>
      </c>
      <c r="B490" s="2">
        <v>46086</v>
      </c>
      <c r="C490" t="s">
        <v>85</v>
      </c>
      <c r="D490" t="s">
        <v>86</v>
      </c>
      <c r="E490" t="str">
        <f>_xlfn.XLOOKUP(Sales[[#This Row],[Product Name]],Products[Product Name],Products[Category])</f>
        <v>Chicken</v>
      </c>
      <c r="F490" t="s">
        <v>447</v>
      </c>
      <c r="G490" t="s">
        <v>450</v>
      </c>
      <c r="H490">
        <v>72</v>
      </c>
      <c r="I490" s="5">
        <f>_xlfn.XLOOKUP(Sales[[#This Row],[Product Name]],Products[Product Name],Products[Selling Price (CAD)])</f>
        <v>6.99</v>
      </c>
      <c r="J490" s="5">
        <f>PRODUCT(Sales[[#This Row],[Quantity Sold]],Sales[[#This Row],[Unit Selling Price (CAD)]])</f>
        <v>503.28000000000003</v>
      </c>
    </row>
    <row r="491" spans="1:10">
      <c r="A491" t="s">
        <v>939</v>
      </c>
      <c r="B491" s="2">
        <v>46086</v>
      </c>
      <c r="C491" t="s">
        <v>407</v>
      </c>
      <c r="D491" t="s">
        <v>408</v>
      </c>
      <c r="E491" t="str">
        <f>_xlfn.XLOOKUP(Sales[[#This Row],[Product Name]],Products[Product Name],Products[Category])</f>
        <v>Combo Meals</v>
      </c>
      <c r="F491" t="s">
        <v>449</v>
      </c>
      <c r="G491" t="s">
        <v>450</v>
      </c>
      <c r="H491">
        <v>42</v>
      </c>
      <c r="I491" s="5">
        <f>_xlfn.XLOOKUP(Sales[[#This Row],[Product Name]],Products[Product Name],Products[Selling Price (CAD)])</f>
        <v>10.99</v>
      </c>
      <c r="J491" s="5">
        <f>PRODUCT(Sales[[#This Row],[Quantity Sold]],Sales[[#This Row],[Unit Selling Price (CAD)]])</f>
        <v>461.58</v>
      </c>
    </row>
    <row r="492" spans="1:10">
      <c r="A492" t="s">
        <v>940</v>
      </c>
      <c r="B492" s="2">
        <v>46086</v>
      </c>
      <c r="C492" t="s">
        <v>421</v>
      </c>
      <c r="D492" t="s">
        <v>422</v>
      </c>
      <c r="E492" t="str">
        <f>_xlfn.XLOOKUP(Sales[[#This Row],[Product Name]],Products[Product Name],Products[Category])</f>
        <v>Combo Meals</v>
      </c>
      <c r="F492" t="s">
        <v>449</v>
      </c>
      <c r="G492" t="s">
        <v>450</v>
      </c>
      <c r="H492">
        <v>60</v>
      </c>
      <c r="I492" s="5">
        <f>_xlfn.XLOOKUP(Sales[[#This Row],[Product Name]],Products[Product Name],Products[Selling Price (CAD)])</f>
        <v>8.99</v>
      </c>
      <c r="J492" s="5">
        <f>PRODUCT(Sales[[#This Row],[Quantity Sold]],Sales[[#This Row],[Unit Selling Price (CAD)]])</f>
        <v>539.4</v>
      </c>
    </row>
    <row r="493" spans="1:10">
      <c r="A493" t="s">
        <v>941</v>
      </c>
      <c r="B493" s="2">
        <v>46087</v>
      </c>
      <c r="C493" t="s">
        <v>48</v>
      </c>
      <c r="D493" t="s">
        <v>49</v>
      </c>
      <c r="E493" t="str">
        <f>_xlfn.XLOOKUP(Sales[[#This Row],[Product Name]],Products[Product Name],Products[Category])</f>
        <v>Burgers</v>
      </c>
      <c r="F493" t="s">
        <v>444</v>
      </c>
      <c r="G493" t="s">
        <v>445</v>
      </c>
      <c r="H493">
        <v>53</v>
      </c>
      <c r="I493" s="5">
        <f>_xlfn.XLOOKUP(Sales[[#This Row],[Product Name]],Products[Product Name],Products[Selling Price (CAD)])</f>
        <v>6.49</v>
      </c>
      <c r="J493" s="5">
        <f>PRODUCT(Sales[[#This Row],[Quantity Sold]],Sales[[#This Row],[Unit Selling Price (CAD)]])</f>
        <v>343.97</v>
      </c>
    </row>
    <row r="494" spans="1:10">
      <c r="A494" t="s">
        <v>942</v>
      </c>
      <c r="B494" s="2">
        <v>46087</v>
      </c>
      <c r="C494" t="s">
        <v>76</v>
      </c>
      <c r="D494" t="s">
        <v>77</v>
      </c>
      <c r="E494" t="str">
        <f>_xlfn.XLOOKUP(Sales[[#This Row],[Product Name]],Products[Product Name],Products[Category])</f>
        <v>Burgers</v>
      </c>
      <c r="F494" t="s">
        <v>447</v>
      </c>
      <c r="G494" t="s">
        <v>450</v>
      </c>
      <c r="H494">
        <v>73</v>
      </c>
      <c r="I494" s="5">
        <f>_xlfn.XLOOKUP(Sales[[#This Row],[Product Name]],Products[Product Name],Products[Selling Price (CAD)])</f>
        <v>2.99</v>
      </c>
      <c r="J494" s="5">
        <f>PRODUCT(Sales[[#This Row],[Quantity Sold]],Sales[[#This Row],[Unit Selling Price (CAD)]])</f>
        <v>218.27</v>
      </c>
    </row>
    <row r="495" spans="1:10">
      <c r="A495" t="s">
        <v>943</v>
      </c>
      <c r="B495" s="2">
        <v>46087</v>
      </c>
      <c r="C495" t="s">
        <v>255</v>
      </c>
      <c r="D495" t="s">
        <v>256</v>
      </c>
      <c r="E495" t="str">
        <f>_xlfn.XLOOKUP(Sales[[#This Row],[Product Name]],Products[Product Name],Products[Category])</f>
        <v>Beverages</v>
      </c>
      <c r="F495" t="s">
        <v>447</v>
      </c>
      <c r="G495" t="s">
        <v>445</v>
      </c>
      <c r="H495">
        <v>62</v>
      </c>
      <c r="I495" s="5">
        <f>_xlfn.XLOOKUP(Sales[[#This Row],[Product Name]],Products[Product Name],Products[Selling Price (CAD)])</f>
        <v>2.99</v>
      </c>
      <c r="J495" s="5">
        <f>PRODUCT(Sales[[#This Row],[Quantity Sold]],Sales[[#This Row],[Unit Selling Price (CAD)]])</f>
        <v>185.38000000000002</v>
      </c>
    </row>
    <row r="496" spans="1:10">
      <c r="A496" t="s">
        <v>944</v>
      </c>
      <c r="B496" s="2">
        <v>46088</v>
      </c>
      <c r="C496" t="s">
        <v>345</v>
      </c>
      <c r="D496" t="s">
        <v>346</v>
      </c>
      <c r="E496" t="str">
        <f>_xlfn.XLOOKUP(Sales[[#This Row],[Product Name]],Products[Product Name],Products[Category])</f>
        <v>Desserts</v>
      </c>
      <c r="F496" t="s">
        <v>444</v>
      </c>
      <c r="G496" t="s">
        <v>450</v>
      </c>
      <c r="H496">
        <v>76</v>
      </c>
      <c r="I496" s="5">
        <f>_xlfn.XLOOKUP(Sales[[#This Row],[Product Name]],Products[Product Name],Products[Selling Price (CAD)])</f>
        <v>5.99</v>
      </c>
      <c r="J496" s="5">
        <f>PRODUCT(Sales[[#This Row],[Quantity Sold]],Sales[[#This Row],[Unit Selling Price (CAD)]])</f>
        <v>455.24</v>
      </c>
    </row>
    <row r="497" spans="1:10">
      <c r="A497" t="s">
        <v>945</v>
      </c>
      <c r="B497" s="2">
        <v>46088</v>
      </c>
      <c r="C497" t="s">
        <v>319</v>
      </c>
      <c r="D497" t="s">
        <v>320</v>
      </c>
      <c r="E497" t="str">
        <f>_xlfn.XLOOKUP(Sales[[#This Row],[Product Name]],Products[Product Name],Products[Category])</f>
        <v>Beverages</v>
      </c>
      <c r="F497" t="s">
        <v>447</v>
      </c>
      <c r="G497" t="s">
        <v>450</v>
      </c>
      <c r="H497">
        <v>46</v>
      </c>
      <c r="I497" s="5">
        <f>_xlfn.XLOOKUP(Sales[[#This Row],[Product Name]],Products[Product Name],Products[Selling Price (CAD)])</f>
        <v>2.4900000000000002</v>
      </c>
      <c r="J497" s="5">
        <f>PRODUCT(Sales[[#This Row],[Quantity Sold]],Sales[[#This Row],[Unit Selling Price (CAD)]])</f>
        <v>114.54</v>
      </c>
    </row>
    <row r="498" spans="1:10">
      <c r="A498" t="s">
        <v>946</v>
      </c>
      <c r="B498" s="2">
        <v>46088</v>
      </c>
      <c r="C498" t="s">
        <v>165</v>
      </c>
      <c r="D498" t="s">
        <v>166</v>
      </c>
      <c r="E498" t="str">
        <f>_xlfn.XLOOKUP(Sales[[#This Row],[Product Name]],Products[Product Name],Products[Category])</f>
        <v>Breakfast</v>
      </c>
      <c r="F498" t="s">
        <v>447</v>
      </c>
      <c r="G498" t="s">
        <v>454</v>
      </c>
      <c r="H498">
        <v>74</v>
      </c>
      <c r="I498" s="5">
        <f>_xlfn.XLOOKUP(Sales[[#This Row],[Product Name]],Products[Product Name],Products[Selling Price (CAD)])</f>
        <v>3.99</v>
      </c>
      <c r="J498" s="5">
        <f>PRODUCT(Sales[[#This Row],[Quantity Sold]],Sales[[#This Row],[Unit Selling Price (CAD)]])</f>
        <v>295.26</v>
      </c>
    </row>
    <row r="499" spans="1:10">
      <c r="A499" t="s">
        <v>947</v>
      </c>
      <c r="B499" s="2">
        <v>46088</v>
      </c>
      <c r="C499" t="s">
        <v>193</v>
      </c>
      <c r="D499" t="s">
        <v>194</v>
      </c>
      <c r="E499" t="str">
        <f>_xlfn.XLOOKUP(Sales[[#This Row],[Product Name]],Products[Product Name],Products[Category])</f>
        <v>Sides</v>
      </c>
      <c r="F499" t="s">
        <v>444</v>
      </c>
      <c r="G499" t="s">
        <v>452</v>
      </c>
      <c r="H499">
        <v>54</v>
      </c>
      <c r="I499" s="5">
        <f>_xlfn.XLOOKUP(Sales[[#This Row],[Product Name]],Products[Product Name],Products[Selling Price (CAD)])</f>
        <v>4.99</v>
      </c>
      <c r="J499" s="5">
        <f>PRODUCT(Sales[[#This Row],[Quantity Sold]],Sales[[#This Row],[Unit Selling Price (CAD)]])</f>
        <v>269.46000000000004</v>
      </c>
    </row>
    <row r="500" spans="1:10">
      <c r="A500" t="s">
        <v>948</v>
      </c>
      <c r="B500" s="2">
        <v>46088</v>
      </c>
      <c r="C500" t="s">
        <v>95</v>
      </c>
      <c r="D500" t="s">
        <v>96</v>
      </c>
      <c r="E500" t="str">
        <f>_xlfn.XLOOKUP(Sales[[#This Row],[Product Name]],Products[Product Name],Products[Category])</f>
        <v>Chicken</v>
      </c>
      <c r="F500" t="s">
        <v>449</v>
      </c>
      <c r="G500" t="s">
        <v>452</v>
      </c>
      <c r="H500">
        <v>65</v>
      </c>
      <c r="I500" s="5">
        <f>_xlfn.XLOOKUP(Sales[[#This Row],[Product Name]],Products[Product Name],Products[Selling Price (CAD)])</f>
        <v>7.49</v>
      </c>
      <c r="J500" s="5">
        <f>PRODUCT(Sales[[#This Row],[Quantity Sold]],Sales[[#This Row],[Unit Selling Price (CAD)]])</f>
        <v>486.85</v>
      </c>
    </row>
    <row r="501" spans="1:10">
      <c r="A501" t="s">
        <v>949</v>
      </c>
      <c r="B501" s="2">
        <v>46088</v>
      </c>
      <c r="C501" t="s">
        <v>121</v>
      </c>
      <c r="D501" t="s">
        <v>122</v>
      </c>
      <c r="E501" t="str">
        <f>_xlfn.XLOOKUP(Sales[[#This Row],[Product Name]],Products[Product Name],Products[Category])</f>
        <v>Chicken</v>
      </c>
      <c r="F501" t="s">
        <v>447</v>
      </c>
      <c r="G501" t="s">
        <v>450</v>
      </c>
      <c r="H501">
        <v>46</v>
      </c>
      <c r="I501" s="5">
        <f>_xlfn.XLOOKUP(Sales[[#This Row],[Product Name]],Products[Product Name],Products[Selling Price (CAD)])</f>
        <v>11.99</v>
      </c>
      <c r="J501" s="5">
        <f>PRODUCT(Sales[[#This Row],[Quantity Sold]],Sales[[#This Row],[Unit Selling Price (CAD)]])</f>
        <v>551.54</v>
      </c>
    </row>
    <row r="502" spans="1:10">
      <c r="A502" t="s">
        <v>950</v>
      </c>
      <c r="B502" s="2">
        <v>46088</v>
      </c>
      <c r="C502" t="s">
        <v>411</v>
      </c>
      <c r="D502" t="s">
        <v>412</v>
      </c>
      <c r="E502" t="str">
        <f>_xlfn.XLOOKUP(Sales[[#This Row],[Product Name]],Products[Product Name],Products[Category])</f>
        <v>Combo Meals</v>
      </c>
      <c r="F502" t="s">
        <v>444</v>
      </c>
      <c r="G502" t="s">
        <v>454</v>
      </c>
      <c r="H502">
        <v>63</v>
      </c>
      <c r="I502" s="5">
        <f>_xlfn.XLOOKUP(Sales[[#This Row],[Product Name]],Products[Product Name],Products[Selling Price (CAD)])</f>
        <v>10.99</v>
      </c>
      <c r="J502" s="5">
        <f>PRODUCT(Sales[[#This Row],[Quantity Sold]],Sales[[#This Row],[Unit Selling Price (CAD)]])</f>
        <v>692.37</v>
      </c>
    </row>
    <row r="503" spans="1:10">
      <c r="A503" t="s">
        <v>951</v>
      </c>
      <c r="B503" s="2">
        <v>46088</v>
      </c>
      <c r="C503" t="s">
        <v>175</v>
      </c>
      <c r="D503" t="s">
        <v>176</v>
      </c>
      <c r="E503" t="str">
        <f>_xlfn.XLOOKUP(Sales[[#This Row],[Product Name]],Products[Product Name],Products[Category])</f>
        <v>Breakfast</v>
      </c>
      <c r="F503" t="s">
        <v>444</v>
      </c>
      <c r="G503" t="s">
        <v>450</v>
      </c>
      <c r="H503">
        <v>64</v>
      </c>
      <c r="I503" s="5">
        <f>_xlfn.XLOOKUP(Sales[[#This Row],[Product Name]],Products[Product Name],Products[Selling Price (CAD)])</f>
        <v>6.99</v>
      </c>
      <c r="J503" s="5">
        <f>PRODUCT(Sales[[#This Row],[Quantity Sold]],Sales[[#This Row],[Unit Selling Price (CAD)]])</f>
        <v>447.36</v>
      </c>
    </row>
    <row r="504" spans="1:10">
      <c r="A504" t="s">
        <v>952</v>
      </c>
      <c r="B504" s="2">
        <v>46088</v>
      </c>
      <c r="C504" t="s">
        <v>201</v>
      </c>
      <c r="D504" t="s">
        <v>202</v>
      </c>
      <c r="E504" t="str">
        <f>_xlfn.XLOOKUP(Sales[[#This Row],[Product Name]],Products[Product Name],Products[Category])</f>
        <v>Sides</v>
      </c>
      <c r="F504" t="s">
        <v>449</v>
      </c>
      <c r="G504" t="s">
        <v>445</v>
      </c>
      <c r="H504">
        <v>62</v>
      </c>
      <c r="I504" s="5">
        <f>_xlfn.XLOOKUP(Sales[[#This Row],[Product Name]],Products[Product Name],Products[Selling Price (CAD)])</f>
        <v>3.99</v>
      </c>
      <c r="J504" s="5">
        <f>PRODUCT(Sales[[#This Row],[Quantity Sold]],Sales[[#This Row],[Unit Selling Price (CAD)]])</f>
        <v>247.38000000000002</v>
      </c>
    </row>
    <row r="505" spans="1:10">
      <c r="A505" t="s">
        <v>953</v>
      </c>
      <c r="B505" s="2">
        <v>46088</v>
      </c>
      <c r="C505" t="s">
        <v>68</v>
      </c>
      <c r="D505" t="s">
        <v>69</v>
      </c>
      <c r="E505" t="str">
        <f>_xlfn.XLOOKUP(Sales[[#This Row],[Product Name]],Products[Product Name],Products[Category])</f>
        <v>Burgers</v>
      </c>
      <c r="F505" t="s">
        <v>449</v>
      </c>
      <c r="G505" t="s">
        <v>452</v>
      </c>
      <c r="H505">
        <v>35</v>
      </c>
      <c r="I505" s="5">
        <f>_xlfn.XLOOKUP(Sales[[#This Row],[Product Name]],Products[Product Name],Products[Selling Price (CAD)])</f>
        <v>6.99</v>
      </c>
      <c r="J505" s="5">
        <f>PRODUCT(Sales[[#This Row],[Quantity Sold]],Sales[[#This Row],[Unit Selling Price (CAD)]])</f>
        <v>244.65</v>
      </c>
    </row>
    <row r="506" spans="1:10">
      <c r="A506" t="s">
        <v>954</v>
      </c>
      <c r="B506" s="2">
        <v>46088</v>
      </c>
      <c r="C506" t="s">
        <v>301</v>
      </c>
      <c r="D506" t="s">
        <v>302</v>
      </c>
      <c r="E506" t="str">
        <f>_xlfn.XLOOKUP(Sales[[#This Row],[Product Name]],Products[Product Name],Products[Category])</f>
        <v>Beverages</v>
      </c>
      <c r="F506" t="s">
        <v>449</v>
      </c>
      <c r="G506" t="s">
        <v>450</v>
      </c>
      <c r="H506">
        <v>49</v>
      </c>
      <c r="I506" s="5">
        <f>_xlfn.XLOOKUP(Sales[[#This Row],[Product Name]],Products[Product Name],Products[Selling Price (CAD)])</f>
        <v>1.99</v>
      </c>
      <c r="J506" s="5">
        <f>PRODUCT(Sales[[#This Row],[Quantity Sold]],Sales[[#This Row],[Unit Selling Price (CAD)]])</f>
        <v>97.51</v>
      </c>
    </row>
    <row r="507" spans="1:10">
      <c r="A507" t="s">
        <v>955</v>
      </c>
      <c r="B507" s="2">
        <v>46088</v>
      </c>
      <c r="C507" t="s">
        <v>99</v>
      </c>
      <c r="D507" t="s">
        <v>100</v>
      </c>
      <c r="E507" t="str">
        <f>_xlfn.XLOOKUP(Sales[[#This Row],[Product Name]],Products[Product Name],Products[Category])</f>
        <v>Chicken</v>
      </c>
      <c r="F507" t="s">
        <v>444</v>
      </c>
      <c r="G507" t="s">
        <v>445</v>
      </c>
      <c r="H507">
        <v>75</v>
      </c>
      <c r="I507" s="5">
        <f>_xlfn.XLOOKUP(Sales[[#This Row],[Product Name]],Products[Product Name],Products[Selling Price (CAD)])</f>
        <v>7.99</v>
      </c>
      <c r="J507" s="5">
        <f>PRODUCT(Sales[[#This Row],[Quantity Sold]],Sales[[#This Row],[Unit Selling Price (CAD)]])</f>
        <v>599.25</v>
      </c>
    </row>
    <row r="508" spans="1:10">
      <c r="A508" t="s">
        <v>956</v>
      </c>
      <c r="B508" s="2">
        <v>46088</v>
      </c>
      <c r="C508" t="s">
        <v>34</v>
      </c>
      <c r="D508" t="s">
        <v>35</v>
      </c>
      <c r="E508" t="str">
        <f>_xlfn.XLOOKUP(Sales[[#This Row],[Product Name]],Products[Product Name],Products[Category])</f>
        <v>Burgers</v>
      </c>
      <c r="F508" t="s">
        <v>449</v>
      </c>
      <c r="G508" t="s">
        <v>445</v>
      </c>
      <c r="H508">
        <v>72</v>
      </c>
      <c r="I508" s="5">
        <f>_xlfn.XLOOKUP(Sales[[#This Row],[Product Name]],Products[Product Name],Products[Selling Price (CAD)])</f>
        <v>6.99</v>
      </c>
      <c r="J508" s="5">
        <f>PRODUCT(Sales[[#This Row],[Quantity Sold]],Sales[[#This Row],[Unit Selling Price (CAD)]])</f>
        <v>503.28000000000003</v>
      </c>
    </row>
    <row r="509" spans="1:10">
      <c r="A509" t="s">
        <v>957</v>
      </c>
      <c r="B509" s="2">
        <v>46088</v>
      </c>
      <c r="C509" t="s">
        <v>321</v>
      </c>
      <c r="D509" t="s">
        <v>322</v>
      </c>
      <c r="E509" t="str">
        <f>_xlfn.XLOOKUP(Sales[[#This Row],[Product Name]],Products[Product Name],Products[Category])</f>
        <v>Beverages</v>
      </c>
      <c r="F509" t="s">
        <v>444</v>
      </c>
      <c r="G509" t="s">
        <v>450</v>
      </c>
      <c r="H509">
        <v>66</v>
      </c>
      <c r="I509" s="5">
        <f>_xlfn.XLOOKUP(Sales[[#This Row],[Product Name]],Products[Product Name],Products[Selling Price (CAD)])</f>
        <v>2.4900000000000002</v>
      </c>
      <c r="J509" s="5">
        <f>PRODUCT(Sales[[#This Row],[Quantity Sold]],Sales[[#This Row],[Unit Selling Price (CAD)]])</f>
        <v>164.34</v>
      </c>
    </row>
    <row r="510" spans="1:10">
      <c r="A510" t="s">
        <v>958</v>
      </c>
      <c r="B510" s="2">
        <v>46088</v>
      </c>
      <c r="C510" t="s">
        <v>52</v>
      </c>
      <c r="D510" t="s">
        <v>53</v>
      </c>
      <c r="E510" t="str">
        <f>_xlfn.XLOOKUP(Sales[[#This Row],[Product Name]],Products[Product Name],Products[Category])</f>
        <v>Burgers</v>
      </c>
      <c r="F510" t="s">
        <v>447</v>
      </c>
      <c r="G510" t="s">
        <v>452</v>
      </c>
      <c r="H510">
        <v>41</v>
      </c>
      <c r="I510" s="5">
        <f>_xlfn.XLOOKUP(Sales[[#This Row],[Product Name]],Products[Product Name],Products[Selling Price (CAD)])</f>
        <v>6.99</v>
      </c>
      <c r="J510" s="5">
        <f>PRODUCT(Sales[[#This Row],[Quantity Sold]],Sales[[#This Row],[Unit Selling Price (CAD)]])</f>
        <v>286.59000000000003</v>
      </c>
    </row>
    <row r="511" spans="1:10">
      <c r="A511" t="s">
        <v>959</v>
      </c>
      <c r="B511" s="2">
        <v>46088</v>
      </c>
      <c r="C511" t="s">
        <v>275</v>
      </c>
      <c r="D511" t="s">
        <v>276</v>
      </c>
      <c r="E511" t="str">
        <f>_xlfn.XLOOKUP(Sales[[#This Row],[Product Name]],Products[Product Name],Products[Category])</f>
        <v>Beverages</v>
      </c>
      <c r="F511" t="s">
        <v>444</v>
      </c>
      <c r="G511" t="s">
        <v>452</v>
      </c>
      <c r="H511">
        <v>50</v>
      </c>
      <c r="I511" s="5">
        <f>_xlfn.XLOOKUP(Sales[[#This Row],[Product Name]],Products[Product Name],Products[Selling Price (CAD)])</f>
        <v>2.99</v>
      </c>
      <c r="J511" s="5">
        <f>PRODUCT(Sales[[#This Row],[Quantity Sold]],Sales[[#This Row],[Unit Selling Price (CAD)]])</f>
        <v>149.5</v>
      </c>
    </row>
    <row r="512" spans="1:10">
      <c r="A512" t="s">
        <v>960</v>
      </c>
      <c r="B512" s="2">
        <v>46088</v>
      </c>
      <c r="C512" t="s">
        <v>93</v>
      </c>
      <c r="D512" t="s">
        <v>94</v>
      </c>
      <c r="E512" t="str">
        <f>_xlfn.XLOOKUP(Sales[[#This Row],[Product Name]],Products[Product Name],Products[Category])</f>
        <v>Chicken</v>
      </c>
      <c r="F512" t="s">
        <v>449</v>
      </c>
      <c r="G512" t="s">
        <v>454</v>
      </c>
      <c r="H512">
        <v>30</v>
      </c>
      <c r="I512" s="5">
        <f>_xlfn.XLOOKUP(Sales[[#This Row],[Product Name]],Products[Product Name],Products[Selling Price (CAD)])</f>
        <v>7.49</v>
      </c>
      <c r="J512" s="5">
        <f>PRODUCT(Sales[[#This Row],[Quantity Sold]],Sales[[#This Row],[Unit Selling Price (CAD)]])</f>
        <v>224.70000000000002</v>
      </c>
    </row>
    <row r="513" spans="1:10">
      <c r="A513" t="s">
        <v>961</v>
      </c>
      <c r="B513" s="2">
        <v>46089</v>
      </c>
      <c r="C513" t="s">
        <v>235</v>
      </c>
      <c r="D513" t="s">
        <v>236</v>
      </c>
      <c r="E513" t="str">
        <f>_xlfn.XLOOKUP(Sales[[#This Row],[Product Name]],Products[Product Name],Products[Category])</f>
        <v>Salads</v>
      </c>
      <c r="F513" t="s">
        <v>444</v>
      </c>
      <c r="G513" t="s">
        <v>454</v>
      </c>
      <c r="H513">
        <v>72</v>
      </c>
      <c r="I513" s="5">
        <f>_xlfn.XLOOKUP(Sales[[#This Row],[Product Name]],Products[Product Name],Products[Selling Price (CAD)])</f>
        <v>9.49</v>
      </c>
      <c r="J513" s="5">
        <f>PRODUCT(Sales[[#This Row],[Quantity Sold]],Sales[[#This Row],[Unit Selling Price (CAD)]])</f>
        <v>683.28</v>
      </c>
    </row>
    <row r="514" spans="1:10">
      <c r="A514" t="s">
        <v>962</v>
      </c>
      <c r="B514" s="2">
        <v>46089</v>
      </c>
      <c r="C514" t="s">
        <v>89</v>
      </c>
      <c r="D514" t="s">
        <v>90</v>
      </c>
      <c r="E514" t="str">
        <f>_xlfn.XLOOKUP(Sales[[#This Row],[Product Name]],Products[Product Name],Products[Category])</f>
        <v>Chicken</v>
      </c>
      <c r="F514" t="s">
        <v>444</v>
      </c>
      <c r="G514" t="s">
        <v>450</v>
      </c>
      <c r="H514">
        <v>80</v>
      </c>
      <c r="I514" s="5">
        <f>_xlfn.XLOOKUP(Sales[[#This Row],[Product Name]],Products[Product Name],Products[Selling Price (CAD)])</f>
        <v>7.49</v>
      </c>
      <c r="J514" s="5">
        <f>PRODUCT(Sales[[#This Row],[Quantity Sold]],Sales[[#This Row],[Unit Selling Price (CAD)]])</f>
        <v>599.20000000000005</v>
      </c>
    </row>
    <row r="515" spans="1:10">
      <c r="A515" t="s">
        <v>963</v>
      </c>
      <c r="B515" s="2">
        <v>46089</v>
      </c>
      <c r="C515" t="s">
        <v>28</v>
      </c>
      <c r="D515" t="s">
        <v>29</v>
      </c>
      <c r="E515" t="str">
        <f>_xlfn.XLOOKUP(Sales[[#This Row],[Product Name]],Products[Product Name],Products[Category])</f>
        <v>Burgers</v>
      </c>
      <c r="F515" t="s">
        <v>449</v>
      </c>
      <c r="G515" t="s">
        <v>450</v>
      </c>
      <c r="H515">
        <v>68</v>
      </c>
      <c r="I515" s="5">
        <f>_xlfn.XLOOKUP(Sales[[#This Row],[Product Name]],Products[Product Name],Products[Selling Price (CAD)])</f>
        <v>7.99</v>
      </c>
      <c r="J515" s="5">
        <f>PRODUCT(Sales[[#This Row],[Quantity Sold]],Sales[[#This Row],[Unit Selling Price (CAD)]])</f>
        <v>543.32000000000005</v>
      </c>
    </row>
    <row r="516" spans="1:10">
      <c r="A516" t="s">
        <v>964</v>
      </c>
      <c r="B516" s="2">
        <v>46089</v>
      </c>
      <c r="C516" t="s">
        <v>101</v>
      </c>
      <c r="D516" t="s">
        <v>102</v>
      </c>
      <c r="E516" t="str">
        <f>_xlfn.XLOOKUP(Sales[[#This Row],[Product Name]],Products[Product Name],Products[Category])</f>
        <v>Chicken</v>
      </c>
      <c r="F516" t="s">
        <v>449</v>
      </c>
      <c r="G516" t="s">
        <v>450</v>
      </c>
      <c r="H516">
        <v>58</v>
      </c>
      <c r="I516" s="5">
        <f>_xlfn.XLOOKUP(Sales[[#This Row],[Product Name]],Products[Product Name],Products[Selling Price (CAD)])</f>
        <v>7.99</v>
      </c>
      <c r="J516" s="5">
        <f>PRODUCT(Sales[[#This Row],[Quantity Sold]],Sales[[#This Row],[Unit Selling Price (CAD)]])</f>
        <v>463.42</v>
      </c>
    </row>
    <row r="517" spans="1:10">
      <c r="A517" t="s">
        <v>965</v>
      </c>
      <c r="B517" s="2">
        <v>46089</v>
      </c>
      <c r="C517" t="s">
        <v>105</v>
      </c>
      <c r="D517" t="s">
        <v>106</v>
      </c>
      <c r="E517" t="str">
        <f>_xlfn.XLOOKUP(Sales[[#This Row],[Product Name]],Products[Product Name],Products[Category])</f>
        <v>Chicken</v>
      </c>
      <c r="F517" t="s">
        <v>449</v>
      </c>
      <c r="G517" t="s">
        <v>450</v>
      </c>
      <c r="H517">
        <v>39</v>
      </c>
      <c r="I517" s="5">
        <f>_xlfn.XLOOKUP(Sales[[#This Row],[Product Name]],Products[Product Name],Products[Selling Price (CAD)])</f>
        <v>4.99</v>
      </c>
      <c r="J517" s="5">
        <f>PRODUCT(Sales[[#This Row],[Quantity Sold]],Sales[[#This Row],[Unit Selling Price (CAD)]])</f>
        <v>194.61</v>
      </c>
    </row>
    <row r="518" spans="1:10">
      <c r="A518" t="s">
        <v>966</v>
      </c>
      <c r="B518" s="2">
        <v>46089</v>
      </c>
      <c r="C518" t="s">
        <v>341</v>
      </c>
      <c r="D518" t="s">
        <v>342</v>
      </c>
      <c r="E518" t="str">
        <f>_xlfn.XLOOKUP(Sales[[#This Row],[Product Name]],Products[Product Name],Products[Category])</f>
        <v>Desserts</v>
      </c>
      <c r="F518" t="s">
        <v>449</v>
      </c>
      <c r="G518" t="s">
        <v>450</v>
      </c>
      <c r="H518">
        <v>49</v>
      </c>
      <c r="I518" s="5">
        <f>_xlfn.XLOOKUP(Sales[[#This Row],[Product Name]],Products[Product Name],Products[Selling Price (CAD)])</f>
        <v>1.49</v>
      </c>
      <c r="J518" s="5">
        <f>PRODUCT(Sales[[#This Row],[Quantity Sold]],Sales[[#This Row],[Unit Selling Price (CAD)]])</f>
        <v>73.010000000000005</v>
      </c>
    </row>
    <row r="519" spans="1:10">
      <c r="A519" t="s">
        <v>967</v>
      </c>
      <c r="B519" s="2">
        <v>46089</v>
      </c>
      <c r="C519" t="s">
        <v>219</v>
      </c>
      <c r="D519" t="s">
        <v>220</v>
      </c>
      <c r="E519" t="str">
        <f>_xlfn.XLOOKUP(Sales[[#This Row],[Product Name]],Products[Product Name],Products[Category])</f>
        <v>Sides</v>
      </c>
      <c r="F519" t="s">
        <v>449</v>
      </c>
      <c r="G519" t="s">
        <v>452</v>
      </c>
      <c r="H519">
        <v>76</v>
      </c>
      <c r="I519" s="5">
        <f>_xlfn.XLOOKUP(Sales[[#This Row],[Product Name]],Products[Product Name],Products[Selling Price (CAD)])</f>
        <v>3.49</v>
      </c>
      <c r="J519" s="5">
        <f>PRODUCT(Sales[[#This Row],[Quantity Sold]],Sales[[#This Row],[Unit Selling Price (CAD)]])</f>
        <v>265.24</v>
      </c>
    </row>
    <row r="520" spans="1:10">
      <c r="A520" t="s">
        <v>968</v>
      </c>
      <c r="B520" s="2">
        <v>46089</v>
      </c>
      <c r="C520" t="s">
        <v>283</v>
      </c>
      <c r="D520" t="s">
        <v>284</v>
      </c>
      <c r="E520" t="str">
        <f>_xlfn.XLOOKUP(Sales[[#This Row],[Product Name]],Products[Product Name],Products[Category])</f>
        <v>Beverages</v>
      </c>
      <c r="F520" t="s">
        <v>449</v>
      </c>
      <c r="G520" t="s">
        <v>450</v>
      </c>
      <c r="H520">
        <v>57</v>
      </c>
      <c r="I520" s="5">
        <f>_xlfn.XLOOKUP(Sales[[#This Row],[Product Name]],Products[Product Name],Products[Selling Price (CAD)])</f>
        <v>2.99</v>
      </c>
      <c r="J520" s="5">
        <f>PRODUCT(Sales[[#This Row],[Quantity Sold]],Sales[[#This Row],[Unit Selling Price (CAD)]])</f>
        <v>170.43</v>
      </c>
    </row>
    <row r="521" spans="1:10">
      <c r="A521" t="s">
        <v>969</v>
      </c>
      <c r="B521" s="2">
        <v>46089</v>
      </c>
      <c r="C521" t="s">
        <v>131</v>
      </c>
      <c r="D521" t="s">
        <v>132</v>
      </c>
      <c r="E521" t="str">
        <f>_xlfn.XLOOKUP(Sales[[#This Row],[Product Name]],Products[Product Name],Products[Category])</f>
        <v>Chicken</v>
      </c>
      <c r="F521" t="s">
        <v>447</v>
      </c>
      <c r="G521" t="s">
        <v>450</v>
      </c>
      <c r="H521">
        <v>75</v>
      </c>
      <c r="I521" s="5">
        <f>_xlfn.XLOOKUP(Sales[[#This Row],[Product Name]],Products[Product Name],Products[Selling Price (CAD)])</f>
        <v>8.99</v>
      </c>
      <c r="J521" s="5">
        <f>PRODUCT(Sales[[#This Row],[Quantity Sold]],Sales[[#This Row],[Unit Selling Price (CAD)]])</f>
        <v>674.25</v>
      </c>
    </row>
    <row r="522" spans="1:10">
      <c r="A522" t="s">
        <v>970</v>
      </c>
      <c r="B522" s="2">
        <v>46089</v>
      </c>
      <c r="C522" t="s">
        <v>361</v>
      </c>
      <c r="D522" t="s">
        <v>362</v>
      </c>
      <c r="E522" t="str">
        <f>_xlfn.XLOOKUP(Sales[[#This Row],[Product Name]],Products[Product Name],Products[Category])</f>
        <v>Desserts</v>
      </c>
      <c r="F522" t="s">
        <v>447</v>
      </c>
      <c r="G522" t="s">
        <v>450</v>
      </c>
      <c r="H522">
        <v>47</v>
      </c>
      <c r="I522" s="5">
        <f>_xlfn.XLOOKUP(Sales[[#This Row],[Product Name]],Products[Product Name],Products[Selling Price (CAD)])</f>
        <v>5.99</v>
      </c>
      <c r="J522" s="5">
        <f>PRODUCT(Sales[[#This Row],[Quantity Sold]],Sales[[#This Row],[Unit Selling Price (CAD)]])</f>
        <v>281.53000000000003</v>
      </c>
    </row>
    <row r="523" spans="1:10">
      <c r="A523" t="s">
        <v>971</v>
      </c>
      <c r="B523" s="2">
        <v>46089</v>
      </c>
      <c r="C523" t="s">
        <v>123</v>
      </c>
      <c r="D523" t="s">
        <v>124</v>
      </c>
      <c r="E523" t="str">
        <f>_xlfn.XLOOKUP(Sales[[#This Row],[Product Name]],Products[Product Name],Products[Category])</f>
        <v>Chicken</v>
      </c>
      <c r="F523" t="s">
        <v>444</v>
      </c>
      <c r="G523" t="s">
        <v>450</v>
      </c>
      <c r="H523">
        <v>36</v>
      </c>
      <c r="I523" s="5">
        <f>_xlfn.XLOOKUP(Sales[[#This Row],[Product Name]],Products[Product Name],Products[Selling Price (CAD)])</f>
        <v>2.99</v>
      </c>
      <c r="J523" s="5">
        <f>PRODUCT(Sales[[#This Row],[Quantity Sold]],Sales[[#This Row],[Unit Selling Price (CAD)]])</f>
        <v>107.64000000000001</v>
      </c>
    </row>
    <row r="524" spans="1:10">
      <c r="A524" t="s">
        <v>972</v>
      </c>
      <c r="B524" s="2">
        <v>46089</v>
      </c>
      <c r="C524" t="s">
        <v>315</v>
      </c>
      <c r="D524" t="s">
        <v>316</v>
      </c>
      <c r="E524" t="str">
        <f>_xlfn.XLOOKUP(Sales[[#This Row],[Product Name]],Products[Product Name],Products[Category])</f>
        <v>Beverages</v>
      </c>
      <c r="F524" t="s">
        <v>444</v>
      </c>
      <c r="G524" t="s">
        <v>450</v>
      </c>
      <c r="H524">
        <v>31</v>
      </c>
      <c r="I524" s="5">
        <f>_xlfn.XLOOKUP(Sales[[#This Row],[Product Name]],Products[Product Name],Products[Selling Price (CAD)])</f>
        <v>3.99</v>
      </c>
      <c r="J524" s="5">
        <f>PRODUCT(Sales[[#This Row],[Quantity Sold]],Sales[[#This Row],[Unit Selling Price (CAD)]])</f>
        <v>123.69000000000001</v>
      </c>
    </row>
    <row r="525" spans="1:10">
      <c r="A525" t="s">
        <v>973</v>
      </c>
      <c r="B525" s="2">
        <v>46089</v>
      </c>
      <c r="C525" t="s">
        <v>68</v>
      </c>
      <c r="D525" t="s">
        <v>69</v>
      </c>
      <c r="E525" t="str">
        <f>_xlfn.XLOOKUP(Sales[[#This Row],[Product Name]],Products[Product Name],Products[Category])</f>
        <v>Burgers</v>
      </c>
      <c r="F525" t="s">
        <v>444</v>
      </c>
      <c r="G525" t="s">
        <v>452</v>
      </c>
      <c r="H525">
        <v>44</v>
      </c>
      <c r="I525" s="5">
        <f>_xlfn.XLOOKUP(Sales[[#This Row],[Product Name]],Products[Product Name],Products[Selling Price (CAD)])</f>
        <v>6.99</v>
      </c>
      <c r="J525" s="5">
        <f>PRODUCT(Sales[[#This Row],[Quantity Sold]],Sales[[#This Row],[Unit Selling Price (CAD)]])</f>
        <v>307.56</v>
      </c>
    </row>
    <row r="526" spans="1:10">
      <c r="A526" t="s">
        <v>974</v>
      </c>
      <c r="B526" s="2">
        <v>46090</v>
      </c>
      <c r="C526" t="s">
        <v>293</v>
      </c>
      <c r="D526" t="s">
        <v>294</v>
      </c>
      <c r="E526" t="str">
        <f>_xlfn.XLOOKUP(Sales[[#This Row],[Product Name]],Products[Product Name],Products[Category])</f>
        <v>Beverages</v>
      </c>
      <c r="F526" t="s">
        <v>449</v>
      </c>
      <c r="G526" t="s">
        <v>450</v>
      </c>
      <c r="H526">
        <v>45</v>
      </c>
      <c r="I526" s="5">
        <f>_xlfn.XLOOKUP(Sales[[#This Row],[Product Name]],Products[Product Name],Products[Selling Price (CAD)])</f>
        <v>3.99</v>
      </c>
      <c r="J526" s="5">
        <f>PRODUCT(Sales[[#This Row],[Quantity Sold]],Sales[[#This Row],[Unit Selling Price (CAD)]])</f>
        <v>179.55</v>
      </c>
    </row>
    <row r="527" spans="1:10">
      <c r="A527" t="s">
        <v>975</v>
      </c>
      <c r="B527" s="2">
        <v>46090</v>
      </c>
      <c r="C527" t="s">
        <v>123</v>
      </c>
      <c r="D527" t="s">
        <v>124</v>
      </c>
      <c r="E527" t="str">
        <f>_xlfn.XLOOKUP(Sales[[#This Row],[Product Name]],Products[Product Name],Products[Category])</f>
        <v>Chicken</v>
      </c>
      <c r="F527" t="s">
        <v>444</v>
      </c>
      <c r="G527" t="s">
        <v>450</v>
      </c>
      <c r="H527">
        <v>44</v>
      </c>
      <c r="I527" s="5">
        <f>_xlfn.XLOOKUP(Sales[[#This Row],[Product Name]],Products[Product Name],Products[Selling Price (CAD)])</f>
        <v>2.99</v>
      </c>
      <c r="J527" s="5">
        <f>PRODUCT(Sales[[#This Row],[Quantity Sold]],Sales[[#This Row],[Unit Selling Price (CAD)]])</f>
        <v>131.56</v>
      </c>
    </row>
    <row r="528" spans="1:10">
      <c r="A528" t="s">
        <v>976</v>
      </c>
      <c r="B528" s="2">
        <v>46090</v>
      </c>
      <c r="C528" t="s">
        <v>277</v>
      </c>
      <c r="D528" t="s">
        <v>278</v>
      </c>
      <c r="E528" t="str">
        <f>_xlfn.XLOOKUP(Sales[[#This Row],[Product Name]],Products[Product Name],Products[Category])</f>
        <v>Beverages</v>
      </c>
      <c r="F528" t="s">
        <v>444</v>
      </c>
      <c r="G528" t="s">
        <v>454</v>
      </c>
      <c r="H528">
        <v>37</v>
      </c>
      <c r="I528" s="5">
        <f>_xlfn.XLOOKUP(Sales[[#This Row],[Product Name]],Products[Product Name],Products[Selling Price (CAD)])</f>
        <v>1.99</v>
      </c>
      <c r="J528" s="5">
        <f>PRODUCT(Sales[[#This Row],[Quantity Sold]],Sales[[#This Row],[Unit Selling Price (CAD)]])</f>
        <v>73.63</v>
      </c>
    </row>
    <row r="529" spans="1:10">
      <c r="A529" t="s">
        <v>977</v>
      </c>
      <c r="B529" s="2">
        <v>46090</v>
      </c>
      <c r="C529" t="s">
        <v>372</v>
      </c>
      <c r="D529" t="s">
        <v>373</v>
      </c>
      <c r="E529" t="str">
        <f>_xlfn.XLOOKUP(Sales[[#This Row],[Product Name]],Products[Product Name],Products[Category])</f>
        <v>Kids Meals</v>
      </c>
      <c r="F529" t="s">
        <v>449</v>
      </c>
      <c r="G529" t="s">
        <v>450</v>
      </c>
      <c r="H529">
        <v>44</v>
      </c>
      <c r="I529" s="5">
        <f>_xlfn.XLOOKUP(Sales[[#This Row],[Product Name]],Products[Product Name],Products[Selling Price (CAD)])</f>
        <v>6.49</v>
      </c>
      <c r="J529" s="5">
        <f>PRODUCT(Sales[[#This Row],[Quantity Sold]],Sales[[#This Row],[Unit Selling Price (CAD)]])</f>
        <v>285.56</v>
      </c>
    </row>
    <row r="530" spans="1:10">
      <c r="A530" t="s">
        <v>978</v>
      </c>
      <c r="B530" s="2">
        <v>46090</v>
      </c>
      <c r="C530" t="s">
        <v>68</v>
      </c>
      <c r="D530" t="s">
        <v>69</v>
      </c>
      <c r="E530" t="str">
        <f>_xlfn.XLOOKUP(Sales[[#This Row],[Product Name]],Products[Product Name],Products[Category])</f>
        <v>Burgers</v>
      </c>
      <c r="F530" t="s">
        <v>447</v>
      </c>
      <c r="G530" t="s">
        <v>454</v>
      </c>
      <c r="H530">
        <v>64</v>
      </c>
      <c r="I530" s="5">
        <f>_xlfn.XLOOKUP(Sales[[#This Row],[Product Name]],Products[Product Name],Products[Selling Price (CAD)])</f>
        <v>6.99</v>
      </c>
      <c r="J530" s="5">
        <f>PRODUCT(Sales[[#This Row],[Quantity Sold]],Sales[[#This Row],[Unit Selling Price (CAD)]])</f>
        <v>447.36</v>
      </c>
    </row>
    <row r="531" spans="1:10">
      <c r="A531" t="s">
        <v>979</v>
      </c>
      <c r="B531" s="2">
        <v>46090</v>
      </c>
      <c r="C531" t="s">
        <v>289</v>
      </c>
      <c r="D531" t="s">
        <v>290</v>
      </c>
      <c r="E531" t="str">
        <f>_xlfn.XLOOKUP(Sales[[#This Row],[Product Name]],Products[Product Name],Products[Category])</f>
        <v>Beverages</v>
      </c>
      <c r="F531" t="s">
        <v>447</v>
      </c>
      <c r="G531" t="s">
        <v>450</v>
      </c>
      <c r="H531">
        <v>55</v>
      </c>
      <c r="I531" s="5">
        <f>_xlfn.XLOOKUP(Sales[[#This Row],[Product Name]],Products[Product Name],Products[Selling Price (CAD)])</f>
        <v>2.99</v>
      </c>
      <c r="J531" s="5">
        <f>PRODUCT(Sales[[#This Row],[Quantity Sold]],Sales[[#This Row],[Unit Selling Price (CAD)]])</f>
        <v>164.45000000000002</v>
      </c>
    </row>
    <row r="532" spans="1:10">
      <c r="A532" t="s">
        <v>980</v>
      </c>
      <c r="B532" s="2">
        <v>46091</v>
      </c>
      <c r="C532" t="s">
        <v>321</v>
      </c>
      <c r="D532" t="s">
        <v>322</v>
      </c>
      <c r="E532" t="str">
        <f>_xlfn.XLOOKUP(Sales[[#This Row],[Product Name]],Products[Product Name],Products[Category])</f>
        <v>Beverages</v>
      </c>
      <c r="F532" t="s">
        <v>444</v>
      </c>
      <c r="G532" t="s">
        <v>452</v>
      </c>
      <c r="H532">
        <v>75</v>
      </c>
      <c r="I532" s="5">
        <f>_xlfn.XLOOKUP(Sales[[#This Row],[Product Name]],Products[Product Name],Products[Selling Price (CAD)])</f>
        <v>2.4900000000000002</v>
      </c>
      <c r="J532" s="5">
        <f>PRODUCT(Sales[[#This Row],[Quantity Sold]],Sales[[#This Row],[Unit Selling Price (CAD)]])</f>
        <v>186.75000000000003</v>
      </c>
    </row>
    <row r="533" spans="1:10">
      <c r="A533" t="s">
        <v>981</v>
      </c>
      <c r="B533" s="2">
        <v>46091</v>
      </c>
      <c r="C533" t="s">
        <v>103</v>
      </c>
      <c r="D533" t="s">
        <v>104</v>
      </c>
      <c r="E533" t="str">
        <f>_xlfn.XLOOKUP(Sales[[#This Row],[Product Name]],Products[Product Name],Products[Category])</f>
        <v>Chicken</v>
      </c>
      <c r="F533" t="s">
        <v>447</v>
      </c>
      <c r="G533" t="s">
        <v>454</v>
      </c>
      <c r="H533">
        <v>46</v>
      </c>
      <c r="I533" s="5">
        <f>_xlfn.XLOOKUP(Sales[[#This Row],[Product Name]],Products[Product Name],Products[Selling Price (CAD)])</f>
        <v>7.99</v>
      </c>
      <c r="J533" s="5">
        <f>PRODUCT(Sales[[#This Row],[Quantity Sold]],Sales[[#This Row],[Unit Selling Price (CAD)]])</f>
        <v>367.54</v>
      </c>
    </row>
    <row r="534" spans="1:10">
      <c r="A534" t="s">
        <v>982</v>
      </c>
      <c r="B534" s="2">
        <v>46091</v>
      </c>
      <c r="C534" t="s">
        <v>219</v>
      </c>
      <c r="D534" t="s">
        <v>220</v>
      </c>
      <c r="E534" t="str">
        <f>_xlfn.XLOOKUP(Sales[[#This Row],[Product Name]],Products[Product Name],Products[Category])</f>
        <v>Sides</v>
      </c>
      <c r="F534" t="s">
        <v>444</v>
      </c>
      <c r="G534" t="s">
        <v>450</v>
      </c>
      <c r="H534">
        <v>79</v>
      </c>
      <c r="I534" s="5">
        <f>_xlfn.XLOOKUP(Sales[[#This Row],[Product Name]],Products[Product Name],Products[Selling Price (CAD)])</f>
        <v>3.49</v>
      </c>
      <c r="J534" s="5">
        <f>PRODUCT(Sales[[#This Row],[Quantity Sold]],Sales[[#This Row],[Unit Selling Price (CAD)]])</f>
        <v>275.71000000000004</v>
      </c>
    </row>
    <row r="535" spans="1:10">
      <c r="A535" t="s">
        <v>983</v>
      </c>
      <c r="B535" s="2">
        <v>46091</v>
      </c>
      <c r="C535" t="s">
        <v>219</v>
      </c>
      <c r="D535" t="s">
        <v>220</v>
      </c>
      <c r="E535" t="str">
        <f>_xlfn.XLOOKUP(Sales[[#This Row],[Product Name]],Products[Product Name],Products[Category])</f>
        <v>Sides</v>
      </c>
      <c r="F535" t="s">
        <v>449</v>
      </c>
      <c r="G535" t="s">
        <v>450</v>
      </c>
      <c r="H535">
        <v>68</v>
      </c>
      <c r="I535" s="5">
        <f>_xlfn.XLOOKUP(Sales[[#This Row],[Product Name]],Products[Product Name],Products[Selling Price (CAD)])</f>
        <v>3.49</v>
      </c>
      <c r="J535" s="5">
        <f>PRODUCT(Sales[[#This Row],[Quantity Sold]],Sales[[#This Row],[Unit Selling Price (CAD)]])</f>
        <v>237.32000000000002</v>
      </c>
    </row>
    <row r="536" spans="1:10">
      <c r="A536" t="s">
        <v>984</v>
      </c>
      <c r="B536" s="2">
        <v>46091</v>
      </c>
      <c r="C536" t="s">
        <v>161</v>
      </c>
      <c r="D536" t="s">
        <v>162</v>
      </c>
      <c r="E536" t="str">
        <f>_xlfn.XLOOKUP(Sales[[#This Row],[Product Name]],Products[Product Name],Products[Category])</f>
        <v>Breakfast</v>
      </c>
      <c r="F536" t="s">
        <v>444</v>
      </c>
      <c r="G536" t="s">
        <v>452</v>
      </c>
      <c r="H536">
        <v>49</v>
      </c>
      <c r="I536" s="5">
        <f>_xlfn.XLOOKUP(Sales[[#This Row],[Product Name]],Products[Product Name],Products[Selling Price (CAD)])</f>
        <v>2.99</v>
      </c>
      <c r="J536" s="5">
        <f>PRODUCT(Sales[[#This Row],[Quantity Sold]],Sales[[#This Row],[Unit Selling Price (CAD)]])</f>
        <v>146.51000000000002</v>
      </c>
    </row>
    <row r="537" spans="1:10">
      <c r="A537" t="s">
        <v>985</v>
      </c>
      <c r="B537" s="2">
        <v>46091</v>
      </c>
      <c r="C537" t="s">
        <v>103</v>
      </c>
      <c r="D537" t="s">
        <v>104</v>
      </c>
      <c r="E537" t="str">
        <f>_xlfn.XLOOKUP(Sales[[#This Row],[Product Name]],Products[Product Name],Products[Category])</f>
        <v>Chicken</v>
      </c>
      <c r="F537" t="s">
        <v>447</v>
      </c>
      <c r="G537" t="s">
        <v>445</v>
      </c>
      <c r="H537">
        <v>72</v>
      </c>
      <c r="I537" s="5">
        <f>_xlfn.XLOOKUP(Sales[[#This Row],[Product Name]],Products[Product Name],Products[Selling Price (CAD)])</f>
        <v>7.99</v>
      </c>
      <c r="J537" s="5">
        <f>PRODUCT(Sales[[#This Row],[Quantity Sold]],Sales[[#This Row],[Unit Selling Price (CAD)]])</f>
        <v>575.28</v>
      </c>
    </row>
    <row r="538" spans="1:10">
      <c r="A538" t="s">
        <v>986</v>
      </c>
      <c r="B538" s="2">
        <v>46091</v>
      </c>
      <c r="C538" t="s">
        <v>159</v>
      </c>
      <c r="D538" t="s">
        <v>160</v>
      </c>
      <c r="E538" t="str">
        <f>_xlfn.XLOOKUP(Sales[[#This Row],[Product Name]],Products[Product Name],Products[Category])</f>
        <v>Breakfast</v>
      </c>
      <c r="F538" t="s">
        <v>449</v>
      </c>
      <c r="G538" t="s">
        <v>450</v>
      </c>
      <c r="H538">
        <v>43</v>
      </c>
      <c r="I538" s="5">
        <f>_xlfn.XLOOKUP(Sales[[#This Row],[Product Name]],Products[Product Name],Products[Selling Price (CAD)])</f>
        <v>2.4900000000000002</v>
      </c>
      <c r="J538" s="5">
        <f>PRODUCT(Sales[[#This Row],[Quantity Sold]],Sales[[#This Row],[Unit Selling Price (CAD)]])</f>
        <v>107.07000000000001</v>
      </c>
    </row>
    <row r="539" spans="1:10">
      <c r="A539" t="s">
        <v>987</v>
      </c>
      <c r="B539" s="2">
        <v>46091</v>
      </c>
      <c r="C539" t="s">
        <v>335</v>
      </c>
      <c r="D539" t="s">
        <v>336</v>
      </c>
      <c r="E539" t="str">
        <f>_xlfn.XLOOKUP(Sales[[#This Row],[Product Name]],Products[Product Name],Products[Category])</f>
        <v>Desserts</v>
      </c>
      <c r="F539" t="s">
        <v>447</v>
      </c>
      <c r="G539" t="s">
        <v>450</v>
      </c>
      <c r="H539">
        <v>79</v>
      </c>
      <c r="I539" s="5">
        <f>_xlfn.XLOOKUP(Sales[[#This Row],[Product Name]],Products[Product Name],Products[Selling Price (CAD)])</f>
        <v>1.49</v>
      </c>
      <c r="J539" s="5">
        <f>PRODUCT(Sales[[#This Row],[Quantity Sold]],Sales[[#This Row],[Unit Selling Price (CAD)]])</f>
        <v>117.71</v>
      </c>
    </row>
    <row r="540" spans="1:10">
      <c r="A540" t="s">
        <v>988</v>
      </c>
      <c r="B540" s="2">
        <v>46091</v>
      </c>
      <c r="C540" t="s">
        <v>423</v>
      </c>
      <c r="D540" t="s">
        <v>424</v>
      </c>
      <c r="E540" t="str">
        <f>_xlfn.XLOOKUP(Sales[[#This Row],[Product Name]],Products[Product Name],Products[Category])</f>
        <v>Combo Meals</v>
      </c>
      <c r="F540" t="s">
        <v>449</v>
      </c>
      <c r="G540" t="s">
        <v>454</v>
      </c>
      <c r="H540">
        <v>39</v>
      </c>
      <c r="I540" s="5">
        <f>_xlfn.XLOOKUP(Sales[[#This Row],[Product Name]],Products[Product Name],Products[Selling Price (CAD)])</f>
        <v>12.99</v>
      </c>
      <c r="J540" s="5">
        <f>PRODUCT(Sales[[#This Row],[Quantity Sold]],Sales[[#This Row],[Unit Selling Price (CAD)]])</f>
        <v>506.61</v>
      </c>
    </row>
    <row r="541" spans="1:10">
      <c r="A541" t="s">
        <v>989</v>
      </c>
      <c r="B541" s="2">
        <v>46091</v>
      </c>
      <c r="C541" t="s">
        <v>21</v>
      </c>
      <c r="D541" t="s">
        <v>22</v>
      </c>
      <c r="E541" t="str">
        <f>_xlfn.XLOOKUP(Sales[[#This Row],[Product Name]],Products[Product Name],Products[Category])</f>
        <v>Burgers</v>
      </c>
      <c r="F541" t="s">
        <v>447</v>
      </c>
      <c r="G541" t="s">
        <v>450</v>
      </c>
      <c r="H541">
        <v>39</v>
      </c>
      <c r="I541" s="5">
        <f>_xlfn.XLOOKUP(Sales[[#This Row],[Product Name]],Products[Product Name],Products[Selling Price (CAD)])</f>
        <v>9.99</v>
      </c>
      <c r="J541" s="5">
        <f>PRODUCT(Sales[[#This Row],[Quantity Sold]],Sales[[#This Row],[Unit Selling Price (CAD)]])</f>
        <v>389.61</v>
      </c>
    </row>
    <row r="542" spans="1:10">
      <c r="A542" t="s">
        <v>990</v>
      </c>
      <c r="B542" s="2">
        <v>46092</v>
      </c>
      <c r="C542" t="s">
        <v>289</v>
      </c>
      <c r="D542" t="s">
        <v>290</v>
      </c>
      <c r="E542" t="str">
        <f>_xlfn.XLOOKUP(Sales[[#This Row],[Product Name]],Products[Product Name],Products[Category])</f>
        <v>Beverages</v>
      </c>
      <c r="F542" t="s">
        <v>449</v>
      </c>
      <c r="G542" t="s">
        <v>452</v>
      </c>
      <c r="H542">
        <v>43</v>
      </c>
      <c r="I542" s="5">
        <f>_xlfn.XLOOKUP(Sales[[#This Row],[Product Name]],Products[Product Name],Products[Selling Price (CAD)])</f>
        <v>2.99</v>
      </c>
      <c r="J542" s="5">
        <f>PRODUCT(Sales[[#This Row],[Quantity Sold]],Sales[[#This Row],[Unit Selling Price (CAD)]])</f>
        <v>128.57000000000002</v>
      </c>
    </row>
    <row r="543" spans="1:10">
      <c r="A543" t="s">
        <v>991</v>
      </c>
      <c r="B543" s="2">
        <v>46092</v>
      </c>
      <c r="C543" t="s">
        <v>103</v>
      </c>
      <c r="D543" t="s">
        <v>104</v>
      </c>
      <c r="E543" t="str">
        <f>_xlfn.XLOOKUP(Sales[[#This Row],[Product Name]],Products[Product Name],Products[Category])</f>
        <v>Chicken</v>
      </c>
      <c r="F543" t="s">
        <v>447</v>
      </c>
      <c r="G543" t="s">
        <v>450</v>
      </c>
      <c r="H543">
        <v>64</v>
      </c>
      <c r="I543" s="5">
        <f>_xlfn.XLOOKUP(Sales[[#This Row],[Product Name]],Products[Product Name],Products[Selling Price (CAD)])</f>
        <v>7.99</v>
      </c>
      <c r="J543" s="5">
        <f>PRODUCT(Sales[[#This Row],[Quantity Sold]],Sales[[#This Row],[Unit Selling Price (CAD)]])</f>
        <v>511.36</v>
      </c>
    </row>
    <row r="544" spans="1:10">
      <c r="A544" t="s">
        <v>992</v>
      </c>
      <c r="B544" s="2">
        <v>46092</v>
      </c>
      <c r="C544" t="s">
        <v>153</v>
      </c>
      <c r="D544" t="s">
        <v>154</v>
      </c>
      <c r="E544" t="str">
        <f>_xlfn.XLOOKUP(Sales[[#This Row],[Product Name]],Products[Product Name],Products[Category])</f>
        <v>Breakfast</v>
      </c>
      <c r="F544" t="s">
        <v>444</v>
      </c>
      <c r="G544" t="s">
        <v>450</v>
      </c>
      <c r="H544">
        <v>76</v>
      </c>
      <c r="I544" s="5">
        <f>_xlfn.XLOOKUP(Sales[[#This Row],[Product Name]],Products[Product Name],Products[Selling Price (CAD)])</f>
        <v>4.99</v>
      </c>
      <c r="J544" s="5">
        <f>PRODUCT(Sales[[#This Row],[Quantity Sold]],Sales[[#This Row],[Unit Selling Price (CAD)]])</f>
        <v>379.24</v>
      </c>
    </row>
    <row r="545" spans="1:10">
      <c r="A545" t="s">
        <v>993</v>
      </c>
      <c r="B545" s="2">
        <v>46092</v>
      </c>
      <c r="C545" t="s">
        <v>133</v>
      </c>
      <c r="D545" t="s">
        <v>134</v>
      </c>
      <c r="E545" t="str">
        <f>_xlfn.XLOOKUP(Sales[[#This Row],[Product Name]],Products[Product Name],Products[Category])</f>
        <v>Breakfast</v>
      </c>
      <c r="F545" t="s">
        <v>447</v>
      </c>
      <c r="G545" t="s">
        <v>450</v>
      </c>
      <c r="H545">
        <v>74</v>
      </c>
      <c r="I545" s="5">
        <f>_xlfn.XLOOKUP(Sales[[#This Row],[Product Name]],Products[Product Name],Products[Selling Price (CAD)])</f>
        <v>4.99</v>
      </c>
      <c r="J545" s="5">
        <f>PRODUCT(Sales[[#This Row],[Quantity Sold]],Sales[[#This Row],[Unit Selling Price (CAD)]])</f>
        <v>369.26</v>
      </c>
    </row>
    <row r="546" spans="1:10">
      <c r="A546" t="s">
        <v>994</v>
      </c>
      <c r="B546" s="2">
        <v>46092</v>
      </c>
      <c r="C546" t="s">
        <v>58</v>
      </c>
      <c r="D546" t="s">
        <v>59</v>
      </c>
      <c r="E546" t="str">
        <f>_xlfn.XLOOKUP(Sales[[#This Row],[Product Name]],Products[Product Name],Products[Category])</f>
        <v>Burgers</v>
      </c>
      <c r="F546" t="s">
        <v>444</v>
      </c>
      <c r="G546" t="s">
        <v>450</v>
      </c>
      <c r="H546">
        <v>57</v>
      </c>
      <c r="I546" s="5">
        <f>_xlfn.XLOOKUP(Sales[[#This Row],[Product Name]],Products[Product Name],Products[Selling Price (CAD)])</f>
        <v>8.49</v>
      </c>
      <c r="J546" s="5">
        <f>PRODUCT(Sales[[#This Row],[Quantity Sold]],Sales[[#This Row],[Unit Selling Price (CAD)]])</f>
        <v>483.93</v>
      </c>
    </row>
    <row r="547" spans="1:10">
      <c r="A547" t="s">
        <v>995</v>
      </c>
      <c r="B547" s="2">
        <v>46092</v>
      </c>
      <c r="C547" t="s">
        <v>267</v>
      </c>
      <c r="D547" t="s">
        <v>268</v>
      </c>
      <c r="E547" t="str">
        <f>_xlfn.XLOOKUP(Sales[[#This Row],[Product Name]],Products[Product Name],Products[Category])</f>
        <v>Beverages</v>
      </c>
      <c r="F547" t="s">
        <v>444</v>
      </c>
      <c r="G547" t="s">
        <v>452</v>
      </c>
      <c r="H547">
        <v>37</v>
      </c>
      <c r="I547" s="5">
        <f>_xlfn.XLOOKUP(Sales[[#This Row],[Product Name]],Products[Product Name],Products[Selling Price (CAD)])</f>
        <v>2.99</v>
      </c>
      <c r="J547" s="5">
        <f>PRODUCT(Sales[[#This Row],[Quantity Sold]],Sales[[#This Row],[Unit Selling Price (CAD)]])</f>
        <v>110.63000000000001</v>
      </c>
    </row>
    <row r="548" spans="1:10">
      <c r="A548" t="s">
        <v>996</v>
      </c>
      <c r="B548" s="2">
        <v>46092</v>
      </c>
      <c r="C548" t="s">
        <v>60</v>
      </c>
      <c r="D548" t="s">
        <v>61</v>
      </c>
      <c r="E548" t="str">
        <f>_xlfn.XLOOKUP(Sales[[#This Row],[Product Name]],Products[Product Name],Products[Category])</f>
        <v>Burgers</v>
      </c>
      <c r="F548" t="s">
        <v>449</v>
      </c>
      <c r="G548" t="s">
        <v>452</v>
      </c>
      <c r="H548">
        <v>58</v>
      </c>
      <c r="I548" s="5">
        <f>_xlfn.XLOOKUP(Sales[[#This Row],[Product Name]],Products[Product Name],Products[Selling Price (CAD)])</f>
        <v>6.99</v>
      </c>
      <c r="J548" s="5">
        <f>PRODUCT(Sales[[#This Row],[Quantity Sold]],Sales[[#This Row],[Unit Selling Price (CAD)]])</f>
        <v>405.42</v>
      </c>
    </row>
    <row r="549" spans="1:10">
      <c r="A549" t="s">
        <v>997</v>
      </c>
      <c r="B549" s="2">
        <v>46093</v>
      </c>
      <c r="C549" t="s">
        <v>36</v>
      </c>
      <c r="D549" t="s">
        <v>37</v>
      </c>
      <c r="E549" t="str">
        <f>_xlfn.XLOOKUP(Sales[[#This Row],[Product Name]],Products[Product Name],Products[Category])</f>
        <v>Burgers</v>
      </c>
      <c r="F549" t="s">
        <v>447</v>
      </c>
      <c r="G549" t="s">
        <v>454</v>
      </c>
      <c r="H549">
        <v>55</v>
      </c>
      <c r="I549" s="5">
        <f>_xlfn.XLOOKUP(Sales[[#This Row],[Product Name]],Products[Product Name],Products[Selling Price (CAD)])</f>
        <v>8.99</v>
      </c>
      <c r="J549" s="5">
        <f>PRODUCT(Sales[[#This Row],[Quantity Sold]],Sales[[#This Row],[Unit Selling Price (CAD)]])</f>
        <v>494.45</v>
      </c>
    </row>
    <row r="550" spans="1:10">
      <c r="A550" t="s">
        <v>998</v>
      </c>
      <c r="B550" s="2">
        <v>46093</v>
      </c>
      <c r="C550" t="s">
        <v>56</v>
      </c>
      <c r="D550" t="s">
        <v>57</v>
      </c>
      <c r="E550" t="str">
        <f>_xlfn.XLOOKUP(Sales[[#This Row],[Product Name]],Products[Product Name],Products[Category])</f>
        <v>Burgers</v>
      </c>
      <c r="F550" t="s">
        <v>444</v>
      </c>
      <c r="G550" t="s">
        <v>450</v>
      </c>
      <c r="H550">
        <v>72</v>
      </c>
      <c r="I550" s="5">
        <f>_xlfn.XLOOKUP(Sales[[#This Row],[Product Name]],Products[Product Name],Products[Selling Price (CAD)])</f>
        <v>6.49</v>
      </c>
      <c r="J550" s="5">
        <f>PRODUCT(Sales[[#This Row],[Quantity Sold]],Sales[[#This Row],[Unit Selling Price (CAD)]])</f>
        <v>467.28000000000003</v>
      </c>
    </row>
    <row r="551" spans="1:10">
      <c r="A551" t="s">
        <v>999</v>
      </c>
      <c r="B551" s="2">
        <v>46093</v>
      </c>
      <c r="C551" t="s">
        <v>281</v>
      </c>
      <c r="D551" t="s">
        <v>282</v>
      </c>
      <c r="E551" t="str">
        <f>_xlfn.XLOOKUP(Sales[[#This Row],[Product Name]],Products[Product Name],Products[Category])</f>
        <v>Beverages</v>
      </c>
      <c r="F551" t="s">
        <v>449</v>
      </c>
      <c r="G551" t="s">
        <v>445</v>
      </c>
      <c r="H551">
        <v>42</v>
      </c>
      <c r="I551" s="5">
        <f>_xlfn.XLOOKUP(Sales[[#This Row],[Product Name]],Products[Product Name],Products[Selling Price (CAD)])</f>
        <v>2.99</v>
      </c>
      <c r="J551" s="5">
        <f>PRODUCT(Sales[[#This Row],[Quantity Sold]],Sales[[#This Row],[Unit Selling Price (CAD)]])</f>
        <v>125.58000000000001</v>
      </c>
    </row>
    <row r="552" spans="1:10">
      <c r="A552" t="s">
        <v>1000</v>
      </c>
      <c r="B552" s="2">
        <v>46093</v>
      </c>
      <c r="C552" t="s">
        <v>103</v>
      </c>
      <c r="D552" t="s">
        <v>104</v>
      </c>
      <c r="E552" t="str">
        <f>_xlfn.XLOOKUP(Sales[[#This Row],[Product Name]],Products[Product Name],Products[Category])</f>
        <v>Chicken</v>
      </c>
      <c r="F552" t="s">
        <v>444</v>
      </c>
      <c r="G552" t="s">
        <v>452</v>
      </c>
      <c r="H552">
        <v>54</v>
      </c>
      <c r="I552" s="5">
        <f>_xlfn.XLOOKUP(Sales[[#This Row],[Product Name]],Products[Product Name],Products[Selling Price (CAD)])</f>
        <v>7.99</v>
      </c>
      <c r="J552" s="5">
        <f>PRODUCT(Sales[[#This Row],[Quantity Sold]],Sales[[#This Row],[Unit Selling Price (CAD)]])</f>
        <v>431.46000000000004</v>
      </c>
    </row>
    <row r="553" spans="1:10">
      <c r="A553" t="s">
        <v>1001</v>
      </c>
      <c r="B553" s="2">
        <v>46093</v>
      </c>
      <c r="C553" t="s">
        <v>311</v>
      </c>
      <c r="D553" t="s">
        <v>312</v>
      </c>
      <c r="E553" t="str">
        <f>_xlfn.XLOOKUP(Sales[[#This Row],[Product Name]],Products[Product Name],Products[Category])</f>
        <v>Beverages</v>
      </c>
      <c r="F553" t="s">
        <v>444</v>
      </c>
      <c r="G553" t="s">
        <v>450</v>
      </c>
      <c r="H553">
        <v>38</v>
      </c>
      <c r="I553" s="5">
        <f>_xlfn.XLOOKUP(Sales[[#This Row],[Product Name]],Products[Product Name],Products[Selling Price (CAD)])</f>
        <v>3.99</v>
      </c>
      <c r="J553" s="5">
        <f>PRODUCT(Sales[[#This Row],[Quantity Sold]],Sales[[#This Row],[Unit Selling Price (CAD)]])</f>
        <v>151.62</v>
      </c>
    </row>
    <row r="554" spans="1:10">
      <c r="A554" t="s">
        <v>1002</v>
      </c>
      <c r="B554" s="2">
        <v>46093</v>
      </c>
      <c r="C554" t="s">
        <v>40</v>
      </c>
      <c r="D554" t="s">
        <v>41</v>
      </c>
      <c r="E554" t="str">
        <f>_xlfn.XLOOKUP(Sales[[#This Row],[Product Name]],Products[Product Name],Products[Category])</f>
        <v>Burgers</v>
      </c>
      <c r="F554" t="s">
        <v>447</v>
      </c>
      <c r="G554" t="s">
        <v>450</v>
      </c>
      <c r="H554">
        <v>73</v>
      </c>
      <c r="I554" s="5">
        <f>_xlfn.XLOOKUP(Sales[[#This Row],[Product Name]],Products[Product Name],Products[Selling Price (CAD)])</f>
        <v>6.99</v>
      </c>
      <c r="J554" s="5">
        <f>PRODUCT(Sales[[#This Row],[Quantity Sold]],Sales[[#This Row],[Unit Selling Price (CAD)]])</f>
        <v>510.27000000000004</v>
      </c>
    </row>
    <row r="555" spans="1:10">
      <c r="A555" t="s">
        <v>1003</v>
      </c>
      <c r="B555" s="2">
        <v>46093</v>
      </c>
      <c r="C555" t="s">
        <v>209</v>
      </c>
      <c r="D555" t="s">
        <v>210</v>
      </c>
      <c r="E555" t="str">
        <f>_xlfn.XLOOKUP(Sales[[#This Row],[Product Name]],Products[Product Name],Products[Category])</f>
        <v>Sides</v>
      </c>
      <c r="F555" t="s">
        <v>447</v>
      </c>
      <c r="G555" t="s">
        <v>450</v>
      </c>
      <c r="H555">
        <v>57</v>
      </c>
      <c r="I555" s="5">
        <f>_xlfn.XLOOKUP(Sales[[#This Row],[Product Name]],Products[Product Name],Products[Selling Price (CAD)])</f>
        <v>4.99</v>
      </c>
      <c r="J555" s="5">
        <f>PRODUCT(Sales[[#This Row],[Quantity Sold]],Sales[[#This Row],[Unit Selling Price (CAD)]])</f>
        <v>284.43</v>
      </c>
    </row>
    <row r="556" spans="1:10">
      <c r="A556" t="s">
        <v>1004</v>
      </c>
      <c r="B556" s="2">
        <v>46093</v>
      </c>
      <c r="C556" t="s">
        <v>307</v>
      </c>
      <c r="D556" t="s">
        <v>308</v>
      </c>
      <c r="E556" t="str">
        <f>_xlfn.XLOOKUP(Sales[[#This Row],[Product Name]],Products[Product Name],Products[Category])</f>
        <v>Beverages</v>
      </c>
      <c r="F556" t="s">
        <v>449</v>
      </c>
      <c r="G556" t="s">
        <v>450</v>
      </c>
      <c r="H556">
        <v>51</v>
      </c>
      <c r="I556" s="5">
        <f>_xlfn.XLOOKUP(Sales[[#This Row],[Product Name]],Products[Product Name],Products[Selling Price (CAD)])</f>
        <v>2.99</v>
      </c>
      <c r="J556" s="5">
        <f>PRODUCT(Sales[[#This Row],[Quantity Sold]],Sales[[#This Row],[Unit Selling Price (CAD)]])</f>
        <v>152.49</v>
      </c>
    </row>
    <row r="557" spans="1:10">
      <c r="A557" t="s">
        <v>1005</v>
      </c>
      <c r="B557" s="2">
        <v>46093</v>
      </c>
      <c r="C557" t="s">
        <v>25</v>
      </c>
      <c r="D557" t="s">
        <v>26</v>
      </c>
      <c r="E557" t="str">
        <f>_xlfn.XLOOKUP(Sales[[#This Row],[Product Name]],Products[Product Name],Products[Category])</f>
        <v>Burgers</v>
      </c>
      <c r="F557" t="s">
        <v>444</v>
      </c>
      <c r="G557" t="s">
        <v>452</v>
      </c>
      <c r="H557">
        <v>74</v>
      </c>
      <c r="I557" s="5">
        <f>_xlfn.XLOOKUP(Sales[[#This Row],[Product Name]],Products[Product Name],Products[Selling Price (CAD)])</f>
        <v>5.99</v>
      </c>
      <c r="J557" s="5">
        <f>PRODUCT(Sales[[#This Row],[Quantity Sold]],Sales[[#This Row],[Unit Selling Price (CAD)]])</f>
        <v>443.26</v>
      </c>
    </row>
    <row r="558" spans="1:10">
      <c r="A558" t="s">
        <v>1006</v>
      </c>
      <c r="B558" s="2">
        <v>46093</v>
      </c>
      <c r="C558" t="s">
        <v>207</v>
      </c>
      <c r="D558" t="s">
        <v>208</v>
      </c>
      <c r="E558" t="str">
        <f>_xlfn.XLOOKUP(Sales[[#This Row],[Product Name]],Products[Product Name],Products[Category])</f>
        <v>Sides</v>
      </c>
      <c r="F558" t="s">
        <v>444</v>
      </c>
      <c r="G558" t="s">
        <v>450</v>
      </c>
      <c r="H558">
        <v>44</v>
      </c>
      <c r="I558" s="5">
        <f>_xlfn.XLOOKUP(Sales[[#This Row],[Product Name]],Products[Product Name],Products[Selling Price (CAD)])</f>
        <v>3.99</v>
      </c>
      <c r="J558" s="5">
        <f>PRODUCT(Sales[[#This Row],[Quantity Sold]],Sales[[#This Row],[Unit Selling Price (CAD)]])</f>
        <v>175.56</v>
      </c>
    </row>
    <row r="559" spans="1:10">
      <c r="A559" t="s">
        <v>1007</v>
      </c>
      <c r="B559" s="2">
        <v>46094</v>
      </c>
      <c r="C559" t="s">
        <v>52</v>
      </c>
      <c r="D559" t="s">
        <v>53</v>
      </c>
      <c r="E559" t="str">
        <f>_xlfn.XLOOKUP(Sales[[#This Row],[Product Name]],Products[Product Name],Products[Category])</f>
        <v>Burgers</v>
      </c>
      <c r="F559" t="s">
        <v>444</v>
      </c>
      <c r="G559" t="s">
        <v>445</v>
      </c>
      <c r="H559">
        <v>55</v>
      </c>
      <c r="I559" s="5">
        <f>_xlfn.XLOOKUP(Sales[[#This Row],[Product Name]],Products[Product Name],Products[Selling Price (CAD)])</f>
        <v>6.99</v>
      </c>
      <c r="J559" s="5">
        <f>PRODUCT(Sales[[#This Row],[Quantity Sold]],Sales[[#This Row],[Unit Selling Price (CAD)]])</f>
        <v>384.45</v>
      </c>
    </row>
    <row r="560" spans="1:10">
      <c r="A560" t="s">
        <v>1008</v>
      </c>
      <c r="B560" s="2">
        <v>46094</v>
      </c>
      <c r="C560" t="s">
        <v>329</v>
      </c>
      <c r="D560" t="s">
        <v>330</v>
      </c>
      <c r="E560" t="str">
        <f>_xlfn.XLOOKUP(Sales[[#This Row],[Product Name]],Products[Product Name],Products[Category])</f>
        <v>Desserts</v>
      </c>
      <c r="F560" t="s">
        <v>449</v>
      </c>
      <c r="G560" t="s">
        <v>452</v>
      </c>
      <c r="H560">
        <v>64</v>
      </c>
      <c r="I560" s="5">
        <f>_xlfn.XLOOKUP(Sales[[#This Row],[Product Name]],Products[Product Name],Products[Selling Price (CAD)])</f>
        <v>2.99</v>
      </c>
      <c r="J560" s="5">
        <f>PRODUCT(Sales[[#This Row],[Quantity Sold]],Sales[[#This Row],[Unit Selling Price (CAD)]])</f>
        <v>191.36</v>
      </c>
    </row>
    <row r="561" spans="1:10">
      <c r="A561" t="s">
        <v>1009</v>
      </c>
      <c r="B561" s="2">
        <v>46094</v>
      </c>
      <c r="C561" t="s">
        <v>349</v>
      </c>
      <c r="D561" t="s">
        <v>350</v>
      </c>
      <c r="E561" t="str">
        <f>_xlfn.XLOOKUP(Sales[[#This Row],[Product Name]],Products[Product Name],Products[Category])</f>
        <v>Desserts</v>
      </c>
      <c r="F561" t="s">
        <v>444</v>
      </c>
      <c r="G561" t="s">
        <v>450</v>
      </c>
      <c r="H561">
        <v>67</v>
      </c>
      <c r="I561" s="5">
        <f>_xlfn.XLOOKUP(Sales[[#This Row],[Product Name]],Products[Product Name],Products[Selling Price (CAD)])</f>
        <v>4.99</v>
      </c>
      <c r="J561" s="5">
        <f>PRODUCT(Sales[[#This Row],[Quantity Sold]],Sales[[#This Row],[Unit Selling Price (CAD)]])</f>
        <v>334.33000000000004</v>
      </c>
    </row>
    <row r="562" spans="1:10">
      <c r="A562" t="s">
        <v>1010</v>
      </c>
      <c r="B562" s="2">
        <v>46094</v>
      </c>
      <c r="C562" t="s">
        <v>36</v>
      </c>
      <c r="D562" t="s">
        <v>37</v>
      </c>
      <c r="E562" t="str">
        <f>_xlfn.XLOOKUP(Sales[[#This Row],[Product Name]],Products[Product Name],Products[Category])</f>
        <v>Burgers</v>
      </c>
      <c r="F562" t="s">
        <v>449</v>
      </c>
      <c r="G562" t="s">
        <v>454</v>
      </c>
      <c r="H562">
        <v>30</v>
      </c>
      <c r="I562" s="5">
        <f>_xlfn.XLOOKUP(Sales[[#This Row],[Product Name]],Products[Product Name],Products[Selling Price (CAD)])</f>
        <v>8.99</v>
      </c>
      <c r="J562" s="5">
        <f>PRODUCT(Sales[[#This Row],[Quantity Sold]],Sales[[#This Row],[Unit Selling Price (CAD)]])</f>
        <v>269.7</v>
      </c>
    </row>
    <row r="563" spans="1:10">
      <c r="A563" t="s">
        <v>1011</v>
      </c>
      <c r="B563" s="2">
        <v>46094</v>
      </c>
      <c r="C563" t="s">
        <v>217</v>
      </c>
      <c r="D563" t="s">
        <v>218</v>
      </c>
      <c r="E563" t="str">
        <f>_xlfn.XLOOKUP(Sales[[#This Row],[Product Name]],Products[Product Name],Products[Category])</f>
        <v>Sides</v>
      </c>
      <c r="F563" t="s">
        <v>444</v>
      </c>
      <c r="G563" t="s">
        <v>450</v>
      </c>
      <c r="H563">
        <v>47</v>
      </c>
      <c r="I563" s="5">
        <f>_xlfn.XLOOKUP(Sales[[#This Row],[Product Name]],Products[Product Name],Products[Selling Price (CAD)])</f>
        <v>3.99</v>
      </c>
      <c r="J563" s="5">
        <f>PRODUCT(Sales[[#This Row],[Quantity Sold]],Sales[[#This Row],[Unit Selling Price (CAD)]])</f>
        <v>187.53</v>
      </c>
    </row>
    <row r="564" spans="1:10">
      <c r="A564" t="s">
        <v>1012</v>
      </c>
      <c r="B564" s="2">
        <v>46094</v>
      </c>
      <c r="C564" t="s">
        <v>215</v>
      </c>
      <c r="D564" t="s">
        <v>216</v>
      </c>
      <c r="E564" t="str">
        <f>_xlfn.XLOOKUP(Sales[[#This Row],[Product Name]],Products[Product Name],Products[Category])</f>
        <v>Sides</v>
      </c>
      <c r="F564" t="s">
        <v>444</v>
      </c>
      <c r="G564" t="s">
        <v>454</v>
      </c>
      <c r="H564">
        <v>73</v>
      </c>
      <c r="I564" s="5">
        <f>_xlfn.XLOOKUP(Sales[[#This Row],[Product Name]],Products[Product Name],Products[Selling Price (CAD)])</f>
        <v>2.99</v>
      </c>
      <c r="J564" s="5">
        <f>PRODUCT(Sales[[#This Row],[Quantity Sold]],Sales[[#This Row],[Unit Selling Price (CAD)]])</f>
        <v>218.27</v>
      </c>
    </row>
    <row r="565" spans="1:10">
      <c r="A565" t="s">
        <v>1013</v>
      </c>
      <c r="B565" s="2">
        <v>46094</v>
      </c>
      <c r="C565" t="s">
        <v>313</v>
      </c>
      <c r="D565" t="s">
        <v>314</v>
      </c>
      <c r="E565" t="str">
        <f>_xlfn.XLOOKUP(Sales[[#This Row],[Product Name]],Products[Product Name],Products[Category])</f>
        <v>Beverages</v>
      </c>
      <c r="F565" t="s">
        <v>444</v>
      </c>
      <c r="G565" t="s">
        <v>450</v>
      </c>
      <c r="H565">
        <v>77</v>
      </c>
      <c r="I565" s="5">
        <f>_xlfn.XLOOKUP(Sales[[#This Row],[Product Name]],Products[Product Name],Products[Selling Price (CAD)])</f>
        <v>3.99</v>
      </c>
      <c r="J565" s="5">
        <f>PRODUCT(Sales[[#This Row],[Quantity Sold]],Sales[[#This Row],[Unit Selling Price (CAD)]])</f>
        <v>307.23</v>
      </c>
    </row>
    <row r="566" spans="1:10">
      <c r="A566" t="s">
        <v>1014</v>
      </c>
      <c r="B566" s="2">
        <v>46095</v>
      </c>
      <c r="C566" t="s">
        <v>60</v>
      </c>
      <c r="D566" t="s">
        <v>61</v>
      </c>
      <c r="E566" t="str">
        <f>_xlfn.XLOOKUP(Sales[[#This Row],[Product Name]],Products[Product Name],Products[Category])</f>
        <v>Burgers</v>
      </c>
      <c r="F566" t="s">
        <v>447</v>
      </c>
      <c r="G566" t="s">
        <v>450</v>
      </c>
      <c r="H566">
        <v>77</v>
      </c>
      <c r="I566" s="5">
        <f>_xlfn.XLOOKUP(Sales[[#This Row],[Product Name]],Products[Product Name],Products[Selling Price (CAD)])</f>
        <v>6.99</v>
      </c>
      <c r="J566" s="5">
        <f>PRODUCT(Sales[[#This Row],[Quantity Sold]],Sales[[#This Row],[Unit Selling Price (CAD)]])</f>
        <v>538.23</v>
      </c>
    </row>
    <row r="567" spans="1:10">
      <c r="A567" t="s">
        <v>1015</v>
      </c>
      <c r="B567" s="2">
        <v>46095</v>
      </c>
      <c r="C567" t="s">
        <v>38</v>
      </c>
      <c r="D567" t="s">
        <v>39</v>
      </c>
      <c r="E567" t="str">
        <f>_xlfn.XLOOKUP(Sales[[#This Row],[Product Name]],Products[Product Name],Products[Category])</f>
        <v>Burgers</v>
      </c>
      <c r="F567" t="s">
        <v>449</v>
      </c>
      <c r="G567" t="s">
        <v>450</v>
      </c>
      <c r="H567">
        <v>66</v>
      </c>
      <c r="I567" s="5">
        <f>_xlfn.XLOOKUP(Sales[[#This Row],[Product Name]],Products[Product Name],Products[Selling Price (CAD)])</f>
        <v>10.99</v>
      </c>
      <c r="J567" s="5">
        <f>PRODUCT(Sales[[#This Row],[Quantity Sold]],Sales[[#This Row],[Unit Selling Price (CAD)]])</f>
        <v>725.34</v>
      </c>
    </row>
    <row r="568" spans="1:10">
      <c r="A568" t="s">
        <v>1016</v>
      </c>
      <c r="B568" s="2">
        <v>46095</v>
      </c>
      <c r="C568" t="s">
        <v>70</v>
      </c>
      <c r="D568" t="s">
        <v>71</v>
      </c>
      <c r="E568" t="str">
        <f>_xlfn.XLOOKUP(Sales[[#This Row],[Product Name]],Products[Product Name],Products[Category])</f>
        <v>Burgers</v>
      </c>
      <c r="F568" t="s">
        <v>444</v>
      </c>
      <c r="G568" t="s">
        <v>445</v>
      </c>
      <c r="H568">
        <v>40</v>
      </c>
      <c r="I568" s="5">
        <f>_xlfn.XLOOKUP(Sales[[#This Row],[Product Name]],Products[Product Name],Products[Selling Price (CAD)])</f>
        <v>8.99</v>
      </c>
      <c r="J568" s="5">
        <f>PRODUCT(Sales[[#This Row],[Quantity Sold]],Sales[[#This Row],[Unit Selling Price (CAD)]])</f>
        <v>359.6</v>
      </c>
    </row>
    <row r="569" spans="1:10">
      <c r="A569" t="s">
        <v>1017</v>
      </c>
      <c r="B569" s="2">
        <v>46095</v>
      </c>
      <c r="C569" t="s">
        <v>321</v>
      </c>
      <c r="D569" t="s">
        <v>322</v>
      </c>
      <c r="E569" t="str">
        <f>_xlfn.XLOOKUP(Sales[[#This Row],[Product Name]],Products[Product Name],Products[Category])</f>
        <v>Beverages</v>
      </c>
      <c r="F569" t="s">
        <v>449</v>
      </c>
      <c r="G569" t="s">
        <v>452</v>
      </c>
      <c r="H569">
        <v>44</v>
      </c>
      <c r="I569" s="5">
        <f>_xlfn.XLOOKUP(Sales[[#This Row],[Product Name]],Products[Product Name],Products[Selling Price (CAD)])</f>
        <v>2.4900000000000002</v>
      </c>
      <c r="J569" s="5">
        <f>PRODUCT(Sales[[#This Row],[Quantity Sold]],Sales[[#This Row],[Unit Selling Price (CAD)]])</f>
        <v>109.56</v>
      </c>
    </row>
    <row r="570" spans="1:10">
      <c r="A570" t="s">
        <v>1018</v>
      </c>
      <c r="B570" s="2">
        <v>46095</v>
      </c>
      <c r="C570" t="s">
        <v>219</v>
      </c>
      <c r="D570" t="s">
        <v>220</v>
      </c>
      <c r="E570" t="str">
        <f>_xlfn.XLOOKUP(Sales[[#This Row],[Product Name]],Products[Product Name],Products[Category])</f>
        <v>Sides</v>
      </c>
      <c r="F570" t="s">
        <v>449</v>
      </c>
      <c r="G570" t="s">
        <v>450</v>
      </c>
      <c r="H570">
        <v>49</v>
      </c>
      <c r="I570" s="5">
        <f>_xlfn.XLOOKUP(Sales[[#This Row],[Product Name]],Products[Product Name],Products[Selling Price (CAD)])</f>
        <v>3.49</v>
      </c>
      <c r="J570" s="5">
        <f>PRODUCT(Sales[[#This Row],[Quantity Sold]],Sales[[#This Row],[Unit Selling Price (CAD)]])</f>
        <v>171.01000000000002</v>
      </c>
    </row>
    <row r="571" spans="1:10">
      <c r="A571" t="s">
        <v>1019</v>
      </c>
      <c r="B571" s="2">
        <v>46095</v>
      </c>
      <c r="C571" t="s">
        <v>101</v>
      </c>
      <c r="D571" t="s">
        <v>102</v>
      </c>
      <c r="E571" t="str">
        <f>_xlfn.XLOOKUP(Sales[[#This Row],[Product Name]],Products[Product Name],Products[Category])</f>
        <v>Chicken</v>
      </c>
      <c r="F571" t="s">
        <v>444</v>
      </c>
      <c r="G571" t="s">
        <v>445</v>
      </c>
      <c r="H571">
        <v>49</v>
      </c>
      <c r="I571" s="5">
        <f>_xlfn.XLOOKUP(Sales[[#This Row],[Product Name]],Products[Product Name],Products[Selling Price (CAD)])</f>
        <v>7.99</v>
      </c>
      <c r="J571" s="5">
        <f>PRODUCT(Sales[[#This Row],[Quantity Sold]],Sales[[#This Row],[Unit Selling Price (CAD)]])</f>
        <v>391.51</v>
      </c>
    </row>
    <row r="572" spans="1:10">
      <c r="A572" t="s">
        <v>1020</v>
      </c>
      <c r="B572" s="2">
        <v>46096</v>
      </c>
      <c r="C572" t="s">
        <v>119</v>
      </c>
      <c r="D572" t="s">
        <v>120</v>
      </c>
      <c r="E572" t="str">
        <f>_xlfn.XLOOKUP(Sales[[#This Row],[Product Name]],Products[Product Name],Products[Category])</f>
        <v>Chicken</v>
      </c>
      <c r="F572" t="s">
        <v>449</v>
      </c>
      <c r="G572" t="s">
        <v>452</v>
      </c>
      <c r="H572">
        <v>57</v>
      </c>
      <c r="I572" s="5">
        <f>_xlfn.XLOOKUP(Sales[[#This Row],[Product Name]],Products[Product Name],Products[Selling Price (CAD)])</f>
        <v>6.99</v>
      </c>
      <c r="J572" s="5">
        <f>PRODUCT(Sales[[#This Row],[Quantity Sold]],Sales[[#This Row],[Unit Selling Price (CAD)]])</f>
        <v>398.43</v>
      </c>
    </row>
    <row r="573" spans="1:10">
      <c r="A573" t="s">
        <v>1021</v>
      </c>
      <c r="B573" s="2">
        <v>46096</v>
      </c>
      <c r="C573" t="s">
        <v>253</v>
      </c>
      <c r="D573" t="s">
        <v>254</v>
      </c>
      <c r="E573" t="str">
        <f>_xlfn.XLOOKUP(Sales[[#This Row],[Product Name]],Products[Product Name],Products[Category])</f>
        <v>Beverages</v>
      </c>
      <c r="F573" t="s">
        <v>449</v>
      </c>
      <c r="G573" t="s">
        <v>450</v>
      </c>
      <c r="H573">
        <v>75</v>
      </c>
      <c r="I573" s="5">
        <f>_xlfn.XLOOKUP(Sales[[#This Row],[Product Name]],Products[Product Name],Products[Selling Price (CAD)])</f>
        <v>1.99</v>
      </c>
      <c r="J573" s="5">
        <f>PRODUCT(Sales[[#This Row],[Quantity Sold]],Sales[[#This Row],[Unit Selling Price (CAD)]])</f>
        <v>149.25</v>
      </c>
    </row>
    <row r="574" spans="1:10">
      <c r="A574" t="s">
        <v>1022</v>
      </c>
      <c r="B574" s="2">
        <v>46096</v>
      </c>
      <c r="C574" t="s">
        <v>243</v>
      </c>
      <c r="D574" t="s">
        <v>244</v>
      </c>
      <c r="E574" t="str">
        <f>_xlfn.XLOOKUP(Sales[[#This Row],[Product Name]],Products[Product Name],Products[Category])</f>
        <v>Salads</v>
      </c>
      <c r="F574" t="s">
        <v>449</v>
      </c>
      <c r="G574" t="s">
        <v>450</v>
      </c>
      <c r="H574">
        <v>42</v>
      </c>
      <c r="I574" s="5">
        <f>_xlfn.XLOOKUP(Sales[[#This Row],[Product Name]],Products[Product Name],Products[Selling Price (CAD)])</f>
        <v>6.99</v>
      </c>
      <c r="J574" s="5">
        <f>PRODUCT(Sales[[#This Row],[Quantity Sold]],Sales[[#This Row],[Unit Selling Price (CAD)]])</f>
        <v>293.58</v>
      </c>
    </row>
    <row r="575" spans="1:10">
      <c r="A575" t="s">
        <v>1023</v>
      </c>
      <c r="B575" s="2">
        <v>46096</v>
      </c>
      <c r="C575" t="s">
        <v>366</v>
      </c>
      <c r="D575" t="s">
        <v>367</v>
      </c>
      <c r="E575" t="str">
        <f>_xlfn.XLOOKUP(Sales[[#This Row],[Product Name]],Products[Product Name],Products[Category])</f>
        <v>Kids Meals</v>
      </c>
      <c r="F575" t="s">
        <v>447</v>
      </c>
      <c r="G575" t="s">
        <v>450</v>
      </c>
      <c r="H575">
        <v>43</v>
      </c>
      <c r="I575" s="5">
        <f>_xlfn.XLOOKUP(Sales[[#This Row],[Product Name]],Products[Product Name],Products[Selling Price (CAD)])</f>
        <v>5.99</v>
      </c>
      <c r="J575" s="5">
        <f>PRODUCT(Sales[[#This Row],[Quantity Sold]],Sales[[#This Row],[Unit Selling Price (CAD)]])</f>
        <v>257.57</v>
      </c>
    </row>
    <row r="576" spans="1:10">
      <c r="A576" t="s">
        <v>1024</v>
      </c>
      <c r="B576" s="2">
        <v>46096</v>
      </c>
      <c r="C576" t="s">
        <v>287</v>
      </c>
      <c r="D576" t="s">
        <v>288</v>
      </c>
      <c r="E576" t="str">
        <f>_xlfn.XLOOKUP(Sales[[#This Row],[Product Name]],Products[Product Name],Products[Category])</f>
        <v>Beverages</v>
      </c>
      <c r="F576" t="s">
        <v>449</v>
      </c>
      <c r="G576" t="s">
        <v>445</v>
      </c>
      <c r="H576">
        <v>77</v>
      </c>
      <c r="I576" s="5">
        <f>_xlfn.XLOOKUP(Sales[[#This Row],[Product Name]],Products[Product Name],Products[Selling Price (CAD)])</f>
        <v>3.99</v>
      </c>
      <c r="J576" s="5">
        <f>PRODUCT(Sales[[#This Row],[Quantity Sold]],Sales[[#This Row],[Unit Selling Price (CAD)]])</f>
        <v>307.23</v>
      </c>
    </row>
    <row r="577" spans="1:10">
      <c r="A577" t="s">
        <v>1025</v>
      </c>
      <c r="B577" s="2">
        <v>46096</v>
      </c>
      <c r="C577" t="s">
        <v>347</v>
      </c>
      <c r="D577" t="s">
        <v>348</v>
      </c>
      <c r="E577" t="str">
        <f>_xlfn.XLOOKUP(Sales[[#This Row],[Product Name]],Products[Product Name],Products[Category])</f>
        <v>Desserts</v>
      </c>
      <c r="F577" t="s">
        <v>449</v>
      </c>
      <c r="G577" t="s">
        <v>450</v>
      </c>
      <c r="H577">
        <v>66</v>
      </c>
      <c r="I577" s="5">
        <f>_xlfn.XLOOKUP(Sales[[#This Row],[Product Name]],Products[Product Name],Products[Selling Price (CAD)])</f>
        <v>4.99</v>
      </c>
      <c r="J577" s="5">
        <f>PRODUCT(Sales[[#This Row],[Quantity Sold]],Sales[[#This Row],[Unit Selling Price (CAD)]])</f>
        <v>329.34000000000003</v>
      </c>
    </row>
    <row r="578" spans="1:10">
      <c r="A578" t="s">
        <v>1026</v>
      </c>
      <c r="B578" s="2">
        <v>46096</v>
      </c>
      <c r="C578" t="s">
        <v>48</v>
      </c>
      <c r="D578" t="s">
        <v>49</v>
      </c>
      <c r="E578" t="str">
        <f>_xlfn.XLOOKUP(Sales[[#This Row],[Product Name]],Products[Product Name],Products[Category])</f>
        <v>Burgers</v>
      </c>
      <c r="F578" t="s">
        <v>444</v>
      </c>
      <c r="G578" t="s">
        <v>445</v>
      </c>
      <c r="H578">
        <v>69</v>
      </c>
      <c r="I578" s="5">
        <f>_xlfn.XLOOKUP(Sales[[#This Row],[Product Name]],Products[Product Name],Products[Selling Price (CAD)])</f>
        <v>6.49</v>
      </c>
      <c r="J578" s="5">
        <f>PRODUCT(Sales[[#This Row],[Quantity Sold]],Sales[[#This Row],[Unit Selling Price (CAD)]])</f>
        <v>447.81</v>
      </c>
    </row>
    <row r="579" spans="1:10">
      <c r="A579" t="s">
        <v>1027</v>
      </c>
      <c r="B579" s="2">
        <v>46097</v>
      </c>
      <c r="C579" t="s">
        <v>21</v>
      </c>
      <c r="D579" t="s">
        <v>22</v>
      </c>
      <c r="E579" t="str">
        <f>_xlfn.XLOOKUP(Sales[[#This Row],[Product Name]],Products[Product Name],Products[Category])</f>
        <v>Burgers</v>
      </c>
      <c r="F579" t="s">
        <v>447</v>
      </c>
      <c r="G579" t="s">
        <v>454</v>
      </c>
      <c r="H579">
        <v>51</v>
      </c>
      <c r="I579" s="5">
        <f>_xlfn.XLOOKUP(Sales[[#This Row],[Product Name]],Products[Product Name],Products[Selling Price (CAD)])</f>
        <v>9.99</v>
      </c>
      <c r="J579" s="5">
        <f>PRODUCT(Sales[[#This Row],[Quantity Sold]],Sales[[#This Row],[Unit Selling Price (CAD)]])</f>
        <v>509.49</v>
      </c>
    </row>
    <row r="580" spans="1:10">
      <c r="A580" t="s">
        <v>1028</v>
      </c>
      <c r="B580" s="2">
        <v>46097</v>
      </c>
      <c r="C580" t="s">
        <v>327</v>
      </c>
      <c r="D580" t="s">
        <v>328</v>
      </c>
      <c r="E580" t="str">
        <f>_xlfn.XLOOKUP(Sales[[#This Row],[Product Name]],Products[Product Name],Products[Category])</f>
        <v>Desserts</v>
      </c>
      <c r="F580" t="s">
        <v>444</v>
      </c>
      <c r="G580" t="s">
        <v>450</v>
      </c>
      <c r="H580">
        <v>44</v>
      </c>
      <c r="I580" s="5">
        <f>_xlfn.XLOOKUP(Sales[[#This Row],[Product Name]],Products[Product Name],Products[Selling Price (CAD)])</f>
        <v>4.49</v>
      </c>
      <c r="J580" s="5">
        <f>PRODUCT(Sales[[#This Row],[Quantity Sold]],Sales[[#This Row],[Unit Selling Price (CAD)]])</f>
        <v>197.56</v>
      </c>
    </row>
    <row r="581" spans="1:10">
      <c r="A581" t="s">
        <v>1029</v>
      </c>
      <c r="B581" s="2">
        <v>46097</v>
      </c>
      <c r="C581" t="s">
        <v>167</v>
      </c>
      <c r="D581" t="s">
        <v>168</v>
      </c>
      <c r="E581" t="str">
        <f>_xlfn.XLOOKUP(Sales[[#This Row],[Product Name]],Products[Product Name],Products[Category])</f>
        <v>Breakfast</v>
      </c>
      <c r="F581" t="s">
        <v>447</v>
      </c>
      <c r="G581" t="s">
        <v>450</v>
      </c>
      <c r="H581">
        <v>32</v>
      </c>
      <c r="I581" s="5">
        <f>_xlfn.XLOOKUP(Sales[[#This Row],[Product Name]],Products[Product Name],Products[Selling Price (CAD)])</f>
        <v>4.99</v>
      </c>
      <c r="J581" s="5">
        <f>PRODUCT(Sales[[#This Row],[Quantity Sold]],Sales[[#This Row],[Unit Selling Price (CAD)]])</f>
        <v>159.68</v>
      </c>
    </row>
    <row r="582" spans="1:10">
      <c r="A582" t="s">
        <v>1030</v>
      </c>
      <c r="B582" s="2">
        <v>46097</v>
      </c>
      <c r="C582" t="s">
        <v>125</v>
      </c>
      <c r="D582" t="s">
        <v>126</v>
      </c>
      <c r="E582" t="str">
        <f>_xlfn.XLOOKUP(Sales[[#This Row],[Product Name]],Products[Product Name],Products[Category])</f>
        <v>Chicken</v>
      </c>
      <c r="F582" t="s">
        <v>444</v>
      </c>
      <c r="G582" t="s">
        <v>450</v>
      </c>
      <c r="H582">
        <v>44</v>
      </c>
      <c r="I582" s="5">
        <f>_xlfn.XLOOKUP(Sales[[#This Row],[Product Name]],Products[Product Name],Products[Selling Price (CAD)])</f>
        <v>4.99</v>
      </c>
      <c r="J582" s="5">
        <f>PRODUCT(Sales[[#This Row],[Quantity Sold]],Sales[[#This Row],[Unit Selling Price (CAD)]])</f>
        <v>219.56</v>
      </c>
    </row>
    <row r="583" spans="1:10">
      <c r="A583" t="s">
        <v>1031</v>
      </c>
      <c r="B583" s="2">
        <v>46097</v>
      </c>
      <c r="C583" t="s">
        <v>121</v>
      </c>
      <c r="D583" t="s">
        <v>122</v>
      </c>
      <c r="E583" t="str">
        <f>_xlfn.XLOOKUP(Sales[[#This Row],[Product Name]],Products[Product Name],Products[Category])</f>
        <v>Chicken</v>
      </c>
      <c r="F583" t="s">
        <v>449</v>
      </c>
      <c r="G583" t="s">
        <v>450</v>
      </c>
      <c r="H583">
        <v>42</v>
      </c>
      <c r="I583" s="5">
        <f>_xlfn.XLOOKUP(Sales[[#This Row],[Product Name]],Products[Product Name],Products[Selling Price (CAD)])</f>
        <v>11.99</v>
      </c>
      <c r="J583" s="5">
        <f>PRODUCT(Sales[[#This Row],[Quantity Sold]],Sales[[#This Row],[Unit Selling Price (CAD)]])</f>
        <v>503.58</v>
      </c>
    </row>
    <row r="584" spans="1:10">
      <c r="A584" t="s">
        <v>1032</v>
      </c>
      <c r="B584" s="2">
        <v>46097</v>
      </c>
      <c r="C584" t="s">
        <v>46</v>
      </c>
      <c r="D584" t="s">
        <v>47</v>
      </c>
      <c r="E584" t="str">
        <f>_xlfn.XLOOKUP(Sales[[#This Row],[Product Name]],Products[Product Name],Products[Category])</f>
        <v>Burgers</v>
      </c>
      <c r="F584" t="s">
        <v>449</v>
      </c>
      <c r="G584" t="s">
        <v>450</v>
      </c>
      <c r="H584">
        <v>49</v>
      </c>
      <c r="I584" s="5">
        <f>_xlfn.XLOOKUP(Sales[[#This Row],[Product Name]],Products[Product Name],Products[Selling Price (CAD)])</f>
        <v>8.49</v>
      </c>
      <c r="J584" s="5">
        <f>PRODUCT(Sales[[#This Row],[Quantity Sold]],Sales[[#This Row],[Unit Selling Price (CAD)]])</f>
        <v>416.01</v>
      </c>
    </row>
    <row r="585" spans="1:10">
      <c r="A585" t="s">
        <v>1033</v>
      </c>
      <c r="B585" s="2">
        <v>46097</v>
      </c>
      <c r="C585" t="s">
        <v>215</v>
      </c>
      <c r="D585" t="s">
        <v>216</v>
      </c>
      <c r="E585" t="str">
        <f>_xlfn.XLOOKUP(Sales[[#This Row],[Product Name]],Products[Product Name],Products[Category])</f>
        <v>Sides</v>
      </c>
      <c r="F585" t="s">
        <v>444</v>
      </c>
      <c r="G585" t="s">
        <v>452</v>
      </c>
      <c r="H585">
        <v>48</v>
      </c>
      <c r="I585" s="5">
        <f>_xlfn.XLOOKUP(Sales[[#This Row],[Product Name]],Products[Product Name],Products[Selling Price (CAD)])</f>
        <v>2.99</v>
      </c>
      <c r="J585" s="5">
        <f>PRODUCT(Sales[[#This Row],[Quantity Sold]],Sales[[#This Row],[Unit Selling Price (CAD)]])</f>
        <v>143.52000000000001</v>
      </c>
    </row>
    <row r="586" spans="1:10">
      <c r="A586" t="s">
        <v>1034</v>
      </c>
      <c r="B586" s="2">
        <v>46097</v>
      </c>
      <c r="C586" t="s">
        <v>139</v>
      </c>
      <c r="D586" t="s">
        <v>140</v>
      </c>
      <c r="E586" t="str">
        <f>_xlfn.XLOOKUP(Sales[[#This Row],[Product Name]],Products[Product Name],Products[Category])</f>
        <v>Breakfast</v>
      </c>
      <c r="F586" t="s">
        <v>444</v>
      </c>
      <c r="G586" t="s">
        <v>450</v>
      </c>
      <c r="H586">
        <v>63</v>
      </c>
      <c r="I586" s="5">
        <f>_xlfn.XLOOKUP(Sales[[#This Row],[Product Name]],Products[Product Name],Products[Selling Price (CAD)])</f>
        <v>4.99</v>
      </c>
      <c r="J586" s="5">
        <f>PRODUCT(Sales[[#This Row],[Quantity Sold]],Sales[[#This Row],[Unit Selling Price (CAD)]])</f>
        <v>314.37</v>
      </c>
    </row>
    <row r="587" spans="1:10">
      <c r="A587" t="s">
        <v>1035</v>
      </c>
      <c r="B587" s="2">
        <v>46097</v>
      </c>
      <c r="C587" t="s">
        <v>157</v>
      </c>
      <c r="D587" t="s">
        <v>158</v>
      </c>
      <c r="E587" t="str">
        <f>_xlfn.XLOOKUP(Sales[[#This Row],[Product Name]],Products[Product Name],Products[Category])</f>
        <v>Breakfast</v>
      </c>
      <c r="F587" t="s">
        <v>444</v>
      </c>
      <c r="G587" t="s">
        <v>450</v>
      </c>
      <c r="H587">
        <v>77</v>
      </c>
      <c r="I587" s="5">
        <f>_xlfn.XLOOKUP(Sales[[#This Row],[Product Name]],Products[Product Name],Products[Selling Price (CAD)])</f>
        <v>4.99</v>
      </c>
      <c r="J587" s="5">
        <f>PRODUCT(Sales[[#This Row],[Quantity Sold]],Sales[[#This Row],[Unit Selling Price (CAD)]])</f>
        <v>384.23</v>
      </c>
    </row>
    <row r="588" spans="1:10">
      <c r="A588" t="s">
        <v>1036</v>
      </c>
      <c r="B588" s="2">
        <v>46097</v>
      </c>
      <c r="C588" t="s">
        <v>299</v>
      </c>
      <c r="D588" t="s">
        <v>300</v>
      </c>
      <c r="E588" t="str">
        <f>_xlfn.XLOOKUP(Sales[[#This Row],[Product Name]],Products[Product Name],Products[Category])</f>
        <v>Beverages</v>
      </c>
      <c r="F588" t="s">
        <v>449</v>
      </c>
      <c r="G588" t="s">
        <v>450</v>
      </c>
      <c r="H588">
        <v>40</v>
      </c>
      <c r="I588" s="5">
        <f>_xlfn.XLOOKUP(Sales[[#This Row],[Product Name]],Products[Product Name],Products[Selling Price (CAD)])</f>
        <v>2.4900000000000002</v>
      </c>
      <c r="J588" s="5">
        <f>PRODUCT(Sales[[#This Row],[Quantity Sold]],Sales[[#This Row],[Unit Selling Price (CAD)]])</f>
        <v>99.600000000000009</v>
      </c>
    </row>
    <row r="589" spans="1:10">
      <c r="A589" t="s">
        <v>1037</v>
      </c>
      <c r="B589" s="2">
        <v>46097</v>
      </c>
      <c r="C589" t="s">
        <v>171</v>
      </c>
      <c r="D589" t="s">
        <v>172</v>
      </c>
      <c r="E589" t="str">
        <f>_xlfn.XLOOKUP(Sales[[#This Row],[Product Name]],Products[Product Name],Products[Category])</f>
        <v>Breakfast</v>
      </c>
      <c r="F589" t="s">
        <v>444</v>
      </c>
      <c r="G589" t="s">
        <v>450</v>
      </c>
      <c r="H589">
        <v>53</v>
      </c>
      <c r="I589" s="5">
        <f>_xlfn.XLOOKUP(Sales[[#This Row],[Product Name]],Products[Product Name],Products[Selling Price (CAD)])</f>
        <v>3.99</v>
      </c>
      <c r="J589" s="5">
        <f>PRODUCT(Sales[[#This Row],[Quantity Sold]],Sales[[#This Row],[Unit Selling Price (CAD)]])</f>
        <v>211.47</v>
      </c>
    </row>
    <row r="590" spans="1:10">
      <c r="A590" t="s">
        <v>1038</v>
      </c>
      <c r="B590" s="2">
        <v>46097</v>
      </c>
      <c r="C590" t="s">
        <v>325</v>
      </c>
      <c r="D590" t="s">
        <v>326</v>
      </c>
      <c r="E590" t="str">
        <f>_xlfn.XLOOKUP(Sales[[#This Row],[Product Name]],Products[Product Name],Products[Category])</f>
        <v>Desserts</v>
      </c>
      <c r="F590" t="s">
        <v>447</v>
      </c>
      <c r="G590" t="s">
        <v>452</v>
      </c>
      <c r="H590">
        <v>59</v>
      </c>
      <c r="I590" s="5">
        <f>_xlfn.XLOOKUP(Sales[[#This Row],[Product Name]],Products[Product Name],Products[Selling Price (CAD)])</f>
        <v>3.49</v>
      </c>
      <c r="J590" s="5">
        <f>PRODUCT(Sales[[#This Row],[Quantity Sold]],Sales[[#This Row],[Unit Selling Price (CAD)]])</f>
        <v>205.91000000000003</v>
      </c>
    </row>
    <row r="591" spans="1:10">
      <c r="A591" t="s">
        <v>1039</v>
      </c>
      <c r="B591" s="2">
        <v>46098</v>
      </c>
      <c r="C591" t="s">
        <v>101</v>
      </c>
      <c r="D591" t="s">
        <v>102</v>
      </c>
      <c r="E591" t="str">
        <f>_xlfn.XLOOKUP(Sales[[#This Row],[Product Name]],Products[Product Name],Products[Category])</f>
        <v>Chicken</v>
      </c>
      <c r="F591" t="s">
        <v>444</v>
      </c>
      <c r="G591" t="s">
        <v>450</v>
      </c>
      <c r="H591">
        <v>73</v>
      </c>
      <c r="I591" s="5">
        <f>_xlfn.XLOOKUP(Sales[[#This Row],[Product Name]],Products[Product Name],Products[Selling Price (CAD)])</f>
        <v>7.99</v>
      </c>
      <c r="J591" s="5">
        <f>PRODUCT(Sales[[#This Row],[Quantity Sold]],Sales[[#This Row],[Unit Selling Price (CAD)]])</f>
        <v>583.27</v>
      </c>
    </row>
    <row r="592" spans="1:10">
      <c r="A592" t="s">
        <v>1040</v>
      </c>
      <c r="B592" s="2">
        <v>46098</v>
      </c>
      <c r="C592" t="s">
        <v>85</v>
      </c>
      <c r="D592" t="s">
        <v>86</v>
      </c>
      <c r="E592" t="str">
        <f>_xlfn.XLOOKUP(Sales[[#This Row],[Product Name]],Products[Product Name],Products[Category])</f>
        <v>Chicken</v>
      </c>
      <c r="F592" t="s">
        <v>449</v>
      </c>
      <c r="G592" t="s">
        <v>452</v>
      </c>
      <c r="H592">
        <v>53</v>
      </c>
      <c r="I592" s="5">
        <f>_xlfn.XLOOKUP(Sales[[#This Row],[Product Name]],Products[Product Name],Products[Selling Price (CAD)])</f>
        <v>6.99</v>
      </c>
      <c r="J592" s="5">
        <f>PRODUCT(Sales[[#This Row],[Quantity Sold]],Sales[[#This Row],[Unit Selling Price (CAD)]])</f>
        <v>370.47</v>
      </c>
    </row>
    <row r="593" spans="1:10">
      <c r="A593" t="s">
        <v>1041</v>
      </c>
      <c r="B593" s="2">
        <v>46098</v>
      </c>
      <c r="C593" t="s">
        <v>12</v>
      </c>
      <c r="D593" t="s">
        <v>13</v>
      </c>
      <c r="E593" t="str">
        <f>_xlfn.XLOOKUP(Sales[[#This Row],[Product Name]],Products[Product Name],Products[Category])</f>
        <v>Burgers</v>
      </c>
      <c r="F593" t="s">
        <v>444</v>
      </c>
      <c r="G593" t="s">
        <v>450</v>
      </c>
      <c r="H593">
        <v>35</v>
      </c>
      <c r="I593" s="5">
        <f>_xlfn.XLOOKUP(Sales[[#This Row],[Product Name]],Products[Product Name],Products[Selling Price (CAD)])</f>
        <v>5.99</v>
      </c>
      <c r="J593" s="5">
        <f>PRODUCT(Sales[[#This Row],[Quantity Sold]],Sales[[#This Row],[Unit Selling Price (CAD)]])</f>
        <v>209.65</v>
      </c>
    </row>
    <row r="594" spans="1:10">
      <c r="A594" t="s">
        <v>1042</v>
      </c>
      <c r="B594" s="2">
        <v>46098</v>
      </c>
      <c r="C594" t="s">
        <v>70</v>
      </c>
      <c r="D594" t="s">
        <v>71</v>
      </c>
      <c r="E594" t="str">
        <f>_xlfn.XLOOKUP(Sales[[#This Row],[Product Name]],Products[Product Name],Products[Category])</f>
        <v>Burgers</v>
      </c>
      <c r="F594" t="s">
        <v>447</v>
      </c>
      <c r="G594" t="s">
        <v>450</v>
      </c>
      <c r="H594">
        <v>78</v>
      </c>
      <c r="I594" s="5">
        <f>_xlfn.XLOOKUP(Sales[[#This Row],[Product Name]],Products[Product Name],Products[Selling Price (CAD)])</f>
        <v>8.99</v>
      </c>
      <c r="J594" s="5">
        <f>PRODUCT(Sales[[#This Row],[Quantity Sold]],Sales[[#This Row],[Unit Selling Price (CAD)]])</f>
        <v>701.22</v>
      </c>
    </row>
    <row r="595" spans="1:10">
      <c r="A595" t="s">
        <v>1043</v>
      </c>
      <c r="B595" s="2">
        <v>46098</v>
      </c>
      <c r="C595" t="s">
        <v>345</v>
      </c>
      <c r="D595" t="s">
        <v>346</v>
      </c>
      <c r="E595" t="str">
        <f>_xlfn.XLOOKUP(Sales[[#This Row],[Product Name]],Products[Product Name],Products[Category])</f>
        <v>Desserts</v>
      </c>
      <c r="F595" t="s">
        <v>444</v>
      </c>
      <c r="G595" t="s">
        <v>452</v>
      </c>
      <c r="H595">
        <v>40</v>
      </c>
      <c r="I595" s="5">
        <f>_xlfn.XLOOKUP(Sales[[#This Row],[Product Name]],Products[Product Name],Products[Selling Price (CAD)])</f>
        <v>5.99</v>
      </c>
      <c r="J595" s="5">
        <f>PRODUCT(Sales[[#This Row],[Quantity Sold]],Sales[[#This Row],[Unit Selling Price (CAD)]])</f>
        <v>239.60000000000002</v>
      </c>
    </row>
    <row r="596" spans="1:10">
      <c r="A596" t="s">
        <v>1044</v>
      </c>
      <c r="B596" s="2">
        <v>46098</v>
      </c>
      <c r="C596" t="s">
        <v>413</v>
      </c>
      <c r="D596" t="s">
        <v>414</v>
      </c>
      <c r="E596" t="str">
        <f>_xlfn.XLOOKUP(Sales[[#This Row],[Product Name]],Products[Product Name],Products[Category])</f>
        <v>Combo Meals</v>
      </c>
      <c r="F596" t="s">
        <v>444</v>
      </c>
      <c r="G596" t="s">
        <v>450</v>
      </c>
      <c r="H596">
        <v>67</v>
      </c>
      <c r="I596" s="5">
        <f>_xlfn.XLOOKUP(Sales[[#This Row],[Product Name]],Products[Product Name],Products[Selling Price (CAD)])</f>
        <v>10.99</v>
      </c>
      <c r="J596" s="5">
        <f>PRODUCT(Sales[[#This Row],[Quantity Sold]],Sales[[#This Row],[Unit Selling Price (CAD)]])</f>
        <v>736.33</v>
      </c>
    </row>
    <row r="597" spans="1:10">
      <c r="A597" t="s">
        <v>1045</v>
      </c>
      <c r="B597" s="2">
        <v>46099</v>
      </c>
      <c r="C597" t="s">
        <v>237</v>
      </c>
      <c r="D597" t="s">
        <v>238</v>
      </c>
      <c r="E597" t="str">
        <f>_xlfn.XLOOKUP(Sales[[#This Row],[Product Name]],Products[Product Name],Products[Category])</f>
        <v>Salads</v>
      </c>
      <c r="F597" t="s">
        <v>449</v>
      </c>
      <c r="G597" t="s">
        <v>450</v>
      </c>
      <c r="H597">
        <v>62</v>
      </c>
      <c r="I597" s="5">
        <f>_xlfn.XLOOKUP(Sales[[#This Row],[Product Name]],Products[Product Name],Products[Selling Price (CAD)])</f>
        <v>8.99</v>
      </c>
      <c r="J597" s="5">
        <f>PRODUCT(Sales[[#This Row],[Quantity Sold]],Sales[[#This Row],[Unit Selling Price (CAD)]])</f>
        <v>557.38</v>
      </c>
    </row>
    <row r="598" spans="1:10">
      <c r="A598" t="s">
        <v>1046</v>
      </c>
      <c r="B598" s="2">
        <v>46099</v>
      </c>
      <c r="C598" t="s">
        <v>80</v>
      </c>
      <c r="D598" t="s">
        <v>81</v>
      </c>
      <c r="E598" t="str">
        <f>_xlfn.XLOOKUP(Sales[[#This Row],[Product Name]],Products[Product Name],Products[Category])</f>
        <v>Burgers</v>
      </c>
      <c r="F598" t="s">
        <v>449</v>
      </c>
      <c r="G598" t="s">
        <v>445</v>
      </c>
      <c r="H598">
        <v>36</v>
      </c>
      <c r="I598" s="5">
        <f>_xlfn.XLOOKUP(Sales[[#This Row],[Product Name]],Products[Product Name],Products[Selling Price (CAD)])</f>
        <v>2.99</v>
      </c>
      <c r="J598" s="5">
        <f>PRODUCT(Sales[[#This Row],[Quantity Sold]],Sales[[#This Row],[Unit Selling Price (CAD)]])</f>
        <v>107.64000000000001</v>
      </c>
    </row>
    <row r="599" spans="1:10">
      <c r="A599" t="s">
        <v>1047</v>
      </c>
      <c r="B599" s="2">
        <v>46099</v>
      </c>
      <c r="C599" t="s">
        <v>151</v>
      </c>
      <c r="D599" t="s">
        <v>152</v>
      </c>
      <c r="E599" t="str">
        <f>_xlfn.XLOOKUP(Sales[[#This Row],[Product Name]],Products[Product Name],Products[Category])</f>
        <v>Breakfast</v>
      </c>
      <c r="F599" t="s">
        <v>444</v>
      </c>
      <c r="G599" t="s">
        <v>450</v>
      </c>
      <c r="H599">
        <v>31</v>
      </c>
      <c r="I599" s="5">
        <f>_xlfn.XLOOKUP(Sales[[#This Row],[Product Name]],Products[Product Name],Products[Selling Price (CAD)])</f>
        <v>5.99</v>
      </c>
      <c r="J599" s="5">
        <f>PRODUCT(Sales[[#This Row],[Quantity Sold]],Sales[[#This Row],[Unit Selling Price (CAD)]])</f>
        <v>185.69</v>
      </c>
    </row>
    <row r="600" spans="1:10">
      <c r="A600" t="s">
        <v>1048</v>
      </c>
      <c r="B600" s="2">
        <v>46099</v>
      </c>
      <c r="C600" t="s">
        <v>197</v>
      </c>
      <c r="D600" t="s">
        <v>198</v>
      </c>
      <c r="E600" t="str">
        <f>_xlfn.XLOOKUP(Sales[[#This Row],[Product Name]],Products[Product Name],Products[Category])</f>
        <v>Sides</v>
      </c>
      <c r="F600" t="s">
        <v>449</v>
      </c>
      <c r="G600" t="s">
        <v>452</v>
      </c>
      <c r="H600">
        <v>54</v>
      </c>
      <c r="I600" s="5">
        <f>_xlfn.XLOOKUP(Sales[[#This Row],[Product Name]],Products[Product Name],Products[Selling Price (CAD)])</f>
        <v>4.49</v>
      </c>
      <c r="J600" s="5">
        <f>PRODUCT(Sales[[#This Row],[Quantity Sold]],Sales[[#This Row],[Unit Selling Price (CAD)]])</f>
        <v>242.46</v>
      </c>
    </row>
    <row r="601" spans="1:10">
      <c r="A601" t="s">
        <v>1049</v>
      </c>
      <c r="B601" s="2">
        <v>46099</v>
      </c>
      <c r="C601" t="s">
        <v>97</v>
      </c>
      <c r="D601" t="s">
        <v>98</v>
      </c>
      <c r="E601" t="str">
        <f>_xlfn.XLOOKUP(Sales[[#This Row],[Product Name]],Products[Product Name],Products[Category])</f>
        <v>Chicken</v>
      </c>
      <c r="F601" t="s">
        <v>447</v>
      </c>
      <c r="G601" t="s">
        <v>445</v>
      </c>
      <c r="H601">
        <v>50</v>
      </c>
      <c r="I601" s="5">
        <f>_xlfn.XLOOKUP(Sales[[#This Row],[Product Name]],Products[Product Name],Products[Selling Price (CAD)])</f>
        <v>6.99</v>
      </c>
      <c r="J601" s="5">
        <f>PRODUCT(Sales[[#This Row],[Quantity Sold]],Sales[[#This Row],[Unit Selling Price (CAD)]])</f>
        <v>349.5</v>
      </c>
    </row>
    <row r="602" spans="1:10">
      <c r="A602" t="s">
        <v>1050</v>
      </c>
      <c r="B602" s="2">
        <v>46100</v>
      </c>
      <c r="C602" t="s">
        <v>419</v>
      </c>
      <c r="D602" t="s">
        <v>420</v>
      </c>
      <c r="E602" t="str">
        <f>_xlfn.XLOOKUP(Sales[[#This Row],[Product Name]],Products[Product Name],Products[Category])</f>
        <v>Combo Meals</v>
      </c>
      <c r="F602" t="s">
        <v>444</v>
      </c>
      <c r="G602" t="s">
        <v>452</v>
      </c>
      <c r="H602">
        <v>77</v>
      </c>
      <c r="I602" s="5">
        <f>_xlfn.XLOOKUP(Sales[[#This Row],[Product Name]],Products[Product Name],Products[Selling Price (CAD)])</f>
        <v>7.99</v>
      </c>
      <c r="J602" s="5">
        <f>PRODUCT(Sales[[#This Row],[Quantity Sold]],Sales[[#This Row],[Unit Selling Price (CAD)]])</f>
        <v>615.23</v>
      </c>
    </row>
    <row r="603" spans="1:10">
      <c r="A603" t="s">
        <v>1051</v>
      </c>
      <c r="B603" s="2">
        <v>46100</v>
      </c>
      <c r="C603" t="s">
        <v>121</v>
      </c>
      <c r="D603" t="s">
        <v>122</v>
      </c>
      <c r="E603" t="str">
        <f>_xlfn.XLOOKUP(Sales[[#This Row],[Product Name]],Products[Product Name],Products[Category])</f>
        <v>Chicken</v>
      </c>
      <c r="F603" t="s">
        <v>444</v>
      </c>
      <c r="G603" t="s">
        <v>445</v>
      </c>
      <c r="H603">
        <v>61</v>
      </c>
      <c r="I603" s="5">
        <f>_xlfn.XLOOKUP(Sales[[#This Row],[Product Name]],Products[Product Name],Products[Selling Price (CAD)])</f>
        <v>11.99</v>
      </c>
      <c r="J603" s="5">
        <f>PRODUCT(Sales[[#This Row],[Quantity Sold]],Sales[[#This Row],[Unit Selling Price (CAD)]])</f>
        <v>731.39</v>
      </c>
    </row>
    <row r="604" spans="1:10">
      <c r="A604" t="s">
        <v>1052</v>
      </c>
      <c r="B604" s="2">
        <v>46100</v>
      </c>
      <c r="C604" t="s">
        <v>315</v>
      </c>
      <c r="D604" t="s">
        <v>316</v>
      </c>
      <c r="E604" t="str">
        <f>_xlfn.XLOOKUP(Sales[[#This Row],[Product Name]],Products[Product Name],Products[Category])</f>
        <v>Beverages</v>
      </c>
      <c r="F604" t="s">
        <v>444</v>
      </c>
      <c r="G604" t="s">
        <v>452</v>
      </c>
      <c r="H604">
        <v>51</v>
      </c>
      <c r="I604" s="5">
        <f>_xlfn.XLOOKUP(Sales[[#This Row],[Product Name]],Products[Product Name],Products[Selling Price (CAD)])</f>
        <v>3.99</v>
      </c>
      <c r="J604" s="5">
        <f>PRODUCT(Sales[[#This Row],[Quantity Sold]],Sales[[#This Row],[Unit Selling Price (CAD)]])</f>
        <v>203.49</v>
      </c>
    </row>
    <row r="605" spans="1:10">
      <c r="A605" t="s">
        <v>1053</v>
      </c>
      <c r="B605" s="2">
        <v>46100</v>
      </c>
      <c r="C605" t="s">
        <v>121</v>
      </c>
      <c r="D605" t="s">
        <v>122</v>
      </c>
      <c r="E605" t="str">
        <f>_xlfn.XLOOKUP(Sales[[#This Row],[Product Name]],Products[Product Name],Products[Category])</f>
        <v>Chicken</v>
      </c>
      <c r="F605" t="s">
        <v>449</v>
      </c>
      <c r="G605" t="s">
        <v>452</v>
      </c>
      <c r="H605">
        <v>79</v>
      </c>
      <c r="I605" s="5">
        <f>_xlfn.XLOOKUP(Sales[[#This Row],[Product Name]],Products[Product Name],Products[Selling Price (CAD)])</f>
        <v>11.99</v>
      </c>
      <c r="J605" s="5">
        <f>PRODUCT(Sales[[#This Row],[Quantity Sold]],Sales[[#This Row],[Unit Selling Price (CAD)]])</f>
        <v>947.21</v>
      </c>
    </row>
    <row r="606" spans="1:10">
      <c r="A606" t="s">
        <v>1054</v>
      </c>
      <c r="B606" s="2">
        <v>46100</v>
      </c>
      <c r="C606" t="s">
        <v>46</v>
      </c>
      <c r="D606" t="s">
        <v>47</v>
      </c>
      <c r="E606" t="str">
        <f>_xlfn.XLOOKUP(Sales[[#This Row],[Product Name]],Products[Product Name],Products[Category])</f>
        <v>Burgers</v>
      </c>
      <c r="F606" t="s">
        <v>444</v>
      </c>
      <c r="G606" t="s">
        <v>454</v>
      </c>
      <c r="H606">
        <v>30</v>
      </c>
      <c r="I606" s="5">
        <f>_xlfn.XLOOKUP(Sales[[#This Row],[Product Name]],Products[Product Name],Products[Selling Price (CAD)])</f>
        <v>8.49</v>
      </c>
      <c r="J606" s="5">
        <f>PRODUCT(Sales[[#This Row],[Quantity Sold]],Sales[[#This Row],[Unit Selling Price (CAD)]])</f>
        <v>254.70000000000002</v>
      </c>
    </row>
    <row r="607" spans="1:10">
      <c r="A607" t="s">
        <v>1055</v>
      </c>
      <c r="B607" s="2">
        <v>46100</v>
      </c>
      <c r="C607" t="s">
        <v>307</v>
      </c>
      <c r="D607" t="s">
        <v>308</v>
      </c>
      <c r="E607" t="str">
        <f>_xlfn.XLOOKUP(Sales[[#This Row],[Product Name]],Products[Product Name],Products[Category])</f>
        <v>Beverages</v>
      </c>
      <c r="F607" t="s">
        <v>444</v>
      </c>
      <c r="G607" t="s">
        <v>445</v>
      </c>
      <c r="H607">
        <v>57</v>
      </c>
      <c r="I607" s="5">
        <f>_xlfn.XLOOKUP(Sales[[#This Row],[Product Name]],Products[Product Name],Products[Selling Price (CAD)])</f>
        <v>2.99</v>
      </c>
      <c r="J607" s="5">
        <f>PRODUCT(Sales[[#This Row],[Quantity Sold]],Sales[[#This Row],[Unit Selling Price (CAD)]])</f>
        <v>170.43</v>
      </c>
    </row>
    <row r="608" spans="1:10">
      <c r="A608" t="s">
        <v>1056</v>
      </c>
      <c r="B608" s="2">
        <v>46100</v>
      </c>
      <c r="C608" t="s">
        <v>78</v>
      </c>
      <c r="D608" t="s">
        <v>79</v>
      </c>
      <c r="E608" t="str">
        <f>_xlfn.XLOOKUP(Sales[[#This Row],[Product Name]],Products[Product Name],Products[Category])</f>
        <v>Burgers</v>
      </c>
      <c r="F608" t="s">
        <v>449</v>
      </c>
      <c r="G608" t="s">
        <v>450</v>
      </c>
      <c r="H608">
        <v>32</v>
      </c>
      <c r="I608" s="5">
        <f>_xlfn.XLOOKUP(Sales[[#This Row],[Product Name]],Products[Product Name],Products[Selling Price (CAD)])</f>
        <v>3.99</v>
      </c>
      <c r="J608" s="5">
        <f>PRODUCT(Sales[[#This Row],[Quantity Sold]],Sales[[#This Row],[Unit Selling Price (CAD)]])</f>
        <v>127.68</v>
      </c>
    </row>
    <row r="609" spans="1:10">
      <c r="A609" t="s">
        <v>1057</v>
      </c>
      <c r="B609" s="2">
        <v>46100</v>
      </c>
      <c r="C609" t="s">
        <v>17</v>
      </c>
      <c r="D609" t="s">
        <v>18</v>
      </c>
      <c r="E609" t="str">
        <f>_xlfn.XLOOKUP(Sales[[#This Row],[Product Name]],Products[Product Name],Products[Category])</f>
        <v>Burgers</v>
      </c>
      <c r="F609" t="s">
        <v>449</v>
      </c>
      <c r="G609" t="s">
        <v>454</v>
      </c>
      <c r="H609">
        <v>53</v>
      </c>
      <c r="I609" s="5">
        <f>_xlfn.XLOOKUP(Sales[[#This Row],[Product Name]],Products[Product Name],Products[Selling Price (CAD)])</f>
        <v>7.99</v>
      </c>
      <c r="J609" s="5">
        <f>PRODUCT(Sales[[#This Row],[Quantity Sold]],Sales[[#This Row],[Unit Selling Price (CAD)]])</f>
        <v>423.47</v>
      </c>
    </row>
    <row r="610" spans="1:10">
      <c r="A610" t="s">
        <v>1058</v>
      </c>
      <c r="B610" s="2">
        <v>46100</v>
      </c>
      <c r="C610" t="s">
        <v>255</v>
      </c>
      <c r="D610" t="s">
        <v>256</v>
      </c>
      <c r="E610" t="str">
        <f>_xlfn.XLOOKUP(Sales[[#This Row],[Product Name]],Products[Product Name],Products[Category])</f>
        <v>Beverages</v>
      </c>
      <c r="F610" t="s">
        <v>444</v>
      </c>
      <c r="G610" t="s">
        <v>450</v>
      </c>
      <c r="H610">
        <v>36</v>
      </c>
      <c r="I610" s="5">
        <f>_xlfn.XLOOKUP(Sales[[#This Row],[Product Name]],Products[Product Name],Products[Selling Price (CAD)])</f>
        <v>2.99</v>
      </c>
      <c r="J610" s="5">
        <f>PRODUCT(Sales[[#This Row],[Quantity Sold]],Sales[[#This Row],[Unit Selling Price (CAD)]])</f>
        <v>107.64000000000001</v>
      </c>
    </row>
    <row r="611" spans="1:10">
      <c r="A611" t="s">
        <v>1059</v>
      </c>
      <c r="B611" s="2">
        <v>46100</v>
      </c>
      <c r="C611" t="s">
        <v>289</v>
      </c>
      <c r="D611" t="s">
        <v>290</v>
      </c>
      <c r="E611" t="str">
        <f>_xlfn.XLOOKUP(Sales[[#This Row],[Product Name]],Products[Product Name],Products[Category])</f>
        <v>Beverages</v>
      </c>
      <c r="F611" t="s">
        <v>444</v>
      </c>
      <c r="G611" t="s">
        <v>452</v>
      </c>
      <c r="H611">
        <v>58</v>
      </c>
      <c r="I611" s="5">
        <f>_xlfn.XLOOKUP(Sales[[#This Row],[Product Name]],Products[Product Name],Products[Selling Price (CAD)])</f>
        <v>2.99</v>
      </c>
      <c r="J611" s="5">
        <f>PRODUCT(Sales[[#This Row],[Quantity Sold]],Sales[[#This Row],[Unit Selling Price (CAD)]])</f>
        <v>173.42000000000002</v>
      </c>
    </row>
    <row r="612" spans="1:10">
      <c r="A612" t="s">
        <v>1060</v>
      </c>
      <c r="B612" s="2">
        <v>46101</v>
      </c>
      <c r="C612" t="s">
        <v>289</v>
      </c>
      <c r="D612" t="s">
        <v>290</v>
      </c>
      <c r="E612" t="str">
        <f>_xlfn.XLOOKUP(Sales[[#This Row],[Product Name]],Products[Product Name],Products[Category])</f>
        <v>Beverages</v>
      </c>
      <c r="F612" t="s">
        <v>444</v>
      </c>
      <c r="G612" t="s">
        <v>450</v>
      </c>
      <c r="H612">
        <v>58</v>
      </c>
      <c r="I612" s="5">
        <f>_xlfn.XLOOKUP(Sales[[#This Row],[Product Name]],Products[Product Name],Products[Selling Price (CAD)])</f>
        <v>2.99</v>
      </c>
      <c r="J612" s="5">
        <f>PRODUCT(Sales[[#This Row],[Quantity Sold]],Sales[[#This Row],[Unit Selling Price (CAD)]])</f>
        <v>173.42000000000002</v>
      </c>
    </row>
    <row r="613" spans="1:10">
      <c r="A613" t="s">
        <v>1061</v>
      </c>
      <c r="B613" s="2">
        <v>46101</v>
      </c>
      <c r="C613" t="s">
        <v>299</v>
      </c>
      <c r="D613" t="s">
        <v>300</v>
      </c>
      <c r="E613" t="str">
        <f>_xlfn.XLOOKUP(Sales[[#This Row],[Product Name]],Products[Product Name],Products[Category])</f>
        <v>Beverages</v>
      </c>
      <c r="F613" t="s">
        <v>444</v>
      </c>
      <c r="G613" t="s">
        <v>450</v>
      </c>
      <c r="H613">
        <v>72</v>
      </c>
      <c r="I613" s="5">
        <f>_xlfn.XLOOKUP(Sales[[#This Row],[Product Name]],Products[Product Name],Products[Selling Price (CAD)])</f>
        <v>2.4900000000000002</v>
      </c>
      <c r="J613" s="5">
        <f>PRODUCT(Sales[[#This Row],[Quantity Sold]],Sales[[#This Row],[Unit Selling Price (CAD)]])</f>
        <v>179.28000000000003</v>
      </c>
    </row>
    <row r="614" spans="1:10">
      <c r="A614" t="s">
        <v>1062</v>
      </c>
      <c r="B614" s="2">
        <v>46101</v>
      </c>
      <c r="C614" t="s">
        <v>163</v>
      </c>
      <c r="D614" t="s">
        <v>164</v>
      </c>
      <c r="E614" t="str">
        <f>_xlfn.XLOOKUP(Sales[[#This Row],[Product Name]],Products[Product Name],Products[Category])</f>
        <v>Breakfast</v>
      </c>
      <c r="F614" t="s">
        <v>449</v>
      </c>
      <c r="G614" t="s">
        <v>450</v>
      </c>
      <c r="H614">
        <v>34</v>
      </c>
      <c r="I614" s="5">
        <f>_xlfn.XLOOKUP(Sales[[#This Row],[Product Name]],Products[Product Name],Products[Selling Price (CAD)])</f>
        <v>3.99</v>
      </c>
      <c r="J614" s="5">
        <f>PRODUCT(Sales[[#This Row],[Quantity Sold]],Sales[[#This Row],[Unit Selling Price (CAD)]])</f>
        <v>135.66</v>
      </c>
    </row>
    <row r="615" spans="1:10">
      <c r="A615" t="s">
        <v>1063</v>
      </c>
      <c r="B615" s="2">
        <v>46101</v>
      </c>
      <c r="C615" t="s">
        <v>285</v>
      </c>
      <c r="D615" t="s">
        <v>286</v>
      </c>
      <c r="E615" t="str">
        <f>_xlfn.XLOOKUP(Sales[[#This Row],[Product Name]],Products[Product Name],Products[Category])</f>
        <v>Beverages</v>
      </c>
      <c r="F615" t="s">
        <v>447</v>
      </c>
      <c r="G615" t="s">
        <v>450</v>
      </c>
      <c r="H615">
        <v>54</v>
      </c>
      <c r="I615" s="5">
        <f>_xlfn.XLOOKUP(Sales[[#This Row],[Product Name]],Products[Product Name],Products[Selling Price (CAD)])</f>
        <v>2.99</v>
      </c>
      <c r="J615" s="5">
        <f>PRODUCT(Sales[[#This Row],[Quantity Sold]],Sales[[#This Row],[Unit Selling Price (CAD)]])</f>
        <v>161.46</v>
      </c>
    </row>
    <row r="616" spans="1:10">
      <c r="A616" t="s">
        <v>1064</v>
      </c>
      <c r="B616" s="2">
        <v>46101</v>
      </c>
      <c r="C616" t="s">
        <v>390</v>
      </c>
      <c r="D616" t="s">
        <v>391</v>
      </c>
      <c r="E616" t="str">
        <f>_xlfn.XLOOKUP(Sales[[#This Row],[Product Name]],Products[Product Name],Products[Category])</f>
        <v>Sauces &amp; Add-ons</v>
      </c>
      <c r="F616" t="s">
        <v>447</v>
      </c>
      <c r="G616" t="s">
        <v>450</v>
      </c>
      <c r="H616">
        <v>49</v>
      </c>
      <c r="I616" s="5">
        <f>_xlfn.XLOOKUP(Sales[[#This Row],[Product Name]],Products[Product Name],Products[Selling Price (CAD)])</f>
        <v>0.5</v>
      </c>
      <c r="J616" s="5">
        <f>PRODUCT(Sales[[#This Row],[Quantity Sold]],Sales[[#This Row],[Unit Selling Price (CAD)]])</f>
        <v>24.5</v>
      </c>
    </row>
    <row r="617" spans="1:10">
      <c r="A617" t="s">
        <v>1065</v>
      </c>
      <c r="B617" s="2">
        <v>46101</v>
      </c>
      <c r="C617" t="s">
        <v>345</v>
      </c>
      <c r="D617" t="s">
        <v>346</v>
      </c>
      <c r="E617" t="str">
        <f>_xlfn.XLOOKUP(Sales[[#This Row],[Product Name]],Products[Product Name],Products[Category])</f>
        <v>Desserts</v>
      </c>
      <c r="F617" t="s">
        <v>447</v>
      </c>
      <c r="G617" t="s">
        <v>452</v>
      </c>
      <c r="H617">
        <v>66</v>
      </c>
      <c r="I617" s="5">
        <f>_xlfn.XLOOKUP(Sales[[#This Row],[Product Name]],Products[Product Name],Products[Selling Price (CAD)])</f>
        <v>5.99</v>
      </c>
      <c r="J617" s="5">
        <f>PRODUCT(Sales[[#This Row],[Quantity Sold]],Sales[[#This Row],[Unit Selling Price (CAD)]])</f>
        <v>395.34000000000003</v>
      </c>
    </row>
    <row r="618" spans="1:10">
      <c r="A618" t="s">
        <v>1066</v>
      </c>
      <c r="B618" s="2">
        <v>46101</v>
      </c>
      <c r="C618" t="s">
        <v>235</v>
      </c>
      <c r="D618" t="s">
        <v>236</v>
      </c>
      <c r="E618" t="str">
        <f>_xlfn.XLOOKUP(Sales[[#This Row],[Product Name]],Products[Product Name],Products[Category])</f>
        <v>Salads</v>
      </c>
      <c r="F618" t="s">
        <v>444</v>
      </c>
      <c r="G618" t="s">
        <v>452</v>
      </c>
      <c r="H618">
        <v>66</v>
      </c>
      <c r="I618" s="5">
        <f>_xlfn.XLOOKUP(Sales[[#This Row],[Product Name]],Products[Product Name],Products[Selling Price (CAD)])</f>
        <v>9.49</v>
      </c>
      <c r="J618" s="5">
        <f>PRODUCT(Sales[[#This Row],[Quantity Sold]],Sales[[#This Row],[Unit Selling Price (CAD)]])</f>
        <v>626.34</v>
      </c>
    </row>
    <row r="619" spans="1:10">
      <c r="A619" t="s">
        <v>1067</v>
      </c>
      <c r="B619" s="2">
        <v>46101</v>
      </c>
      <c r="C619" t="s">
        <v>263</v>
      </c>
      <c r="D619" t="s">
        <v>264</v>
      </c>
      <c r="E619" t="str">
        <f>_xlfn.XLOOKUP(Sales[[#This Row],[Product Name]],Products[Product Name],Products[Category])</f>
        <v>Beverages</v>
      </c>
      <c r="F619" t="s">
        <v>447</v>
      </c>
      <c r="G619" t="s">
        <v>450</v>
      </c>
      <c r="H619">
        <v>35</v>
      </c>
      <c r="I619" s="5">
        <f>_xlfn.XLOOKUP(Sales[[#This Row],[Product Name]],Products[Product Name],Products[Selling Price (CAD)])</f>
        <v>2.99</v>
      </c>
      <c r="J619" s="5">
        <f>PRODUCT(Sales[[#This Row],[Quantity Sold]],Sales[[#This Row],[Unit Selling Price (CAD)]])</f>
        <v>104.65</v>
      </c>
    </row>
    <row r="620" spans="1:10">
      <c r="A620" t="s">
        <v>1068</v>
      </c>
      <c r="B620" s="2">
        <v>46101</v>
      </c>
      <c r="C620" t="s">
        <v>78</v>
      </c>
      <c r="D620" t="s">
        <v>79</v>
      </c>
      <c r="E620" t="str">
        <f>_xlfn.XLOOKUP(Sales[[#This Row],[Product Name]],Products[Product Name],Products[Category])</f>
        <v>Burgers</v>
      </c>
      <c r="F620" t="s">
        <v>449</v>
      </c>
      <c r="G620" t="s">
        <v>452</v>
      </c>
      <c r="H620">
        <v>80</v>
      </c>
      <c r="I620" s="5">
        <f>_xlfn.XLOOKUP(Sales[[#This Row],[Product Name]],Products[Product Name],Products[Selling Price (CAD)])</f>
        <v>3.99</v>
      </c>
      <c r="J620" s="5">
        <f>PRODUCT(Sales[[#This Row],[Quantity Sold]],Sales[[#This Row],[Unit Selling Price (CAD)]])</f>
        <v>319.20000000000005</v>
      </c>
    </row>
    <row r="621" spans="1:10">
      <c r="A621" t="s">
        <v>1069</v>
      </c>
      <c r="B621" s="2">
        <v>46102</v>
      </c>
      <c r="C621" t="s">
        <v>70</v>
      </c>
      <c r="D621" t="s">
        <v>71</v>
      </c>
      <c r="E621" t="str">
        <f>_xlfn.XLOOKUP(Sales[[#This Row],[Product Name]],Products[Product Name],Products[Category])</f>
        <v>Burgers</v>
      </c>
      <c r="F621" t="s">
        <v>447</v>
      </c>
      <c r="G621" t="s">
        <v>450</v>
      </c>
      <c r="H621">
        <v>51</v>
      </c>
      <c r="I621" s="5">
        <f>_xlfn.XLOOKUP(Sales[[#This Row],[Product Name]],Products[Product Name],Products[Selling Price (CAD)])</f>
        <v>8.99</v>
      </c>
      <c r="J621" s="5">
        <f>PRODUCT(Sales[[#This Row],[Quantity Sold]],Sales[[#This Row],[Unit Selling Price (CAD)]])</f>
        <v>458.49</v>
      </c>
    </row>
    <row r="622" spans="1:10">
      <c r="A622" t="s">
        <v>1070</v>
      </c>
      <c r="B622" s="2">
        <v>46102</v>
      </c>
      <c r="C622" t="s">
        <v>361</v>
      </c>
      <c r="D622" t="s">
        <v>362</v>
      </c>
      <c r="E622" t="str">
        <f>_xlfn.XLOOKUP(Sales[[#This Row],[Product Name]],Products[Product Name],Products[Category])</f>
        <v>Desserts</v>
      </c>
      <c r="F622" t="s">
        <v>449</v>
      </c>
      <c r="G622" t="s">
        <v>450</v>
      </c>
      <c r="H622">
        <v>39</v>
      </c>
      <c r="I622" s="5">
        <f>_xlfn.XLOOKUP(Sales[[#This Row],[Product Name]],Products[Product Name],Products[Selling Price (CAD)])</f>
        <v>5.99</v>
      </c>
      <c r="J622" s="5">
        <f>PRODUCT(Sales[[#This Row],[Quantity Sold]],Sales[[#This Row],[Unit Selling Price (CAD)]])</f>
        <v>233.61</v>
      </c>
    </row>
    <row r="623" spans="1:10">
      <c r="A623" t="s">
        <v>1071</v>
      </c>
      <c r="B623" s="2">
        <v>46102</v>
      </c>
      <c r="C623" t="s">
        <v>275</v>
      </c>
      <c r="D623" t="s">
        <v>276</v>
      </c>
      <c r="E623" t="str">
        <f>_xlfn.XLOOKUP(Sales[[#This Row],[Product Name]],Products[Product Name],Products[Category])</f>
        <v>Beverages</v>
      </c>
      <c r="F623" t="s">
        <v>449</v>
      </c>
      <c r="G623" t="s">
        <v>450</v>
      </c>
      <c r="H623">
        <v>52</v>
      </c>
      <c r="I623" s="5">
        <f>_xlfn.XLOOKUP(Sales[[#This Row],[Product Name]],Products[Product Name],Products[Selling Price (CAD)])</f>
        <v>2.99</v>
      </c>
      <c r="J623" s="5">
        <f>PRODUCT(Sales[[#This Row],[Quantity Sold]],Sales[[#This Row],[Unit Selling Price (CAD)]])</f>
        <v>155.48000000000002</v>
      </c>
    </row>
    <row r="624" spans="1:10">
      <c r="A624" t="s">
        <v>1072</v>
      </c>
      <c r="B624" s="2">
        <v>46102</v>
      </c>
      <c r="C624" t="s">
        <v>201</v>
      </c>
      <c r="D624" t="s">
        <v>202</v>
      </c>
      <c r="E624" t="str">
        <f>_xlfn.XLOOKUP(Sales[[#This Row],[Product Name]],Products[Product Name],Products[Category])</f>
        <v>Sides</v>
      </c>
      <c r="F624" t="s">
        <v>444</v>
      </c>
      <c r="G624" t="s">
        <v>454</v>
      </c>
      <c r="H624">
        <v>53</v>
      </c>
      <c r="I624" s="5">
        <f>_xlfn.XLOOKUP(Sales[[#This Row],[Product Name]],Products[Product Name],Products[Selling Price (CAD)])</f>
        <v>3.99</v>
      </c>
      <c r="J624" s="5">
        <f>PRODUCT(Sales[[#This Row],[Quantity Sold]],Sales[[#This Row],[Unit Selling Price (CAD)]])</f>
        <v>211.47</v>
      </c>
    </row>
    <row r="625" spans="1:10">
      <c r="A625" t="s">
        <v>1073</v>
      </c>
      <c r="B625" s="2">
        <v>46102</v>
      </c>
      <c r="C625" t="s">
        <v>42</v>
      </c>
      <c r="D625" t="s">
        <v>43</v>
      </c>
      <c r="E625" t="str">
        <f>_xlfn.XLOOKUP(Sales[[#This Row],[Product Name]],Products[Product Name],Products[Category])</f>
        <v>Burgers</v>
      </c>
      <c r="F625" t="s">
        <v>444</v>
      </c>
      <c r="G625" t="s">
        <v>454</v>
      </c>
      <c r="H625">
        <v>44</v>
      </c>
      <c r="I625" s="5">
        <f>_xlfn.XLOOKUP(Sales[[#This Row],[Product Name]],Products[Product Name],Products[Selling Price (CAD)])</f>
        <v>8.99</v>
      </c>
      <c r="J625" s="5">
        <f>PRODUCT(Sales[[#This Row],[Quantity Sold]],Sales[[#This Row],[Unit Selling Price (CAD)]])</f>
        <v>395.56</v>
      </c>
    </row>
    <row r="626" spans="1:10">
      <c r="A626" t="s">
        <v>1074</v>
      </c>
      <c r="B626" s="2">
        <v>46102</v>
      </c>
      <c r="C626" t="s">
        <v>315</v>
      </c>
      <c r="D626" t="s">
        <v>316</v>
      </c>
      <c r="E626" t="str">
        <f>_xlfn.XLOOKUP(Sales[[#This Row],[Product Name]],Products[Product Name],Products[Category])</f>
        <v>Beverages</v>
      </c>
      <c r="F626" t="s">
        <v>444</v>
      </c>
      <c r="G626" t="s">
        <v>450</v>
      </c>
      <c r="H626">
        <v>31</v>
      </c>
      <c r="I626" s="5">
        <f>_xlfn.XLOOKUP(Sales[[#This Row],[Product Name]],Products[Product Name],Products[Selling Price (CAD)])</f>
        <v>3.99</v>
      </c>
      <c r="J626" s="5">
        <f>PRODUCT(Sales[[#This Row],[Quantity Sold]],Sales[[#This Row],[Unit Selling Price (CAD)]])</f>
        <v>123.69000000000001</v>
      </c>
    </row>
    <row r="627" spans="1:10">
      <c r="A627" t="s">
        <v>1075</v>
      </c>
      <c r="B627" s="2">
        <v>46103</v>
      </c>
      <c r="C627" t="s">
        <v>233</v>
      </c>
      <c r="D627" t="s">
        <v>234</v>
      </c>
      <c r="E627" t="str">
        <f>_xlfn.XLOOKUP(Sales[[#This Row],[Product Name]],Products[Product Name],Products[Category])</f>
        <v>Salads</v>
      </c>
      <c r="F627" t="s">
        <v>444</v>
      </c>
      <c r="G627" t="s">
        <v>450</v>
      </c>
      <c r="H627">
        <v>33</v>
      </c>
      <c r="I627" s="5">
        <f>_xlfn.XLOOKUP(Sales[[#This Row],[Product Name]],Products[Product Name],Products[Selling Price (CAD)])</f>
        <v>9.49</v>
      </c>
      <c r="J627" s="5">
        <f>PRODUCT(Sales[[#This Row],[Quantity Sold]],Sales[[#This Row],[Unit Selling Price (CAD)]])</f>
        <v>313.17</v>
      </c>
    </row>
    <row r="628" spans="1:10">
      <c r="A628" t="s">
        <v>1076</v>
      </c>
      <c r="B628" s="2">
        <v>46103</v>
      </c>
      <c r="C628" t="s">
        <v>207</v>
      </c>
      <c r="D628" t="s">
        <v>208</v>
      </c>
      <c r="E628" t="str">
        <f>_xlfn.XLOOKUP(Sales[[#This Row],[Product Name]],Products[Product Name],Products[Category])</f>
        <v>Sides</v>
      </c>
      <c r="F628" t="s">
        <v>447</v>
      </c>
      <c r="G628" t="s">
        <v>452</v>
      </c>
      <c r="H628">
        <v>34</v>
      </c>
      <c r="I628" s="5">
        <f>_xlfn.XLOOKUP(Sales[[#This Row],[Product Name]],Products[Product Name],Products[Selling Price (CAD)])</f>
        <v>3.99</v>
      </c>
      <c r="J628" s="5">
        <f>PRODUCT(Sales[[#This Row],[Quantity Sold]],Sales[[#This Row],[Unit Selling Price (CAD)]])</f>
        <v>135.66</v>
      </c>
    </row>
    <row r="629" spans="1:10">
      <c r="A629" t="s">
        <v>1077</v>
      </c>
      <c r="B629" s="2">
        <v>46103</v>
      </c>
      <c r="C629" t="s">
        <v>229</v>
      </c>
      <c r="D629" t="s">
        <v>230</v>
      </c>
      <c r="E629" t="str">
        <f>_xlfn.XLOOKUP(Sales[[#This Row],[Product Name]],Products[Product Name],Products[Category])</f>
        <v>Salads</v>
      </c>
      <c r="F629" t="s">
        <v>444</v>
      </c>
      <c r="G629" t="s">
        <v>450</v>
      </c>
      <c r="H629">
        <v>39</v>
      </c>
      <c r="I629" s="5">
        <f>_xlfn.XLOOKUP(Sales[[#This Row],[Product Name]],Products[Product Name],Products[Selling Price (CAD)])</f>
        <v>8.99</v>
      </c>
      <c r="J629" s="5">
        <f>PRODUCT(Sales[[#This Row],[Quantity Sold]],Sales[[#This Row],[Unit Selling Price (CAD)]])</f>
        <v>350.61</v>
      </c>
    </row>
    <row r="630" spans="1:10">
      <c r="A630" t="s">
        <v>1078</v>
      </c>
      <c r="B630" s="2">
        <v>46103</v>
      </c>
      <c r="C630" t="s">
        <v>309</v>
      </c>
      <c r="D630" t="s">
        <v>310</v>
      </c>
      <c r="E630" t="str">
        <f>_xlfn.XLOOKUP(Sales[[#This Row],[Product Name]],Products[Product Name],Products[Category])</f>
        <v>Beverages</v>
      </c>
      <c r="F630" t="s">
        <v>449</v>
      </c>
      <c r="G630" t="s">
        <v>450</v>
      </c>
      <c r="H630">
        <v>60</v>
      </c>
      <c r="I630" s="5">
        <f>_xlfn.XLOOKUP(Sales[[#This Row],[Product Name]],Products[Product Name],Products[Selling Price (CAD)])</f>
        <v>2.99</v>
      </c>
      <c r="J630" s="5">
        <f>PRODUCT(Sales[[#This Row],[Quantity Sold]],Sales[[#This Row],[Unit Selling Price (CAD)]])</f>
        <v>179.4</v>
      </c>
    </row>
    <row r="631" spans="1:10">
      <c r="A631" t="s">
        <v>1079</v>
      </c>
      <c r="B631" s="2">
        <v>46103</v>
      </c>
      <c r="C631" t="s">
        <v>345</v>
      </c>
      <c r="D631" t="s">
        <v>346</v>
      </c>
      <c r="E631" t="str">
        <f>_xlfn.XLOOKUP(Sales[[#This Row],[Product Name]],Products[Product Name],Products[Category])</f>
        <v>Desserts</v>
      </c>
      <c r="F631" t="s">
        <v>444</v>
      </c>
      <c r="G631" t="s">
        <v>450</v>
      </c>
      <c r="H631">
        <v>74</v>
      </c>
      <c r="I631" s="5">
        <f>_xlfn.XLOOKUP(Sales[[#This Row],[Product Name]],Products[Product Name],Products[Selling Price (CAD)])</f>
        <v>5.99</v>
      </c>
      <c r="J631" s="5">
        <f>PRODUCT(Sales[[#This Row],[Quantity Sold]],Sales[[#This Row],[Unit Selling Price (CAD)]])</f>
        <v>443.26</v>
      </c>
    </row>
    <row r="632" spans="1:10">
      <c r="A632" t="s">
        <v>1080</v>
      </c>
      <c r="B632" s="2">
        <v>46103</v>
      </c>
      <c r="C632" t="s">
        <v>72</v>
      </c>
      <c r="D632" t="s">
        <v>73</v>
      </c>
      <c r="E632" t="str">
        <f>_xlfn.XLOOKUP(Sales[[#This Row],[Product Name]],Products[Product Name],Products[Category])</f>
        <v>Burgers</v>
      </c>
      <c r="F632" t="s">
        <v>449</v>
      </c>
      <c r="G632" t="s">
        <v>450</v>
      </c>
      <c r="H632">
        <v>36</v>
      </c>
      <c r="I632" s="5">
        <f>_xlfn.XLOOKUP(Sales[[#This Row],[Product Name]],Products[Product Name],Products[Selling Price (CAD)])</f>
        <v>6.99</v>
      </c>
      <c r="J632" s="5">
        <f>PRODUCT(Sales[[#This Row],[Quantity Sold]],Sales[[#This Row],[Unit Selling Price (CAD)]])</f>
        <v>251.64000000000001</v>
      </c>
    </row>
    <row r="633" spans="1:10">
      <c r="A633" t="s">
        <v>1081</v>
      </c>
      <c r="B633" s="2">
        <v>46103</v>
      </c>
      <c r="C633" t="s">
        <v>93</v>
      </c>
      <c r="D633" t="s">
        <v>94</v>
      </c>
      <c r="E633" t="str">
        <f>_xlfn.XLOOKUP(Sales[[#This Row],[Product Name]],Products[Product Name],Products[Category])</f>
        <v>Chicken</v>
      </c>
      <c r="F633" t="s">
        <v>447</v>
      </c>
      <c r="G633" t="s">
        <v>450</v>
      </c>
      <c r="H633">
        <v>67</v>
      </c>
      <c r="I633" s="5">
        <f>_xlfn.XLOOKUP(Sales[[#This Row],[Product Name]],Products[Product Name],Products[Selling Price (CAD)])</f>
        <v>7.49</v>
      </c>
      <c r="J633" s="5">
        <f>PRODUCT(Sales[[#This Row],[Quantity Sold]],Sales[[#This Row],[Unit Selling Price (CAD)]])</f>
        <v>501.83000000000004</v>
      </c>
    </row>
    <row r="634" spans="1:10">
      <c r="A634" t="s">
        <v>1082</v>
      </c>
      <c r="B634" s="2">
        <v>46104</v>
      </c>
      <c r="C634" t="s">
        <v>46</v>
      </c>
      <c r="D634" t="s">
        <v>47</v>
      </c>
      <c r="E634" t="str">
        <f>_xlfn.XLOOKUP(Sales[[#This Row],[Product Name]],Products[Product Name],Products[Category])</f>
        <v>Burgers</v>
      </c>
      <c r="F634" t="s">
        <v>447</v>
      </c>
      <c r="G634" t="s">
        <v>452</v>
      </c>
      <c r="H634">
        <v>44</v>
      </c>
      <c r="I634" s="5">
        <f>_xlfn.XLOOKUP(Sales[[#This Row],[Product Name]],Products[Product Name],Products[Selling Price (CAD)])</f>
        <v>8.49</v>
      </c>
      <c r="J634" s="5">
        <f>PRODUCT(Sales[[#This Row],[Quantity Sold]],Sales[[#This Row],[Unit Selling Price (CAD)]])</f>
        <v>373.56</v>
      </c>
    </row>
    <row r="635" spans="1:10">
      <c r="A635" t="s">
        <v>1083</v>
      </c>
      <c r="B635" s="2">
        <v>46104</v>
      </c>
      <c r="C635" t="s">
        <v>72</v>
      </c>
      <c r="D635" t="s">
        <v>73</v>
      </c>
      <c r="E635" t="str">
        <f>_xlfn.XLOOKUP(Sales[[#This Row],[Product Name]],Products[Product Name],Products[Category])</f>
        <v>Burgers</v>
      </c>
      <c r="F635" t="s">
        <v>444</v>
      </c>
      <c r="G635" t="s">
        <v>454</v>
      </c>
      <c r="H635">
        <v>78</v>
      </c>
      <c r="I635" s="5">
        <f>_xlfn.XLOOKUP(Sales[[#This Row],[Product Name]],Products[Product Name],Products[Selling Price (CAD)])</f>
        <v>6.99</v>
      </c>
      <c r="J635" s="5">
        <f>PRODUCT(Sales[[#This Row],[Quantity Sold]],Sales[[#This Row],[Unit Selling Price (CAD)]])</f>
        <v>545.22</v>
      </c>
    </row>
    <row r="636" spans="1:10">
      <c r="A636" t="s">
        <v>1084</v>
      </c>
      <c r="B636" s="2">
        <v>46104</v>
      </c>
      <c r="C636" t="s">
        <v>159</v>
      </c>
      <c r="D636" t="s">
        <v>160</v>
      </c>
      <c r="E636" t="str">
        <f>_xlfn.XLOOKUP(Sales[[#This Row],[Product Name]],Products[Product Name],Products[Category])</f>
        <v>Breakfast</v>
      </c>
      <c r="F636" t="s">
        <v>444</v>
      </c>
      <c r="G636" t="s">
        <v>450</v>
      </c>
      <c r="H636">
        <v>64</v>
      </c>
      <c r="I636" s="5">
        <f>_xlfn.XLOOKUP(Sales[[#This Row],[Product Name]],Products[Product Name],Products[Selling Price (CAD)])</f>
        <v>2.4900000000000002</v>
      </c>
      <c r="J636" s="5">
        <f>PRODUCT(Sales[[#This Row],[Quantity Sold]],Sales[[#This Row],[Unit Selling Price (CAD)]])</f>
        <v>159.36000000000001</v>
      </c>
    </row>
    <row r="637" spans="1:10">
      <c r="A637" t="s">
        <v>1085</v>
      </c>
      <c r="B637" s="2">
        <v>46104</v>
      </c>
      <c r="C637" t="s">
        <v>255</v>
      </c>
      <c r="D637" t="s">
        <v>256</v>
      </c>
      <c r="E637" t="str">
        <f>_xlfn.XLOOKUP(Sales[[#This Row],[Product Name]],Products[Product Name],Products[Category])</f>
        <v>Beverages</v>
      </c>
      <c r="F637" t="s">
        <v>444</v>
      </c>
      <c r="G637" t="s">
        <v>450</v>
      </c>
      <c r="H637">
        <v>74</v>
      </c>
      <c r="I637" s="5">
        <f>_xlfn.XLOOKUP(Sales[[#This Row],[Product Name]],Products[Product Name],Products[Selling Price (CAD)])</f>
        <v>2.99</v>
      </c>
      <c r="J637" s="5">
        <f>PRODUCT(Sales[[#This Row],[Quantity Sold]],Sales[[#This Row],[Unit Selling Price (CAD)]])</f>
        <v>221.26000000000002</v>
      </c>
    </row>
    <row r="638" spans="1:10">
      <c r="A638" t="s">
        <v>1086</v>
      </c>
      <c r="B638" s="2">
        <v>46104</v>
      </c>
      <c r="C638" t="s">
        <v>111</v>
      </c>
      <c r="D638" t="s">
        <v>112</v>
      </c>
      <c r="E638" t="str">
        <f>_xlfn.XLOOKUP(Sales[[#This Row],[Product Name]],Products[Product Name],Products[Category])</f>
        <v>Chicken</v>
      </c>
      <c r="F638" t="s">
        <v>447</v>
      </c>
      <c r="G638" t="s">
        <v>452</v>
      </c>
      <c r="H638">
        <v>34</v>
      </c>
      <c r="I638" s="5">
        <f>_xlfn.XLOOKUP(Sales[[#This Row],[Product Name]],Products[Product Name],Products[Selling Price (CAD)])</f>
        <v>5.99</v>
      </c>
      <c r="J638" s="5">
        <f>PRODUCT(Sales[[#This Row],[Quantity Sold]],Sales[[#This Row],[Unit Selling Price (CAD)]])</f>
        <v>203.66</v>
      </c>
    </row>
    <row r="639" spans="1:10">
      <c r="A639" t="s">
        <v>1087</v>
      </c>
      <c r="B639" s="2">
        <v>46104</v>
      </c>
      <c r="C639" t="s">
        <v>291</v>
      </c>
      <c r="D639" t="s">
        <v>292</v>
      </c>
      <c r="E639" t="str">
        <f>_xlfn.XLOOKUP(Sales[[#This Row],[Product Name]],Products[Product Name],Products[Category])</f>
        <v>Beverages</v>
      </c>
      <c r="F639" t="s">
        <v>444</v>
      </c>
      <c r="G639" t="s">
        <v>454</v>
      </c>
      <c r="H639">
        <v>70</v>
      </c>
      <c r="I639" s="5">
        <f>_xlfn.XLOOKUP(Sales[[#This Row],[Product Name]],Products[Product Name],Products[Selling Price (CAD)])</f>
        <v>3.99</v>
      </c>
      <c r="J639" s="5">
        <f>PRODUCT(Sales[[#This Row],[Quantity Sold]],Sales[[#This Row],[Unit Selling Price (CAD)]])</f>
        <v>279.3</v>
      </c>
    </row>
    <row r="640" spans="1:10">
      <c r="A640" t="s">
        <v>1088</v>
      </c>
      <c r="B640" s="2">
        <v>46105</v>
      </c>
      <c r="C640" t="s">
        <v>137</v>
      </c>
      <c r="D640" t="s">
        <v>138</v>
      </c>
      <c r="E640" t="str">
        <f>_xlfn.XLOOKUP(Sales[[#This Row],[Product Name]],Products[Product Name],Products[Category])</f>
        <v>Breakfast</v>
      </c>
      <c r="F640" t="s">
        <v>449</v>
      </c>
      <c r="G640" t="s">
        <v>445</v>
      </c>
      <c r="H640">
        <v>40</v>
      </c>
      <c r="I640" s="5">
        <f>_xlfn.XLOOKUP(Sales[[#This Row],[Product Name]],Products[Product Name],Products[Selling Price (CAD)])</f>
        <v>4.99</v>
      </c>
      <c r="J640" s="5">
        <f>PRODUCT(Sales[[#This Row],[Quantity Sold]],Sales[[#This Row],[Unit Selling Price (CAD)]])</f>
        <v>199.60000000000002</v>
      </c>
    </row>
    <row r="641" spans="1:10">
      <c r="A641" t="s">
        <v>1089</v>
      </c>
      <c r="B641" s="2">
        <v>46105</v>
      </c>
      <c r="C641" t="s">
        <v>121</v>
      </c>
      <c r="D641" t="s">
        <v>122</v>
      </c>
      <c r="E641" t="str">
        <f>_xlfn.XLOOKUP(Sales[[#This Row],[Product Name]],Products[Product Name],Products[Category])</f>
        <v>Chicken</v>
      </c>
      <c r="F641" t="s">
        <v>444</v>
      </c>
      <c r="G641" t="s">
        <v>454</v>
      </c>
      <c r="H641">
        <v>42</v>
      </c>
      <c r="I641" s="5">
        <f>_xlfn.XLOOKUP(Sales[[#This Row],[Product Name]],Products[Product Name],Products[Selling Price (CAD)])</f>
        <v>11.99</v>
      </c>
      <c r="J641" s="5">
        <f>PRODUCT(Sales[[#This Row],[Quantity Sold]],Sales[[#This Row],[Unit Selling Price (CAD)]])</f>
        <v>503.58</v>
      </c>
    </row>
    <row r="642" spans="1:10">
      <c r="A642" t="s">
        <v>1090</v>
      </c>
      <c r="B642" s="2">
        <v>46105</v>
      </c>
      <c r="C642" t="s">
        <v>109</v>
      </c>
      <c r="D642" t="s">
        <v>110</v>
      </c>
      <c r="E642" t="str">
        <f>_xlfn.XLOOKUP(Sales[[#This Row],[Product Name]],Products[Product Name],Products[Category])</f>
        <v>Chicken</v>
      </c>
      <c r="F642" t="s">
        <v>444</v>
      </c>
      <c r="G642" t="s">
        <v>450</v>
      </c>
      <c r="H642">
        <v>53</v>
      </c>
      <c r="I642" s="5">
        <f>_xlfn.XLOOKUP(Sales[[#This Row],[Product Name]],Products[Product Name],Products[Selling Price (CAD)])</f>
        <v>5.99</v>
      </c>
      <c r="J642" s="5">
        <f>PRODUCT(Sales[[#This Row],[Quantity Sold]],Sales[[#This Row],[Unit Selling Price (CAD)]])</f>
        <v>317.47000000000003</v>
      </c>
    </row>
    <row r="643" spans="1:10">
      <c r="A643" t="s">
        <v>1091</v>
      </c>
      <c r="B643" s="2">
        <v>46105</v>
      </c>
      <c r="C643" t="s">
        <v>131</v>
      </c>
      <c r="D643" t="s">
        <v>132</v>
      </c>
      <c r="E643" t="str">
        <f>_xlfn.XLOOKUP(Sales[[#This Row],[Product Name]],Products[Product Name],Products[Category])</f>
        <v>Chicken</v>
      </c>
      <c r="F643" t="s">
        <v>444</v>
      </c>
      <c r="G643" t="s">
        <v>452</v>
      </c>
      <c r="H643">
        <v>70</v>
      </c>
      <c r="I643" s="5">
        <f>_xlfn.XLOOKUP(Sales[[#This Row],[Product Name]],Products[Product Name],Products[Selling Price (CAD)])</f>
        <v>8.99</v>
      </c>
      <c r="J643" s="5">
        <f>PRODUCT(Sales[[#This Row],[Quantity Sold]],Sales[[#This Row],[Unit Selling Price (CAD)]])</f>
        <v>629.30000000000007</v>
      </c>
    </row>
    <row r="644" spans="1:10">
      <c r="A644" t="s">
        <v>1092</v>
      </c>
      <c r="B644" s="2">
        <v>46105</v>
      </c>
      <c r="C644" t="s">
        <v>171</v>
      </c>
      <c r="D644" t="s">
        <v>172</v>
      </c>
      <c r="E644" t="str">
        <f>_xlfn.XLOOKUP(Sales[[#This Row],[Product Name]],Products[Product Name],Products[Category])</f>
        <v>Breakfast</v>
      </c>
      <c r="F644" t="s">
        <v>444</v>
      </c>
      <c r="G644" t="s">
        <v>450</v>
      </c>
      <c r="H644">
        <v>78</v>
      </c>
      <c r="I644" s="5">
        <f>_xlfn.XLOOKUP(Sales[[#This Row],[Product Name]],Products[Product Name],Products[Selling Price (CAD)])</f>
        <v>3.99</v>
      </c>
      <c r="J644" s="5">
        <f>PRODUCT(Sales[[#This Row],[Quantity Sold]],Sales[[#This Row],[Unit Selling Price (CAD)]])</f>
        <v>311.22000000000003</v>
      </c>
    </row>
    <row r="645" spans="1:10">
      <c r="A645" t="s">
        <v>1093</v>
      </c>
      <c r="B645" s="2">
        <v>46105</v>
      </c>
      <c r="C645" t="s">
        <v>259</v>
      </c>
      <c r="D645" t="s">
        <v>260</v>
      </c>
      <c r="E645" t="str">
        <f>_xlfn.XLOOKUP(Sales[[#This Row],[Product Name]],Products[Product Name],Products[Category])</f>
        <v>Beverages</v>
      </c>
      <c r="F645" t="s">
        <v>444</v>
      </c>
      <c r="G645" t="s">
        <v>454</v>
      </c>
      <c r="H645">
        <v>57</v>
      </c>
      <c r="I645" s="5">
        <f>_xlfn.XLOOKUP(Sales[[#This Row],[Product Name]],Products[Product Name],Products[Selling Price (CAD)])</f>
        <v>1.99</v>
      </c>
      <c r="J645" s="5">
        <f>PRODUCT(Sales[[#This Row],[Quantity Sold]],Sales[[#This Row],[Unit Selling Price (CAD)]])</f>
        <v>113.42999999999999</v>
      </c>
    </row>
    <row r="646" spans="1:10">
      <c r="A646" t="s">
        <v>1094</v>
      </c>
      <c r="B646" s="2">
        <v>46105</v>
      </c>
      <c r="C646" t="s">
        <v>54</v>
      </c>
      <c r="D646" t="s">
        <v>55</v>
      </c>
      <c r="E646" t="str">
        <f>_xlfn.XLOOKUP(Sales[[#This Row],[Product Name]],Products[Product Name],Products[Category])</f>
        <v>Burgers</v>
      </c>
      <c r="F646" t="s">
        <v>444</v>
      </c>
      <c r="G646" t="s">
        <v>452</v>
      </c>
      <c r="H646">
        <v>70</v>
      </c>
      <c r="I646" s="5">
        <f>_xlfn.XLOOKUP(Sales[[#This Row],[Product Name]],Products[Product Name],Products[Selling Price (CAD)])</f>
        <v>8.99</v>
      </c>
      <c r="J646" s="5">
        <f>PRODUCT(Sales[[#This Row],[Quantity Sold]],Sales[[#This Row],[Unit Selling Price (CAD)]])</f>
        <v>629.30000000000007</v>
      </c>
    </row>
    <row r="647" spans="1:10">
      <c r="A647" t="s">
        <v>1095</v>
      </c>
      <c r="B647" s="2">
        <v>46105</v>
      </c>
      <c r="C647" t="s">
        <v>193</v>
      </c>
      <c r="D647" t="s">
        <v>194</v>
      </c>
      <c r="E647" t="str">
        <f>_xlfn.XLOOKUP(Sales[[#This Row],[Product Name]],Products[Product Name],Products[Category])</f>
        <v>Sides</v>
      </c>
      <c r="F647" t="s">
        <v>447</v>
      </c>
      <c r="G647" t="s">
        <v>450</v>
      </c>
      <c r="H647">
        <v>67</v>
      </c>
      <c r="I647" s="5">
        <f>_xlfn.XLOOKUP(Sales[[#This Row],[Product Name]],Products[Product Name],Products[Selling Price (CAD)])</f>
        <v>4.99</v>
      </c>
      <c r="J647" s="5">
        <f>PRODUCT(Sales[[#This Row],[Quantity Sold]],Sales[[#This Row],[Unit Selling Price (CAD)]])</f>
        <v>334.33000000000004</v>
      </c>
    </row>
    <row r="648" spans="1:10">
      <c r="A648" t="s">
        <v>1096</v>
      </c>
      <c r="B648" s="2">
        <v>46106</v>
      </c>
      <c r="C648" t="s">
        <v>151</v>
      </c>
      <c r="D648" t="s">
        <v>152</v>
      </c>
      <c r="E648" t="str">
        <f>_xlfn.XLOOKUP(Sales[[#This Row],[Product Name]],Products[Product Name],Products[Category])</f>
        <v>Breakfast</v>
      </c>
      <c r="F648" t="s">
        <v>444</v>
      </c>
      <c r="G648" t="s">
        <v>445</v>
      </c>
      <c r="H648">
        <v>41</v>
      </c>
      <c r="I648" s="5">
        <f>_xlfn.XLOOKUP(Sales[[#This Row],[Product Name]],Products[Product Name],Products[Selling Price (CAD)])</f>
        <v>5.99</v>
      </c>
      <c r="J648" s="5">
        <f>PRODUCT(Sales[[#This Row],[Quantity Sold]],Sales[[#This Row],[Unit Selling Price (CAD)]])</f>
        <v>245.59</v>
      </c>
    </row>
    <row r="649" spans="1:10">
      <c r="A649" t="s">
        <v>1097</v>
      </c>
      <c r="B649" s="2">
        <v>46106</v>
      </c>
      <c r="C649" t="s">
        <v>87</v>
      </c>
      <c r="D649" t="s">
        <v>88</v>
      </c>
      <c r="E649" t="str">
        <f>_xlfn.XLOOKUP(Sales[[#This Row],[Product Name]],Products[Product Name],Products[Category])</f>
        <v>Chicken</v>
      </c>
      <c r="F649" t="s">
        <v>444</v>
      </c>
      <c r="G649" t="s">
        <v>450</v>
      </c>
      <c r="H649">
        <v>70</v>
      </c>
      <c r="I649" s="5">
        <f>_xlfn.XLOOKUP(Sales[[#This Row],[Product Name]],Products[Product Name],Products[Selling Price (CAD)])</f>
        <v>6.99</v>
      </c>
      <c r="J649" s="5">
        <f>PRODUCT(Sales[[#This Row],[Quantity Sold]],Sales[[#This Row],[Unit Selling Price (CAD)]])</f>
        <v>489.3</v>
      </c>
    </row>
    <row r="650" spans="1:10">
      <c r="A650" t="s">
        <v>1098</v>
      </c>
      <c r="B650" s="2">
        <v>46106</v>
      </c>
      <c r="C650" t="s">
        <v>32</v>
      </c>
      <c r="D650" t="s">
        <v>33</v>
      </c>
      <c r="E650" t="str">
        <f>_xlfn.XLOOKUP(Sales[[#This Row],[Product Name]],Products[Product Name],Products[Category])</f>
        <v>Burgers</v>
      </c>
      <c r="F650" t="s">
        <v>449</v>
      </c>
      <c r="G650" t="s">
        <v>452</v>
      </c>
      <c r="H650">
        <v>75</v>
      </c>
      <c r="I650" s="5">
        <f>_xlfn.XLOOKUP(Sales[[#This Row],[Product Name]],Products[Product Name],Products[Selling Price (CAD)])</f>
        <v>9.99</v>
      </c>
      <c r="J650" s="5">
        <f>PRODUCT(Sales[[#This Row],[Quantity Sold]],Sales[[#This Row],[Unit Selling Price (CAD)]])</f>
        <v>749.25</v>
      </c>
    </row>
    <row r="651" spans="1:10">
      <c r="A651" t="s">
        <v>1099</v>
      </c>
      <c r="B651" s="2">
        <v>46106</v>
      </c>
      <c r="C651" t="s">
        <v>107</v>
      </c>
      <c r="D651" t="s">
        <v>108</v>
      </c>
      <c r="E651" t="str">
        <f>_xlfn.XLOOKUP(Sales[[#This Row],[Product Name]],Products[Product Name],Products[Category])</f>
        <v>Chicken</v>
      </c>
      <c r="F651" t="s">
        <v>447</v>
      </c>
      <c r="G651" t="s">
        <v>452</v>
      </c>
      <c r="H651">
        <v>51</v>
      </c>
      <c r="I651" s="5">
        <f>_xlfn.XLOOKUP(Sales[[#This Row],[Product Name]],Products[Product Name],Products[Selling Price (CAD)])</f>
        <v>5.99</v>
      </c>
      <c r="J651" s="5">
        <f>PRODUCT(Sales[[#This Row],[Quantity Sold]],Sales[[#This Row],[Unit Selling Price (CAD)]])</f>
        <v>305.49</v>
      </c>
    </row>
    <row r="652" spans="1:10">
      <c r="A652" t="s">
        <v>1100</v>
      </c>
      <c r="B652" s="2">
        <v>46106</v>
      </c>
      <c r="C652" t="s">
        <v>32</v>
      </c>
      <c r="D652" t="s">
        <v>33</v>
      </c>
      <c r="E652" t="str">
        <f>_xlfn.XLOOKUP(Sales[[#This Row],[Product Name]],Products[Product Name],Products[Category])</f>
        <v>Burgers</v>
      </c>
      <c r="F652" t="s">
        <v>449</v>
      </c>
      <c r="G652" t="s">
        <v>452</v>
      </c>
      <c r="H652">
        <v>72</v>
      </c>
      <c r="I652" s="5">
        <f>_xlfn.XLOOKUP(Sales[[#This Row],[Product Name]],Products[Product Name],Products[Selling Price (CAD)])</f>
        <v>9.99</v>
      </c>
      <c r="J652" s="5">
        <f>PRODUCT(Sales[[#This Row],[Quantity Sold]],Sales[[#This Row],[Unit Selling Price (CAD)]])</f>
        <v>719.28</v>
      </c>
    </row>
    <row r="653" spans="1:10">
      <c r="A653" t="s">
        <v>1101</v>
      </c>
      <c r="B653" s="2">
        <v>46106</v>
      </c>
      <c r="C653" t="s">
        <v>135</v>
      </c>
      <c r="D653" t="s">
        <v>136</v>
      </c>
      <c r="E653" t="str">
        <f>_xlfn.XLOOKUP(Sales[[#This Row],[Product Name]],Products[Product Name],Products[Category])</f>
        <v>Breakfast</v>
      </c>
      <c r="F653" t="s">
        <v>449</v>
      </c>
      <c r="G653" t="s">
        <v>445</v>
      </c>
      <c r="H653">
        <v>77</v>
      </c>
      <c r="I653" s="5">
        <f>_xlfn.XLOOKUP(Sales[[#This Row],[Product Name]],Products[Product Name],Products[Selling Price (CAD)])</f>
        <v>4.99</v>
      </c>
      <c r="J653" s="5">
        <f>PRODUCT(Sales[[#This Row],[Quantity Sold]],Sales[[#This Row],[Unit Selling Price (CAD)]])</f>
        <v>384.23</v>
      </c>
    </row>
    <row r="654" spans="1:10">
      <c r="A654" t="s">
        <v>1102</v>
      </c>
      <c r="B654" s="2">
        <v>46106</v>
      </c>
      <c r="C654" t="s">
        <v>277</v>
      </c>
      <c r="D654" t="s">
        <v>278</v>
      </c>
      <c r="E654" t="str">
        <f>_xlfn.XLOOKUP(Sales[[#This Row],[Product Name]],Products[Product Name],Products[Category])</f>
        <v>Beverages</v>
      </c>
      <c r="F654" t="s">
        <v>447</v>
      </c>
      <c r="G654" t="s">
        <v>450</v>
      </c>
      <c r="H654">
        <v>71</v>
      </c>
      <c r="I654" s="5">
        <f>_xlfn.XLOOKUP(Sales[[#This Row],[Product Name]],Products[Product Name],Products[Selling Price (CAD)])</f>
        <v>1.99</v>
      </c>
      <c r="J654" s="5">
        <f>PRODUCT(Sales[[#This Row],[Quantity Sold]],Sales[[#This Row],[Unit Selling Price (CAD)]])</f>
        <v>141.29</v>
      </c>
    </row>
    <row r="655" spans="1:10">
      <c r="A655" t="s">
        <v>1103</v>
      </c>
      <c r="B655" s="2">
        <v>46107</v>
      </c>
      <c r="C655" t="s">
        <v>64</v>
      </c>
      <c r="D655" t="s">
        <v>65</v>
      </c>
      <c r="E655" t="str">
        <f>_xlfn.XLOOKUP(Sales[[#This Row],[Product Name]],Products[Product Name],Products[Category])</f>
        <v>Burgers</v>
      </c>
      <c r="F655" t="s">
        <v>447</v>
      </c>
      <c r="G655" t="s">
        <v>452</v>
      </c>
      <c r="H655">
        <v>45</v>
      </c>
      <c r="I655" s="5">
        <f>_xlfn.XLOOKUP(Sales[[#This Row],[Product Name]],Products[Product Name],Products[Selling Price (CAD)])</f>
        <v>6.49</v>
      </c>
      <c r="J655" s="5">
        <f>PRODUCT(Sales[[#This Row],[Quantity Sold]],Sales[[#This Row],[Unit Selling Price (CAD)]])</f>
        <v>292.05</v>
      </c>
    </row>
    <row r="656" spans="1:10">
      <c r="A656" t="s">
        <v>1104</v>
      </c>
      <c r="B656" s="2">
        <v>46107</v>
      </c>
      <c r="C656" t="s">
        <v>82</v>
      </c>
      <c r="D656" t="s">
        <v>83</v>
      </c>
      <c r="E656" t="str">
        <f>_xlfn.XLOOKUP(Sales[[#This Row],[Product Name]],Products[Product Name],Products[Category])</f>
        <v>Chicken</v>
      </c>
      <c r="F656" t="s">
        <v>444</v>
      </c>
      <c r="G656" t="s">
        <v>450</v>
      </c>
      <c r="H656">
        <v>30</v>
      </c>
      <c r="I656" s="5">
        <f>_xlfn.XLOOKUP(Sales[[#This Row],[Product Name]],Products[Product Name],Products[Selling Price (CAD)])</f>
        <v>6.99</v>
      </c>
      <c r="J656" s="5">
        <f>PRODUCT(Sales[[#This Row],[Quantity Sold]],Sales[[#This Row],[Unit Selling Price (CAD)]])</f>
        <v>209.70000000000002</v>
      </c>
    </row>
    <row r="657" spans="1:10">
      <c r="A657" t="s">
        <v>1105</v>
      </c>
      <c r="B657" s="2">
        <v>46107</v>
      </c>
      <c r="C657" t="s">
        <v>263</v>
      </c>
      <c r="D657" t="s">
        <v>264</v>
      </c>
      <c r="E657" t="str">
        <f>_xlfn.XLOOKUP(Sales[[#This Row],[Product Name]],Products[Product Name],Products[Category])</f>
        <v>Beverages</v>
      </c>
      <c r="F657" t="s">
        <v>447</v>
      </c>
      <c r="G657" t="s">
        <v>445</v>
      </c>
      <c r="H657">
        <v>44</v>
      </c>
      <c r="I657" s="5">
        <f>_xlfn.XLOOKUP(Sales[[#This Row],[Product Name]],Products[Product Name],Products[Selling Price (CAD)])</f>
        <v>2.99</v>
      </c>
      <c r="J657" s="5">
        <f>PRODUCT(Sales[[#This Row],[Quantity Sold]],Sales[[#This Row],[Unit Selling Price (CAD)]])</f>
        <v>131.56</v>
      </c>
    </row>
    <row r="658" spans="1:10">
      <c r="A658" t="s">
        <v>1106</v>
      </c>
      <c r="B658" s="2">
        <v>46107</v>
      </c>
      <c r="C658" t="s">
        <v>113</v>
      </c>
      <c r="D658" t="s">
        <v>114</v>
      </c>
      <c r="E658" t="str">
        <f>_xlfn.XLOOKUP(Sales[[#This Row],[Product Name]],Products[Product Name],Products[Category])</f>
        <v>Chicken</v>
      </c>
      <c r="F658" t="s">
        <v>444</v>
      </c>
      <c r="G658" t="s">
        <v>452</v>
      </c>
      <c r="H658">
        <v>65</v>
      </c>
      <c r="I658" s="5">
        <f>_xlfn.XLOOKUP(Sales[[#This Row],[Product Name]],Products[Product Name],Products[Selling Price (CAD)])</f>
        <v>5.99</v>
      </c>
      <c r="J658" s="5">
        <f>PRODUCT(Sales[[#This Row],[Quantity Sold]],Sales[[#This Row],[Unit Selling Price (CAD)]])</f>
        <v>389.35</v>
      </c>
    </row>
    <row r="659" spans="1:10">
      <c r="A659" t="s">
        <v>1107</v>
      </c>
      <c r="B659" s="2">
        <v>46107</v>
      </c>
      <c r="C659" t="s">
        <v>87</v>
      </c>
      <c r="D659" t="s">
        <v>88</v>
      </c>
      <c r="E659" t="str">
        <f>_xlfn.XLOOKUP(Sales[[#This Row],[Product Name]],Products[Product Name],Products[Category])</f>
        <v>Chicken</v>
      </c>
      <c r="F659" t="s">
        <v>449</v>
      </c>
      <c r="G659" t="s">
        <v>450</v>
      </c>
      <c r="H659">
        <v>61</v>
      </c>
      <c r="I659" s="5">
        <f>_xlfn.XLOOKUP(Sales[[#This Row],[Product Name]],Products[Product Name],Products[Selling Price (CAD)])</f>
        <v>6.99</v>
      </c>
      <c r="J659" s="5">
        <f>PRODUCT(Sales[[#This Row],[Quantity Sold]],Sales[[#This Row],[Unit Selling Price (CAD)]])</f>
        <v>426.39</v>
      </c>
    </row>
    <row r="660" spans="1:10">
      <c r="A660" t="s">
        <v>1108</v>
      </c>
      <c r="B660" s="2">
        <v>46107</v>
      </c>
      <c r="C660" t="s">
        <v>225</v>
      </c>
      <c r="D660" t="s">
        <v>226</v>
      </c>
      <c r="E660" t="str">
        <f>_xlfn.XLOOKUP(Sales[[#This Row],[Product Name]],Products[Product Name],Products[Category])</f>
        <v>Salads</v>
      </c>
      <c r="F660" t="s">
        <v>447</v>
      </c>
      <c r="G660" t="s">
        <v>450</v>
      </c>
      <c r="H660">
        <v>55</v>
      </c>
      <c r="I660" s="5">
        <f>_xlfn.XLOOKUP(Sales[[#This Row],[Product Name]],Products[Product Name],Products[Selling Price (CAD)])</f>
        <v>8.99</v>
      </c>
      <c r="J660" s="5">
        <f>PRODUCT(Sales[[#This Row],[Quantity Sold]],Sales[[#This Row],[Unit Selling Price (CAD)]])</f>
        <v>494.45</v>
      </c>
    </row>
    <row r="661" spans="1:10">
      <c r="A661" t="s">
        <v>1109</v>
      </c>
      <c r="B661" s="2">
        <v>46108</v>
      </c>
      <c r="C661" t="s">
        <v>321</v>
      </c>
      <c r="D661" t="s">
        <v>322</v>
      </c>
      <c r="E661" t="str">
        <f>_xlfn.XLOOKUP(Sales[[#This Row],[Product Name]],Products[Product Name],Products[Category])</f>
        <v>Beverages</v>
      </c>
      <c r="F661" t="s">
        <v>447</v>
      </c>
      <c r="G661" t="s">
        <v>454</v>
      </c>
      <c r="H661">
        <v>75</v>
      </c>
      <c r="I661" s="5">
        <f>_xlfn.XLOOKUP(Sales[[#This Row],[Product Name]],Products[Product Name],Products[Selling Price (CAD)])</f>
        <v>2.4900000000000002</v>
      </c>
      <c r="J661" s="5">
        <f>PRODUCT(Sales[[#This Row],[Quantity Sold]],Sales[[#This Row],[Unit Selling Price (CAD)]])</f>
        <v>186.75000000000003</v>
      </c>
    </row>
    <row r="662" spans="1:10">
      <c r="A662" t="s">
        <v>1110</v>
      </c>
      <c r="B662" s="2">
        <v>46108</v>
      </c>
      <c r="C662" t="s">
        <v>117</v>
      </c>
      <c r="D662" t="s">
        <v>118</v>
      </c>
      <c r="E662" t="str">
        <f>_xlfn.XLOOKUP(Sales[[#This Row],[Product Name]],Products[Product Name],Products[Category])</f>
        <v>Chicken</v>
      </c>
      <c r="F662" t="s">
        <v>444</v>
      </c>
      <c r="G662" t="s">
        <v>450</v>
      </c>
      <c r="H662">
        <v>53</v>
      </c>
      <c r="I662" s="5">
        <f>_xlfn.XLOOKUP(Sales[[#This Row],[Product Name]],Products[Product Name],Products[Selling Price (CAD)])</f>
        <v>4.99</v>
      </c>
      <c r="J662" s="5">
        <f>PRODUCT(Sales[[#This Row],[Quantity Sold]],Sales[[#This Row],[Unit Selling Price (CAD)]])</f>
        <v>264.47000000000003</v>
      </c>
    </row>
    <row r="663" spans="1:10">
      <c r="A663" t="s">
        <v>1111</v>
      </c>
      <c r="B663" s="2">
        <v>46108</v>
      </c>
      <c r="C663" t="s">
        <v>253</v>
      </c>
      <c r="D663" t="s">
        <v>254</v>
      </c>
      <c r="E663" t="str">
        <f>_xlfn.XLOOKUP(Sales[[#This Row],[Product Name]],Products[Product Name],Products[Category])</f>
        <v>Beverages</v>
      </c>
      <c r="F663" t="s">
        <v>444</v>
      </c>
      <c r="G663" t="s">
        <v>450</v>
      </c>
      <c r="H663">
        <v>37</v>
      </c>
      <c r="I663" s="5">
        <f>_xlfn.XLOOKUP(Sales[[#This Row],[Product Name]],Products[Product Name],Products[Selling Price (CAD)])</f>
        <v>1.99</v>
      </c>
      <c r="J663" s="5">
        <f>PRODUCT(Sales[[#This Row],[Quantity Sold]],Sales[[#This Row],[Unit Selling Price (CAD)]])</f>
        <v>73.63</v>
      </c>
    </row>
    <row r="664" spans="1:10">
      <c r="A664" t="s">
        <v>1112</v>
      </c>
      <c r="B664" s="2">
        <v>46108</v>
      </c>
      <c r="C664" t="s">
        <v>289</v>
      </c>
      <c r="D664" t="s">
        <v>290</v>
      </c>
      <c r="E664" t="str">
        <f>_xlfn.XLOOKUP(Sales[[#This Row],[Product Name]],Products[Product Name],Products[Category])</f>
        <v>Beverages</v>
      </c>
      <c r="F664" t="s">
        <v>444</v>
      </c>
      <c r="G664" t="s">
        <v>454</v>
      </c>
      <c r="H664">
        <v>58</v>
      </c>
      <c r="I664" s="5">
        <f>_xlfn.XLOOKUP(Sales[[#This Row],[Product Name]],Products[Product Name],Products[Selling Price (CAD)])</f>
        <v>2.99</v>
      </c>
      <c r="J664" s="5">
        <f>PRODUCT(Sales[[#This Row],[Quantity Sold]],Sales[[#This Row],[Unit Selling Price (CAD)]])</f>
        <v>173.42000000000002</v>
      </c>
    </row>
    <row r="665" spans="1:10">
      <c r="A665" t="s">
        <v>1113</v>
      </c>
      <c r="B665" s="2">
        <v>46108</v>
      </c>
      <c r="C665" t="s">
        <v>315</v>
      </c>
      <c r="D665" t="s">
        <v>316</v>
      </c>
      <c r="E665" t="str">
        <f>_xlfn.XLOOKUP(Sales[[#This Row],[Product Name]],Products[Product Name],Products[Category])</f>
        <v>Beverages</v>
      </c>
      <c r="F665" t="s">
        <v>447</v>
      </c>
      <c r="G665" t="s">
        <v>452</v>
      </c>
      <c r="H665">
        <v>80</v>
      </c>
      <c r="I665" s="5">
        <f>_xlfn.XLOOKUP(Sales[[#This Row],[Product Name]],Products[Product Name],Products[Selling Price (CAD)])</f>
        <v>3.99</v>
      </c>
      <c r="J665" s="5">
        <f>PRODUCT(Sales[[#This Row],[Quantity Sold]],Sales[[#This Row],[Unit Selling Price (CAD)]])</f>
        <v>319.20000000000005</v>
      </c>
    </row>
    <row r="666" spans="1:10">
      <c r="A666" t="s">
        <v>1114</v>
      </c>
      <c r="B666" s="2">
        <v>46108</v>
      </c>
      <c r="C666" t="s">
        <v>363</v>
      </c>
      <c r="D666" t="s">
        <v>364</v>
      </c>
      <c r="E666" t="str">
        <f>_xlfn.XLOOKUP(Sales[[#This Row],[Product Name]],Products[Product Name],Products[Category])</f>
        <v>Kids Meals</v>
      </c>
      <c r="F666" t="s">
        <v>444</v>
      </c>
      <c r="G666" t="s">
        <v>450</v>
      </c>
      <c r="H666">
        <v>62</v>
      </c>
      <c r="I666" s="5">
        <f>_xlfn.XLOOKUP(Sales[[#This Row],[Product Name]],Products[Product Name],Products[Selling Price (CAD)])</f>
        <v>5.99</v>
      </c>
      <c r="J666" s="5">
        <f>PRODUCT(Sales[[#This Row],[Quantity Sold]],Sales[[#This Row],[Unit Selling Price (CAD)]])</f>
        <v>371.38</v>
      </c>
    </row>
    <row r="667" spans="1:10">
      <c r="A667" t="s">
        <v>1115</v>
      </c>
      <c r="B667" s="2">
        <v>46108</v>
      </c>
      <c r="C667" t="s">
        <v>191</v>
      </c>
      <c r="D667" t="s">
        <v>192</v>
      </c>
      <c r="E667" t="str">
        <f>_xlfn.XLOOKUP(Sales[[#This Row],[Product Name]],Products[Product Name],Products[Category])</f>
        <v>Sides</v>
      </c>
      <c r="F667" t="s">
        <v>449</v>
      </c>
      <c r="G667" t="s">
        <v>454</v>
      </c>
      <c r="H667">
        <v>73</v>
      </c>
      <c r="I667" s="5">
        <f>_xlfn.XLOOKUP(Sales[[#This Row],[Product Name]],Products[Product Name],Products[Selling Price (CAD)])</f>
        <v>3.99</v>
      </c>
      <c r="J667" s="5">
        <f>PRODUCT(Sales[[#This Row],[Quantity Sold]],Sales[[#This Row],[Unit Selling Price (CAD)]])</f>
        <v>291.27000000000004</v>
      </c>
    </row>
    <row r="668" spans="1:10">
      <c r="A668" t="s">
        <v>1116</v>
      </c>
      <c r="B668" s="2">
        <v>46108</v>
      </c>
      <c r="C668" t="s">
        <v>111</v>
      </c>
      <c r="D668" t="s">
        <v>112</v>
      </c>
      <c r="E668" t="str">
        <f>_xlfn.XLOOKUP(Sales[[#This Row],[Product Name]],Products[Product Name],Products[Category])</f>
        <v>Chicken</v>
      </c>
      <c r="F668" t="s">
        <v>444</v>
      </c>
      <c r="G668" t="s">
        <v>454</v>
      </c>
      <c r="H668">
        <v>43</v>
      </c>
      <c r="I668" s="5">
        <f>_xlfn.XLOOKUP(Sales[[#This Row],[Product Name]],Products[Product Name],Products[Selling Price (CAD)])</f>
        <v>5.99</v>
      </c>
      <c r="J668" s="5">
        <f>PRODUCT(Sales[[#This Row],[Quantity Sold]],Sales[[#This Row],[Unit Selling Price (CAD)]])</f>
        <v>257.57</v>
      </c>
    </row>
    <row r="669" spans="1:10">
      <c r="A669" t="s">
        <v>1117</v>
      </c>
      <c r="B669" s="2">
        <v>46108</v>
      </c>
      <c r="C669" t="s">
        <v>243</v>
      </c>
      <c r="D669" t="s">
        <v>244</v>
      </c>
      <c r="E669" t="str">
        <f>_xlfn.XLOOKUP(Sales[[#This Row],[Product Name]],Products[Product Name],Products[Category])</f>
        <v>Salads</v>
      </c>
      <c r="F669" t="s">
        <v>449</v>
      </c>
      <c r="G669" t="s">
        <v>445</v>
      </c>
      <c r="H669">
        <v>39</v>
      </c>
      <c r="I669" s="5">
        <f>_xlfn.XLOOKUP(Sales[[#This Row],[Product Name]],Products[Product Name],Products[Selling Price (CAD)])</f>
        <v>6.99</v>
      </c>
      <c r="J669" s="5">
        <f>PRODUCT(Sales[[#This Row],[Quantity Sold]],Sales[[#This Row],[Unit Selling Price (CAD)]])</f>
        <v>272.61</v>
      </c>
    </row>
    <row r="670" spans="1:10">
      <c r="A670" t="s">
        <v>1118</v>
      </c>
      <c r="B670" s="2">
        <v>46109</v>
      </c>
      <c r="C670" t="s">
        <v>341</v>
      </c>
      <c r="D670" t="s">
        <v>342</v>
      </c>
      <c r="E670" t="str">
        <f>_xlfn.XLOOKUP(Sales[[#This Row],[Product Name]],Products[Product Name],Products[Category])</f>
        <v>Desserts</v>
      </c>
      <c r="F670" t="s">
        <v>447</v>
      </c>
      <c r="G670" t="s">
        <v>452</v>
      </c>
      <c r="H670">
        <v>76</v>
      </c>
      <c r="I670" s="5">
        <f>_xlfn.XLOOKUP(Sales[[#This Row],[Product Name]],Products[Product Name],Products[Selling Price (CAD)])</f>
        <v>1.49</v>
      </c>
      <c r="J670" s="5">
        <f>PRODUCT(Sales[[#This Row],[Quantity Sold]],Sales[[#This Row],[Unit Selling Price (CAD)]])</f>
        <v>113.24</v>
      </c>
    </row>
    <row r="671" spans="1:10">
      <c r="A671" t="s">
        <v>1119</v>
      </c>
      <c r="B671" s="2">
        <v>46109</v>
      </c>
      <c r="C671" t="s">
        <v>209</v>
      </c>
      <c r="D671" t="s">
        <v>210</v>
      </c>
      <c r="E671" t="str">
        <f>_xlfn.XLOOKUP(Sales[[#This Row],[Product Name]],Products[Product Name],Products[Category])</f>
        <v>Sides</v>
      </c>
      <c r="F671" t="s">
        <v>449</v>
      </c>
      <c r="G671" t="s">
        <v>452</v>
      </c>
      <c r="H671">
        <v>36</v>
      </c>
      <c r="I671" s="5">
        <f>_xlfn.XLOOKUP(Sales[[#This Row],[Product Name]],Products[Product Name],Products[Selling Price (CAD)])</f>
        <v>4.99</v>
      </c>
      <c r="J671" s="5">
        <f>PRODUCT(Sales[[#This Row],[Quantity Sold]],Sales[[#This Row],[Unit Selling Price (CAD)]])</f>
        <v>179.64000000000001</v>
      </c>
    </row>
    <row r="672" spans="1:10">
      <c r="A672" t="s">
        <v>1120</v>
      </c>
      <c r="B672" s="2">
        <v>46109</v>
      </c>
      <c r="C672" t="s">
        <v>247</v>
      </c>
      <c r="D672" t="s">
        <v>248</v>
      </c>
      <c r="E672" t="str">
        <f>_xlfn.XLOOKUP(Sales[[#This Row],[Product Name]],Products[Product Name],Products[Category])</f>
        <v>Salads</v>
      </c>
      <c r="F672" t="s">
        <v>447</v>
      </c>
      <c r="G672" t="s">
        <v>452</v>
      </c>
      <c r="H672">
        <v>78</v>
      </c>
      <c r="I672" s="5">
        <f>_xlfn.XLOOKUP(Sales[[#This Row],[Product Name]],Products[Product Name],Products[Selling Price (CAD)])</f>
        <v>6.99</v>
      </c>
      <c r="J672" s="5">
        <f>PRODUCT(Sales[[#This Row],[Quantity Sold]],Sales[[#This Row],[Unit Selling Price (CAD)]])</f>
        <v>545.22</v>
      </c>
    </row>
    <row r="673" spans="1:10">
      <c r="A673" t="s">
        <v>1121</v>
      </c>
      <c r="B673" s="2">
        <v>46109</v>
      </c>
      <c r="C673" t="s">
        <v>285</v>
      </c>
      <c r="D673" t="s">
        <v>286</v>
      </c>
      <c r="E673" t="str">
        <f>_xlfn.XLOOKUP(Sales[[#This Row],[Product Name]],Products[Product Name],Products[Category])</f>
        <v>Beverages</v>
      </c>
      <c r="F673" t="s">
        <v>447</v>
      </c>
      <c r="G673" t="s">
        <v>454</v>
      </c>
      <c r="H673">
        <v>62</v>
      </c>
      <c r="I673" s="5">
        <f>_xlfn.XLOOKUP(Sales[[#This Row],[Product Name]],Products[Product Name],Products[Selling Price (CAD)])</f>
        <v>2.99</v>
      </c>
      <c r="J673" s="5">
        <f>PRODUCT(Sales[[#This Row],[Quantity Sold]],Sales[[#This Row],[Unit Selling Price (CAD)]])</f>
        <v>185.38000000000002</v>
      </c>
    </row>
    <row r="674" spans="1:10">
      <c r="A674" t="s">
        <v>1122</v>
      </c>
      <c r="B674" s="2">
        <v>46109</v>
      </c>
      <c r="C674" t="s">
        <v>82</v>
      </c>
      <c r="D674" t="s">
        <v>83</v>
      </c>
      <c r="E674" t="str">
        <f>_xlfn.XLOOKUP(Sales[[#This Row],[Product Name]],Products[Product Name],Products[Category])</f>
        <v>Chicken</v>
      </c>
      <c r="F674" t="s">
        <v>447</v>
      </c>
      <c r="G674" t="s">
        <v>445</v>
      </c>
      <c r="H674">
        <v>34</v>
      </c>
      <c r="I674" s="5">
        <f>_xlfn.XLOOKUP(Sales[[#This Row],[Product Name]],Products[Product Name],Products[Selling Price (CAD)])</f>
        <v>6.99</v>
      </c>
      <c r="J674" s="5">
        <f>PRODUCT(Sales[[#This Row],[Quantity Sold]],Sales[[#This Row],[Unit Selling Price (CAD)]])</f>
        <v>237.66</v>
      </c>
    </row>
    <row r="675" spans="1:10">
      <c r="A675" t="s">
        <v>1123</v>
      </c>
      <c r="B675" s="2">
        <v>46109</v>
      </c>
      <c r="C675" t="s">
        <v>52</v>
      </c>
      <c r="D675" t="s">
        <v>53</v>
      </c>
      <c r="E675" t="str">
        <f>_xlfn.XLOOKUP(Sales[[#This Row],[Product Name]],Products[Product Name],Products[Category])</f>
        <v>Burgers</v>
      </c>
      <c r="F675" t="s">
        <v>449</v>
      </c>
      <c r="G675" t="s">
        <v>450</v>
      </c>
      <c r="H675">
        <v>73</v>
      </c>
      <c r="I675" s="5">
        <f>_xlfn.XLOOKUP(Sales[[#This Row],[Product Name]],Products[Product Name],Products[Selling Price (CAD)])</f>
        <v>6.99</v>
      </c>
      <c r="J675" s="5">
        <f>PRODUCT(Sales[[#This Row],[Quantity Sold]],Sales[[#This Row],[Unit Selling Price (CAD)]])</f>
        <v>510.27000000000004</v>
      </c>
    </row>
    <row r="676" spans="1:10">
      <c r="A676" t="s">
        <v>1124</v>
      </c>
      <c r="B676" s="2">
        <v>46109</v>
      </c>
      <c r="C676" t="s">
        <v>36</v>
      </c>
      <c r="D676" t="s">
        <v>37</v>
      </c>
      <c r="E676" t="str">
        <f>_xlfn.XLOOKUP(Sales[[#This Row],[Product Name]],Products[Product Name],Products[Category])</f>
        <v>Burgers</v>
      </c>
      <c r="F676" t="s">
        <v>449</v>
      </c>
      <c r="G676" t="s">
        <v>450</v>
      </c>
      <c r="H676">
        <v>34</v>
      </c>
      <c r="I676" s="5">
        <f>_xlfn.XLOOKUP(Sales[[#This Row],[Product Name]],Products[Product Name],Products[Selling Price (CAD)])</f>
        <v>8.99</v>
      </c>
      <c r="J676" s="5">
        <f>PRODUCT(Sales[[#This Row],[Quantity Sold]],Sales[[#This Row],[Unit Selling Price (CAD)]])</f>
        <v>305.66000000000003</v>
      </c>
    </row>
    <row r="677" spans="1:10">
      <c r="A677" t="s">
        <v>1125</v>
      </c>
      <c r="B677" s="2">
        <v>46109</v>
      </c>
      <c r="C677" t="s">
        <v>201</v>
      </c>
      <c r="D677" t="s">
        <v>202</v>
      </c>
      <c r="E677" t="str">
        <f>_xlfn.XLOOKUP(Sales[[#This Row],[Product Name]],Products[Product Name],Products[Category])</f>
        <v>Sides</v>
      </c>
      <c r="F677" t="s">
        <v>449</v>
      </c>
      <c r="G677" t="s">
        <v>445</v>
      </c>
      <c r="H677">
        <v>50</v>
      </c>
      <c r="I677" s="5">
        <f>_xlfn.XLOOKUP(Sales[[#This Row],[Product Name]],Products[Product Name],Products[Selling Price (CAD)])</f>
        <v>3.99</v>
      </c>
      <c r="J677" s="5">
        <f>PRODUCT(Sales[[#This Row],[Quantity Sold]],Sales[[#This Row],[Unit Selling Price (CAD)]])</f>
        <v>199.5</v>
      </c>
    </row>
    <row r="678" spans="1:10">
      <c r="A678" t="s">
        <v>1126</v>
      </c>
      <c r="B678" s="2">
        <v>46109</v>
      </c>
      <c r="C678" t="s">
        <v>281</v>
      </c>
      <c r="D678" t="s">
        <v>282</v>
      </c>
      <c r="E678" t="str">
        <f>_xlfn.XLOOKUP(Sales[[#This Row],[Product Name]],Products[Product Name],Products[Category])</f>
        <v>Beverages</v>
      </c>
      <c r="F678" t="s">
        <v>444</v>
      </c>
      <c r="G678" t="s">
        <v>450</v>
      </c>
      <c r="H678">
        <v>37</v>
      </c>
      <c r="I678" s="5">
        <f>_xlfn.XLOOKUP(Sales[[#This Row],[Product Name]],Products[Product Name],Products[Selling Price (CAD)])</f>
        <v>2.99</v>
      </c>
      <c r="J678" s="5">
        <f>PRODUCT(Sales[[#This Row],[Quantity Sold]],Sales[[#This Row],[Unit Selling Price (CAD)]])</f>
        <v>110.63000000000001</v>
      </c>
    </row>
    <row r="679" spans="1:10">
      <c r="A679" t="s">
        <v>1127</v>
      </c>
      <c r="B679" s="2">
        <v>46110</v>
      </c>
      <c r="C679" t="s">
        <v>263</v>
      </c>
      <c r="D679" t="s">
        <v>264</v>
      </c>
      <c r="E679" t="str">
        <f>_xlfn.XLOOKUP(Sales[[#This Row],[Product Name]],Products[Product Name],Products[Category])</f>
        <v>Beverages</v>
      </c>
      <c r="F679" t="s">
        <v>447</v>
      </c>
      <c r="G679" t="s">
        <v>450</v>
      </c>
      <c r="H679">
        <v>69</v>
      </c>
      <c r="I679" s="5">
        <f>_xlfn.XLOOKUP(Sales[[#This Row],[Product Name]],Products[Product Name],Products[Selling Price (CAD)])</f>
        <v>2.99</v>
      </c>
      <c r="J679" s="5">
        <f>PRODUCT(Sales[[#This Row],[Quantity Sold]],Sales[[#This Row],[Unit Selling Price (CAD)]])</f>
        <v>206.31</v>
      </c>
    </row>
    <row r="680" spans="1:10">
      <c r="A680" t="s">
        <v>1128</v>
      </c>
      <c r="B680" s="2">
        <v>46110</v>
      </c>
      <c r="C680" t="s">
        <v>323</v>
      </c>
      <c r="D680" t="s">
        <v>324</v>
      </c>
      <c r="E680" t="str">
        <f>_xlfn.XLOOKUP(Sales[[#This Row],[Product Name]],Products[Product Name],Products[Category])</f>
        <v>Desserts</v>
      </c>
      <c r="F680" t="s">
        <v>449</v>
      </c>
      <c r="G680" t="s">
        <v>450</v>
      </c>
      <c r="H680">
        <v>56</v>
      </c>
      <c r="I680" s="5">
        <f>_xlfn.XLOOKUP(Sales[[#This Row],[Product Name]],Products[Product Name],Products[Selling Price (CAD)])</f>
        <v>2.99</v>
      </c>
      <c r="J680" s="5">
        <f>PRODUCT(Sales[[#This Row],[Quantity Sold]],Sales[[#This Row],[Unit Selling Price (CAD)]])</f>
        <v>167.44</v>
      </c>
    </row>
    <row r="681" spans="1:10">
      <c r="A681" t="s">
        <v>1129</v>
      </c>
      <c r="B681" s="2">
        <v>46110</v>
      </c>
      <c r="C681" t="s">
        <v>42</v>
      </c>
      <c r="D681" t="s">
        <v>43</v>
      </c>
      <c r="E681" t="str">
        <f>_xlfn.XLOOKUP(Sales[[#This Row],[Product Name]],Products[Product Name],Products[Category])</f>
        <v>Burgers</v>
      </c>
      <c r="F681" t="s">
        <v>444</v>
      </c>
      <c r="G681" t="s">
        <v>454</v>
      </c>
      <c r="H681">
        <v>56</v>
      </c>
      <c r="I681" s="5">
        <f>_xlfn.XLOOKUP(Sales[[#This Row],[Product Name]],Products[Product Name],Products[Selling Price (CAD)])</f>
        <v>8.99</v>
      </c>
      <c r="J681" s="5">
        <f>PRODUCT(Sales[[#This Row],[Quantity Sold]],Sales[[#This Row],[Unit Selling Price (CAD)]])</f>
        <v>503.44</v>
      </c>
    </row>
    <row r="682" spans="1:10">
      <c r="A682" t="s">
        <v>1130</v>
      </c>
      <c r="B682" s="2">
        <v>46110</v>
      </c>
      <c r="C682" t="s">
        <v>217</v>
      </c>
      <c r="D682" t="s">
        <v>218</v>
      </c>
      <c r="E682" t="str">
        <f>_xlfn.XLOOKUP(Sales[[#This Row],[Product Name]],Products[Product Name],Products[Category])</f>
        <v>Sides</v>
      </c>
      <c r="F682" t="s">
        <v>449</v>
      </c>
      <c r="G682" t="s">
        <v>445</v>
      </c>
      <c r="H682">
        <v>59</v>
      </c>
      <c r="I682" s="5">
        <f>_xlfn.XLOOKUP(Sales[[#This Row],[Product Name]],Products[Product Name],Products[Selling Price (CAD)])</f>
        <v>3.99</v>
      </c>
      <c r="J682" s="5">
        <f>PRODUCT(Sales[[#This Row],[Quantity Sold]],Sales[[#This Row],[Unit Selling Price (CAD)]])</f>
        <v>235.41000000000003</v>
      </c>
    </row>
    <row r="683" spans="1:10">
      <c r="A683" t="s">
        <v>1131</v>
      </c>
      <c r="B683" s="2">
        <v>46110</v>
      </c>
      <c r="C683" t="s">
        <v>85</v>
      </c>
      <c r="D683" t="s">
        <v>86</v>
      </c>
      <c r="E683" t="str">
        <f>_xlfn.XLOOKUP(Sales[[#This Row],[Product Name]],Products[Product Name],Products[Category])</f>
        <v>Chicken</v>
      </c>
      <c r="F683" t="s">
        <v>449</v>
      </c>
      <c r="G683" t="s">
        <v>452</v>
      </c>
      <c r="H683">
        <v>45</v>
      </c>
      <c r="I683" s="5">
        <f>_xlfn.XLOOKUP(Sales[[#This Row],[Product Name]],Products[Product Name],Products[Selling Price (CAD)])</f>
        <v>6.99</v>
      </c>
      <c r="J683" s="5">
        <f>PRODUCT(Sales[[#This Row],[Quantity Sold]],Sales[[#This Row],[Unit Selling Price (CAD)]])</f>
        <v>314.55</v>
      </c>
    </row>
    <row r="684" spans="1:10">
      <c r="A684" t="s">
        <v>1132</v>
      </c>
      <c r="B684" s="2">
        <v>46110</v>
      </c>
      <c r="C684" t="s">
        <v>129</v>
      </c>
      <c r="D684" t="s">
        <v>130</v>
      </c>
      <c r="E684" t="str">
        <f>_xlfn.XLOOKUP(Sales[[#This Row],[Product Name]],Products[Product Name],Products[Category])</f>
        <v>Chicken</v>
      </c>
      <c r="F684" t="s">
        <v>449</v>
      </c>
      <c r="G684" t="s">
        <v>452</v>
      </c>
      <c r="H684">
        <v>78</v>
      </c>
      <c r="I684" s="5">
        <f>_xlfn.XLOOKUP(Sales[[#This Row],[Product Name]],Products[Product Name],Products[Selling Price (CAD)])</f>
        <v>11.99</v>
      </c>
      <c r="J684" s="5">
        <f>PRODUCT(Sales[[#This Row],[Quantity Sold]],Sales[[#This Row],[Unit Selling Price (CAD)]])</f>
        <v>935.22</v>
      </c>
    </row>
    <row r="685" spans="1:10">
      <c r="A685" t="s">
        <v>1133</v>
      </c>
      <c r="B685" s="2">
        <v>46110</v>
      </c>
      <c r="C685" t="s">
        <v>321</v>
      </c>
      <c r="D685" t="s">
        <v>322</v>
      </c>
      <c r="E685" t="str">
        <f>_xlfn.XLOOKUP(Sales[[#This Row],[Product Name]],Products[Product Name],Products[Category])</f>
        <v>Beverages</v>
      </c>
      <c r="F685" t="s">
        <v>444</v>
      </c>
      <c r="G685" t="s">
        <v>452</v>
      </c>
      <c r="H685">
        <v>68</v>
      </c>
      <c r="I685" s="5">
        <f>_xlfn.XLOOKUP(Sales[[#This Row],[Product Name]],Products[Product Name],Products[Selling Price (CAD)])</f>
        <v>2.4900000000000002</v>
      </c>
      <c r="J685" s="5">
        <f>PRODUCT(Sales[[#This Row],[Quantity Sold]],Sales[[#This Row],[Unit Selling Price (CAD)]])</f>
        <v>169.32000000000002</v>
      </c>
    </row>
    <row r="686" spans="1:10">
      <c r="A686" t="s">
        <v>1134</v>
      </c>
      <c r="B686" s="2">
        <v>46110</v>
      </c>
      <c r="C686" t="s">
        <v>97</v>
      </c>
      <c r="D686" t="s">
        <v>98</v>
      </c>
      <c r="E686" t="str">
        <f>_xlfn.XLOOKUP(Sales[[#This Row],[Product Name]],Products[Product Name],Products[Category])</f>
        <v>Chicken</v>
      </c>
      <c r="F686" t="s">
        <v>449</v>
      </c>
      <c r="G686" t="s">
        <v>450</v>
      </c>
      <c r="H686">
        <v>42</v>
      </c>
      <c r="I686" s="5">
        <f>_xlfn.XLOOKUP(Sales[[#This Row],[Product Name]],Products[Product Name],Products[Selling Price (CAD)])</f>
        <v>6.99</v>
      </c>
      <c r="J686" s="5">
        <f>PRODUCT(Sales[[#This Row],[Quantity Sold]],Sales[[#This Row],[Unit Selling Price (CAD)]])</f>
        <v>293.58</v>
      </c>
    </row>
    <row r="687" spans="1:10">
      <c r="A687" t="s">
        <v>1135</v>
      </c>
      <c r="B687" s="2">
        <v>46110</v>
      </c>
      <c r="C687" t="s">
        <v>173</v>
      </c>
      <c r="D687" t="s">
        <v>174</v>
      </c>
      <c r="E687" t="str">
        <f>_xlfn.XLOOKUP(Sales[[#This Row],[Product Name]],Products[Product Name],Products[Category])</f>
        <v>Breakfast</v>
      </c>
      <c r="F687" t="s">
        <v>449</v>
      </c>
      <c r="G687" t="s">
        <v>454</v>
      </c>
      <c r="H687">
        <v>34</v>
      </c>
      <c r="I687" s="5">
        <f>_xlfn.XLOOKUP(Sales[[#This Row],[Product Name]],Products[Product Name],Products[Selling Price (CAD)])</f>
        <v>6.99</v>
      </c>
      <c r="J687" s="5">
        <f>PRODUCT(Sales[[#This Row],[Quantity Sold]],Sales[[#This Row],[Unit Selling Price (CAD)]])</f>
        <v>237.66</v>
      </c>
    </row>
    <row r="688" spans="1:10">
      <c r="A688" t="s">
        <v>1136</v>
      </c>
      <c r="B688" s="2">
        <v>46110</v>
      </c>
      <c r="C688" t="s">
        <v>181</v>
      </c>
      <c r="D688" t="s">
        <v>182</v>
      </c>
      <c r="E688" t="str">
        <f>_xlfn.XLOOKUP(Sales[[#This Row],[Product Name]],Products[Product Name],Products[Category])</f>
        <v>Breakfast</v>
      </c>
      <c r="F688" t="s">
        <v>449</v>
      </c>
      <c r="G688" t="s">
        <v>454</v>
      </c>
      <c r="H688">
        <v>43</v>
      </c>
      <c r="I688" s="5">
        <f>_xlfn.XLOOKUP(Sales[[#This Row],[Product Name]],Products[Product Name],Products[Selling Price (CAD)])</f>
        <v>4.99</v>
      </c>
      <c r="J688" s="5">
        <f>PRODUCT(Sales[[#This Row],[Quantity Sold]],Sales[[#This Row],[Unit Selling Price (CAD)]])</f>
        <v>214.57000000000002</v>
      </c>
    </row>
    <row r="689" spans="1:10">
      <c r="A689" t="s">
        <v>1137</v>
      </c>
      <c r="B689" s="2">
        <v>46111</v>
      </c>
      <c r="C689" t="s">
        <v>199</v>
      </c>
      <c r="D689" t="s">
        <v>200</v>
      </c>
      <c r="E689" t="str">
        <f>_xlfn.XLOOKUP(Sales[[#This Row],[Product Name]],Products[Product Name],Products[Category])</f>
        <v>Sides</v>
      </c>
      <c r="F689" t="s">
        <v>447</v>
      </c>
      <c r="G689" t="s">
        <v>450</v>
      </c>
      <c r="H689">
        <v>61</v>
      </c>
      <c r="I689" s="5">
        <f>_xlfn.XLOOKUP(Sales[[#This Row],[Product Name]],Products[Product Name],Products[Selling Price (CAD)])</f>
        <v>4.99</v>
      </c>
      <c r="J689" s="5">
        <f>PRODUCT(Sales[[#This Row],[Quantity Sold]],Sales[[#This Row],[Unit Selling Price (CAD)]])</f>
        <v>304.39</v>
      </c>
    </row>
    <row r="690" spans="1:10">
      <c r="A690" t="s">
        <v>1138</v>
      </c>
      <c r="B690" s="2">
        <v>46111</v>
      </c>
      <c r="C690" t="s">
        <v>60</v>
      </c>
      <c r="D690" t="s">
        <v>61</v>
      </c>
      <c r="E690" t="str">
        <f>_xlfn.XLOOKUP(Sales[[#This Row],[Product Name]],Products[Product Name],Products[Category])</f>
        <v>Burgers</v>
      </c>
      <c r="F690" t="s">
        <v>444</v>
      </c>
      <c r="G690" t="s">
        <v>450</v>
      </c>
      <c r="H690">
        <v>44</v>
      </c>
      <c r="I690" s="5">
        <f>_xlfn.XLOOKUP(Sales[[#This Row],[Product Name]],Products[Product Name],Products[Selling Price (CAD)])</f>
        <v>6.99</v>
      </c>
      <c r="J690" s="5">
        <f>PRODUCT(Sales[[#This Row],[Quantity Sold]],Sales[[#This Row],[Unit Selling Price (CAD)]])</f>
        <v>307.56</v>
      </c>
    </row>
    <row r="691" spans="1:10">
      <c r="A691" t="s">
        <v>1139</v>
      </c>
      <c r="B691" s="2">
        <v>46111</v>
      </c>
      <c r="C691" t="s">
        <v>297</v>
      </c>
      <c r="D691" t="s">
        <v>298</v>
      </c>
      <c r="E691" t="str">
        <f>_xlfn.XLOOKUP(Sales[[#This Row],[Product Name]],Products[Product Name],Products[Category])</f>
        <v>Beverages</v>
      </c>
      <c r="F691" t="s">
        <v>447</v>
      </c>
      <c r="G691" t="s">
        <v>450</v>
      </c>
      <c r="H691">
        <v>41</v>
      </c>
      <c r="I691" s="5">
        <f>_xlfn.XLOOKUP(Sales[[#This Row],[Product Name]],Products[Product Name],Products[Selling Price (CAD)])</f>
        <v>2.99</v>
      </c>
      <c r="J691" s="5">
        <f>PRODUCT(Sales[[#This Row],[Quantity Sold]],Sales[[#This Row],[Unit Selling Price (CAD)]])</f>
        <v>122.59</v>
      </c>
    </row>
    <row r="692" spans="1:10">
      <c r="A692" t="s">
        <v>1140</v>
      </c>
      <c r="B692" s="2">
        <v>46111</v>
      </c>
      <c r="C692" t="s">
        <v>193</v>
      </c>
      <c r="D692" t="s">
        <v>194</v>
      </c>
      <c r="E692" t="str">
        <f>_xlfn.XLOOKUP(Sales[[#This Row],[Product Name]],Products[Product Name],Products[Category])</f>
        <v>Sides</v>
      </c>
      <c r="F692" t="s">
        <v>444</v>
      </c>
      <c r="G692" t="s">
        <v>454</v>
      </c>
      <c r="H692">
        <v>35</v>
      </c>
      <c r="I692" s="5">
        <f>_xlfn.XLOOKUP(Sales[[#This Row],[Product Name]],Products[Product Name],Products[Selling Price (CAD)])</f>
        <v>4.99</v>
      </c>
      <c r="J692" s="5">
        <f>PRODUCT(Sales[[#This Row],[Quantity Sold]],Sales[[#This Row],[Unit Selling Price (CAD)]])</f>
        <v>174.65</v>
      </c>
    </row>
    <row r="693" spans="1:10">
      <c r="A693" t="s">
        <v>1141</v>
      </c>
      <c r="B693" s="2">
        <v>46111</v>
      </c>
      <c r="C693" t="s">
        <v>21</v>
      </c>
      <c r="D693" t="s">
        <v>22</v>
      </c>
      <c r="E693" t="str">
        <f>_xlfn.XLOOKUP(Sales[[#This Row],[Product Name]],Products[Product Name],Products[Category])</f>
        <v>Burgers</v>
      </c>
      <c r="F693" t="s">
        <v>447</v>
      </c>
      <c r="G693" t="s">
        <v>452</v>
      </c>
      <c r="H693">
        <v>71</v>
      </c>
      <c r="I693" s="5">
        <f>_xlfn.XLOOKUP(Sales[[#This Row],[Product Name]],Products[Product Name],Products[Selling Price (CAD)])</f>
        <v>9.99</v>
      </c>
      <c r="J693" s="5">
        <f>PRODUCT(Sales[[#This Row],[Quantity Sold]],Sales[[#This Row],[Unit Selling Price (CAD)]])</f>
        <v>709.29</v>
      </c>
    </row>
    <row r="694" spans="1:10">
      <c r="A694" t="s">
        <v>1142</v>
      </c>
      <c r="B694" s="2">
        <v>46111</v>
      </c>
      <c r="C694" t="s">
        <v>313</v>
      </c>
      <c r="D694" t="s">
        <v>314</v>
      </c>
      <c r="E694" t="str">
        <f>_xlfn.XLOOKUP(Sales[[#This Row],[Product Name]],Products[Product Name],Products[Category])</f>
        <v>Beverages</v>
      </c>
      <c r="F694" t="s">
        <v>447</v>
      </c>
      <c r="G694" t="s">
        <v>450</v>
      </c>
      <c r="H694">
        <v>46</v>
      </c>
      <c r="I694" s="5">
        <f>_xlfn.XLOOKUP(Sales[[#This Row],[Product Name]],Products[Product Name],Products[Selling Price (CAD)])</f>
        <v>3.99</v>
      </c>
      <c r="J694" s="5">
        <f>PRODUCT(Sales[[#This Row],[Quantity Sold]],Sales[[#This Row],[Unit Selling Price (CAD)]])</f>
        <v>183.54000000000002</v>
      </c>
    </row>
    <row r="695" spans="1:10">
      <c r="A695" t="s">
        <v>1143</v>
      </c>
      <c r="B695" s="2">
        <v>46111</v>
      </c>
      <c r="C695" t="s">
        <v>209</v>
      </c>
      <c r="D695" t="s">
        <v>210</v>
      </c>
      <c r="E695" t="str">
        <f>_xlfn.XLOOKUP(Sales[[#This Row],[Product Name]],Products[Product Name],Products[Category])</f>
        <v>Sides</v>
      </c>
      <c r="F695" t="s">
        <v>449</v>
      </c>
      <c r="G695" t="s">
        <v>445</v>
      </c>
      <c r="H695">
        <v>58</v>
      </c>
      <c r="I695" s="5">
        <f>_xlfn.XLOOKUP(Sales[[#This Row],[Product Name]],Products[Product Name],Products[Selling Price (CAD)])</f>
        <v>4.99</v>
      </c>
      <c r="J695" s="5">
        <f>PRODUCT(Sales[[#This Row],[Quantity Sold]],Sales[[#This Row],[Unit Selling Price (CAD)]])</f>
        <v>289.42</v>
      </c>
    </row>
    <row r="696" spans="1:10">
      <c r="A696" t="s">
        <v>1144</v>
      </c>
      <c r="B696" s="2">
        <v>46112</v>
      </c>
      <c r="C696" t="s">
        <v>313</v>
      </c>
      <c r="D696" t="s">
        <v>314</v>
      </c>
      <c r="E696" t="str">
        <f>_xlfn.XLOOKUP(Sales[[#This Row],[Product Name]],Products[Product Name],Products[Category])</f>
        <v>Beverages</v>
      </c>
      <c r="F696" t="s">
        <v>449</v>
      </c>
      <c r="G696" t="s">
        <v>450</v>
      </c>
      <c r="H696">
        <v>52</v>
      </c>
      <c r="I696" s="5">
        <f>_xlfn.XLOOKUP(Sales[[#This Row],[Product Name]],Products[Product Name],Products[Selling Price (CAD)])</f>
        <v>3.99</v>
      </c>
      <c r="J696" s="5">
        <f>PRODUCT(Sales[[#This Row],[Quantity Sold]],Sales[[#This Row],[Unit Selling Price (CAD)]])</f>
        <v>207.48000000000002</v>
      </c>
    </row>
    <row r="697" spans="1:10">
      <c r="A697" t="s">
        <v>1145</v>
      </c>
      <c r="B697" s="2">
        <v>46112</v>
      </c>
      <c r="C697" t="s">
        <v>275</v>
      </c>
      <c r="D697" t="s">
        <v>276</v>
      </c>
      <c r="E697" t="str">
        <f>_xlfn.XLOOKUP(Sales[[#This Row],[Product Name]],Products[Product Name],Products[Category])</f>
        <v>Beverages</v>
      </c>
      <c r="F697" t="s">
        <v>447</v>
      </c>
      <c r="G697" t="s">
        <v>450</v>
      </c>
      <c r="H697">
        <v>70</v>
      </c>
      <c r="I697" s="5">
        <f>_xlfn.XLOOKUP(Sales[[#This Row],[Product Name]],Products[Product Name],Products[Selling Price (CAD)])</f>
        <v>2.99</v>
      </c>
      <c r="J697" s="5">
        <f>PRODUCT(Sales[[#This Row],[Quantity Sold]],Sales[[#This Row],[Unit Selling Price (CAD)]])</f>
        <v>209.3</v>
      </c>
    </row>
    <row r="698" spans="1:10">
      <c r="A698" t="s">
        <v>1146</v>
      </c>
      <c r="B698" s="2">
        <v>46112</v>
      </c>
      <c r="C698" t="s">
        <v>329</v>
      </c>
      <c r="D698" t="s">
        <v>330</v>
      </c>
      <c r="E698" t="str">
        <f>_xlfn.XLOOKUP(Sales[[#This Row],[Product Name]],Products[Product Name],Products[Category])</f>
        <v>Desserts</v>
      </c>
      <c r="F698" t="s">
        <v>449</v>
      </c>
      <c r="G698" t="s">
        <v>450</v>
      </c>
      <c r="H698">
        <v>57</v>
      </c>
      <c r="I698" s="5">
        <f>_xlfn.XLOOKUP(Sales[[#This Row],[Product Name]],Products[Product Name],Products[Selling Price (CAD)])</f>
        <v>2.99</v>
      </c>
      <c r="J698" s="5">
        <f>PRODUCT(Sales[[#This Row],[Quantity Sold]],Sales[[#This Row],[Unit Selling Price (CAD)]])</f>
        <v>170.43</v>
      </c>
    </row>
    <row r="699" spans="1:10">
      <c r="A699" t="s">
        <v>1147</v>
      </c>
      <c r="B699" s="2">
        <v>46112</v>
      </c>
      <c r="C699" t="s">
        <v>99</v>
      </c>
      <c r="D699" t="s">
        <v>100</v>
      </c>
      <c r="E699" t="str">
        <f>_xlfn.XLOOKUP(Sales[[#This Row],[Product Name]],Products[Product Name],Products[Category])</f>
        <v>Chicken</v>
      </c>
      <c r="F699" t="s">
        <v>447</v>
      </c>
      <c r="G699" t="s">
        <v>452</v>
      </c>
      <c r="H699">
        <v>54</v>
      </c>
      <c r="I699" s="5">
        <f>_xlfn.XLOOKUP(Sales[[#This Row],[Product Name]],Products[Product Name],Products[Selling Price (CAD)])</f>
        <v>7.99</v>
      </c>
      <c r="J699" s="5">
        <f>PRODUCT(Sales[[#This Row],[Quantity Sold]],Sales[[#This Row],[Unit Selling Price (CAD)]])</f>
        <v>431.46000000000004</v>
      </c>
    </row>
    <row r="700" spans="1:10">
      <c r="A700" t="s">
        <v>1148</v>
      </c>
      <c r="B700" s="2">
        <v>46112</v>
      </c>
      <c r="C700" t="s">
        <v>319</v>
      </c>
      <c r="D700" t="s">
        <v>320</v>
      </c>
      <c r="E700" t="str">
        <f>_xlfn.XLOOKUP(Sales[[#This Row],[Product Name]],Products[Product Name],Products[Category])</f>
        <v>Beverages</v>
      </c>
      <c r="F700" t="s">
        <v>449</v>
      </c>
      <c r="G700" t="s">
        <v>452</v>
      </c>
      <c r="H700">
        <v>55</v>
      </c>
      <c r="I700" s="5">
        <f>_xlfn.XLOOKUP(Sales[[#This Row],[Product Name]],Products[Product Name],Products[Selling Price (CAD)])</f>
        <v>2.4900000000000002</v>
      </c>
      <c r="J700" s="5">
        <f>PRODUCT(Sales[[#This Row],[Quantity Sold]],Sales[[#This Row],[Unit Selling Price (CAD)]])</f>
        <v>136.95000000000002</v>
      </c>
    </row>
    <row r="701" spans="1:10">
      <c r="A701" t="s">
        <v>1149</v>
      </c>
      <c r="B701" s="2">
        <v>46112</v>
      </c>
      <c r="C701" t="s">
        <v>279</v>
      </c>
      <c r="D701" t="s">
        <v>280</v>
      </c>
      <c r="E701" t="str">
        <f>_xlfn.XLOOKUP(Sales[[#This Row],[Product Name]],Products[Product Name],Products[Category])</f>
        <v>Beverages</v>
      </c>
      <c r="F701" t="s">
        <v>449</v>
      </c>
      <c r="G701" t="s">
        <v>445</v>
      </c>
      <c r="H701">
        <v>38</v>
      </c>
      <c r="I701" s="5">
        <f>_xlfn.XLOOKUP(Sales[[#This Row],[Product Name]],Products[Product Name],Products[Selling Price (CAD)])</f>
        <v>2.99</v>
      </c>
      <c r="J701" s="5">
        <f>PRODUCT(Sales[[#This Row],[Quantity Sold]],Sales[[#This Row],[Unit Selling Price (CAD)]])</f>
        <v>113.62</v>
      </c>
    </row>
    <row r="702" spans="1:10">
      <c r="A702" t="s">
        <v>1150</v>
      </c>
      <c r="B702" s="2">
        <v>46112</v>
      </c>
      <c r="C702" t="s">
        <v>281</v>
      </c>
      <c r="D702" t="s">
        <v>282</v>
      </c>
      <c r="E702" t="str">
        <f>_xlfn.XLOOKUP(Sales[[#This Row],[Product Name]],Products[Product Name],Products[Category])</f>
        <v>Beverages</v>
      </c>
      <c r="F702" t="s">
        <v>449</v>
      </c>
      <c r="G702" t="s">
        <v>450</v>
      </c>
      <c r="H702">
        <v>67</v>
      </c>
      <c r="I702" s="5">
        <f>_xlfn.XLOOKUP(Sales[[#This Row],[Product Name]],Products[Product Name],Products[Selling Price (CAD)])</f>
        <v>2.99</v>
      </c>
      <c r="J702" s="5">
        <f>PRODUCT(Sales[[#This Row],[Quantity Sold]],Sales[[#This Row],[Unit Selling Price (CAD)]])</f>
        <v>200.33</v>
      </c>
    </row>
    <row r="703" spans="1:10">
      <c r="A703" t="s">
        <v>1151</v>
      </c>
      <c r="B703" s="2">
        <v>46113</v>
      </c>
      <c r="C703" t="s">
        <v>115</v>
      </c>
      <c r="D703" t="s">
        <v>116</v>
      </c>
      <c r="E703" t="str">
        <f>_xlfn.XLOOKUP(Sales[[#This Row],[Product Name]],Products[Product Name],Products[Category])</f>
        <v>Chicken</v>
      </c>
      <c r="F703" t="s">
        <v>444</v>
      </c>
      <c r="G703" t="s">
        <v>450</v>
      </c>
      <c r="H703">
        <v>66</v>
      </c>
      <c r="I703" s="5">
        <f>_xlfn.XLOOKUP(Sales[[#This Row],[Product Name]],Products[Product Name],Products[Selling Price (CAD)])</f>
        <v>2.99</v>
      </c>
      <c r="J703" s="5">
        <f>PRODUCT(Sales[[#This Row],[Quantity Sold]],Sales[[#This Row],[Unit Selling Price (CAD)]])</f>
        <v>197.34</v>
      </c>
    </row>
    <row r="704" spans="1:10">
      <c r="A704" t="s">
        <v>1152</v>
      </c>
      <c r="B704" s="2">
        <v>46113</v>
      </c>
      <c r="C704" t="s">
        <v>123</v>
      </c>
      <c r="D704" t="s">
        <v>124</v>
      </c>
      <c r="E704" t="str">
        <f>_xlfn.XLOOKUP(Sales[[#This Row],[Product Name]],Products[Product Name],Products[Category])</f>
        <v>Chicken</v>
      </c>
      <c r="F704" t="s">
        <v>447</v>
      </c>
      <c r="G704" t="s">
        <v>450</v>
      </c>
      <c r="H704">
        <v>57</v>
      </c>
      <c r="I704" s="5">
        <f>_xlfn.XLOOKUP(Sales[[#This Row],[Product Name]],Products[Product Name],Products[Selling Price (CAD)])</f>
        <v>2.99</v>
      </c>
      <c r="J704" s="5">
        <f>PRODUCT(Sales[[#This Row],[Quantity Sold]],Sales[[#This Row],[Unit Selling Price (CAD)]])</f>
        <v>170.43</v>
      </c>
    </row>
    <row r="705" spans="1:10">
      <c r="A705" t="s">
        <v>1153</v>
      </c>
      <c r="B705" s="2">
        <v>46113</v>
      </c>
      <c r="C705" t="s">
        <v>163</v>
      </c>
      <c r="D705" t="s">
        <v>164</v>
      </c>
      <c r="E705" t="str">
        <f>_xlfn.XLOOKUP(Sales[[#This Row],[Product Name]],Products[Product Name],Products[Category])</f>
        <v>Breakfast</v>
      </c>
      <c r="F705" t="s">
        <v>449</v>
      </c>
      <c r="G705" t="s">
        <v>454</v>
      </c>
      <c r="H705">
        <v>48</v>
      </c>
      <c r="I705" s="5">
        <f>_xlfn.XLOOKUP(Sales[[#This Row],[Product Name]],Products[Product Name],Products[Selling Price (CAD)])</f>
        <v>3.99</v>
      </c>
      <c r="J705" s="5">
        <f>PRODUCT(Sales[[#This Row],[Quantity Sold]],Sales[[#This Row],[Unit Selling Price (CAD)]])</f>
        <v>191.52</v>
      </c>
    </row>
    <row r="706" spans="1:10">
      <c r="A706" t="s">
        <v>1154</v>
      </c>
      <c r="B706" s="2">
        <v>46113</v>
      </c>
      <c r="C706" t="s">
        <v>347</v>
      </c>
      <c r="D706" t="s">
        <v>348</v>
      </c>
      <c r="E706" t="str">
        <f>_xlfn.XLOOKUP(Sales[[#This Row],[Product Name]],Products[Product Name],Products[Category])</f>
        <v>Desserts</v>
      </c>
      <c r="F706" t="s">
        <v>449</v>
      </c>
      <c r="G706" t="s">
        <v>452</v>
      </c>
      <c r="H706">
        <v>33</v>
      </c>
      <c r="I706" s="5">
        <f>_xlfn.XLOOKUP(Sales[[#This Row],[Product Name]],Products[Product Name],Products[Selling Price (CAD)])</f>
        <v>4.99</v>
      </c>
      <c r="J706" s="5">
        <f>PRODUCT(Sales[[#This Row],[Quantity Sold]],Sales[[#This Row],[Unit Selling Price (CAD)]])</f>
        <v>164.67000000000002</v>
      </c>
    </row>
    <row r="707" spans="1:10">
      <c r="A707" t="s">
        <v>1155</v>
      </c>
      <c r="B707" s="2">
        <v>46113</v>
      </c>
      <c r="C707" t="s">
        <v>161</v>
      </c>
      <c r="D707" t="s">
        <v>162</v>
      </c>
      <c r="E707" t="str">
        <f>_xlfn.XLOOKUP(Sales[[#This Row],[Product Name]],Products[Product Name],Products[Category])</f>
        <v>Breakfast</v>
      </c>
      <c r="F707" t="s">
        <v>444</v>
      </c>
      <c r="G707" t="s">
        <v>452</v>
      </c>
      <c r="H707">
        <v>32</v>
      </c>
      <c r="I707" s="5">
        <f>_xlfn.XLOOKUP(Sales[[#This Row],[Product Name]],Products[Product Name],Products[Selling Price (CAD)])</f>
        <v>2.99</v>
      </c>
      <c r="J707" s="5">
        <f>PRODUCT(Sales[[#This Row],[Quantity Sold]],Sales[[#This Row],[Unit Selling Price (CAD)]])</f>
        <v>95.68</v>
      </c>
    </row>
    <row r="708" spans="1:10">
      <c r="A708" t="s">
        <v>1156</v>
      </c>
      <c r="B708" s="2">
        <v>46114</v>
      </c>
      <c r="C708" t="s">
        <v>189</v>
      </c>
      <c r="D708" t="s">
        <v>190</v>
      </c>
      <c r="E708" t="str">
        <f>_xlfn.XLOOKUP(Sales[[#This Row],[Product Name]],Products[Product Name],Products[Category])</f>
        <v>Sides</v>
      </c>
      <c r="F708" t="s">
        <v>444</v>
      </c>
      <c r="G708" t="s">
        <v>450</v>
      </c>
      <c r="H708">
        <v>72</v>
      </c>
      <c r="I708" s="5">
        <f>_xlfn.XLOOKUP(Sales[[#This Row],[Product Name]],Products[Product Name],Products[Selling Price (CAD)])</f>
        <v>2.99</v>
      </c>
      <c r="J708" s="5">
        <f>PRODUCT(Sales[[#This Row],[Quantity Sold]],Sales[[#This Row],[Unit Selling Price (CAD)]])</f>
        <v>215.28000000000003</v>
      </c>
    </row>
    <row r="709" spans="1:10">
      <c r="A709" t="s">
        <v>1157</v>
      </c>
      <c r="B709" s="2">
        <v>46114</v>
      </c>
      <c r="C709" t="s">
        <v>171</v>
      </c>
      <c r="D709" t="s">
        <v>172</v>
      </c>
      <c r="E709" t="str">
        <f>_xlfn.XLOOKUP(Sales[[#This Row],[Product Name]],Products[Product Name],Products[Category])</f>
        <v>Breakfast</v>
      </c>
      <c r="F709" t="s">
        <v>444</v>
      </c>
      <c r="G709" t="s">
        <v>445</v>
      </c>
      <c r="H709">
        <v>46</v>
      </c>
      <c r="I709" s="5">
        <f>_xlfn.XLOOKUP(Sales[[#This Row],[Product Name]],Products[Product Name],Products[Selling Price (CAD)])</f>
        <v>3.99</v>
      </c>
      <c r="J709" s="5">
        <f>PRODUCT(Sales[[#This Row],[Quantity Sold]],Sales[[#This Row],[Unit Selling Price (CAD)]])</f>
        <v>183.54000000000002</v>
      </c>
    </row>
    <row r="710" spans="1:10">
      <c r="A710" t="s">
        <v>1158</v>
      </c>
      <c r="B710" s="2">
        <v>46114</v>
      </c>
      <c r="C710" t="s">
        <v>193</v>
      </c>
      <c r="D710" t="s">
        <v>194</v>
      </c>
      <c r="E710" t="str">
        <f>_xlfn.XLOOKUP(Sales[[#This Row],[Product Name]],Products[Product Name],Products[Category])</f>
        <v>Sides</v>
      </c>
      <c r="F710" t="s">
        <v>449</v>
      </c>
      <c r="G710" t="s">
        <v>450</v>
      </c>
      <c r="H710">
        <v>37</v>
      </c>
      <c r="I710" s="5">
        <f>_xlfn.XLOOKUP(Sales[[#This Row],[Product Name]],Products[Product Name],Products[Selling Price (CAD)])</f>
        <v>4.99</v>
      </c>
      <c r="J710" s="5">
        <f>PRODUCT(Sales[[#This Row],[Quantity Sold]],Sales[[#This Row],[Unit Selling Price (CAD)]])</f>
        <v>184.63</v>
      </c>
    </row>
    <row r="711" spans="1:10">
      <c r="A711" t="s">
        <v>1159</v>
      </c>
      <c r="B711" s="2">
        <v>46114</v>
      </c>
      <c r="C711" t="s">
        <v>203</v>
      </c>
      <c r="D711" t="s">
        <v>204</v>
      </c>
      <c r="E711" t="str">
        <f>_xlfn.XLOOKUP(Sales[[#This Row],[Product Name]],Products[Product Name],Products[Category])</f>
        <v>Sides</v>
      </c>
      <c r="F711" t="s">
        <v>444</v>
      </c>
      <c r="G711" t="s">
        <v>452</v>
      </c>
      <c r="H711">
        <v>33</v>
      </c>
      <c r="I711" s="5">
        <f>_xlfn.XLOOKUP(Sales[[#This Row],[Product Name]],Products[Product Name],Products[Selling Price (CAD)])</f>
        <v>4.49</v>
      </c>
      <c r="J711" s="5">
        <f>PRODUCT(Sales[[#This Row],[Quantity Sold]],Sales[[#This Row],[Unit Selling Price (CAD)]])</f>
        <v>148.17000000000002</v>
      </c>
    </row>
    <row r="712" spans="1:10">
      <c r="A712" t="s">
        <v>1160</v>
      </c>
      <c r="B712" s="2">
        <v>46114</v>
      </c>
      <c r="C712" t="s">
        <v>398</v>
      </c>
      <c r="D712" t="s">
        <v>399</v>
      </c>
      <c r="E712" t="str">
        <f>_xlfn.XLOOKUP(Sales[[#This Row],[Product Name]],Products[Product Name],Products[Category])</f>
        <v>Sauces &amp; Add-ons</v>
      </c>
      <c r="F712" t="s">
        <v>447</v>
      </c>
      <c r="G712" t="s">
        <v>445</v>
      </c>
      <c r="H712">
        <v>35</v>
      </c>
      <c r="I712" s="5">
        <f>_xlfn.XLOOKUP(Sales[[#This Row],[Product Name]],Products[Product Name],Products[Selling Price (CAD)])</f>
        <v>0.75</v>
      </c>
      <c r="J712" s="5">
        <f>PRODUCT(Sales[[#This Row],[Quantity Sold]],Sales[[#This Row],[Unit Selling Price (CAD)]])</f>
        <v>26.25</v>
      </c>
    </row>
    <row r="713" spans="1:10">
      <c r="A713" t="s">
        <v>1161</v>
      </c>
      <c r="B713" s="2">
        <v>46114</v>
      </c>
      <c r="C713" t="s">
        <v>137</v>
      </c>
      <c r="D713" t="s">
        <v>138</v>
      </c>
      <c r="E713" t="str">
        <f>_xlfn.XLOOKUP(Sales[[#This Row],[Product Name]],Products[Product Name],Products[Category])</f>
        <v>Breakfast</v>
      </c>
      <c r="F713" t="s">
        <v>447</v>
      </c>
      <c r="G713" t="s">
        <v>445</v>
      </c>
      <c r="H713">
        <v>73</v>
      </c>
      <c r="I713" s="5">
        <f>_xlfn.XLOOKUP(Sales[[#This Row],[Product Name]],Products[Product Name],Products[Selling Price (CAD)])</f>
        <v>4.99</v>
      </c>
      <c r="J713" s="5">
        <f>PRODUCT(Sales[[#This Row],[Quantity Sold]],Sales[[#This Row],[Unit Selling Price (CAD)]])</f>
        <v>364.27000000000004</v>
      </c>
    </row>
    <row r="714" spans="1:10">
      <c r="A714" t="s">
        <v>1162</v>
      </c>
      <c r="B714" s="2">
        <v>46114</v>
      </c>
      <c r="C714" t="s">
        <v>315</v>
      </c>
      <c r="D714" t="s">
        <v>316</v>
      </c>
      <c r="E714" t="str">
        <f>_xlfn.XLOOKUP(Sales[[#This Row],[Product Name]],Products[Product Name],Products[Category])</f>
        <v>Beverages</v>
      </c>
      <c r="F714" t="s">
        <v>447</v>
      </c>
      <c r="G714" t="s">
        <v>445</v>
      </c>
      <c r="H714">
        <v>80</v>
      </c>
      <c r="I714" s="5">
        <f>_xlfn.XLOOKUP(Sales[[#This Row],[Product Name]],Products[Product Name],Products[Selling Price (CAD)])</f>
        <v>3.99</v>
      </c>
      <c r="J714" s="5">
        <f>PRODUCT(Sales[[#This Row],[Quantity Sold]],Sales[[#This Row],[Unit Selling Price (CAD)]])</f>
        <v>319.20000000000005</v>
      </c>
    </row>
    <row r="715" spans="1:10">
      <c r="A715" t="s">
        <v>1163</v>
      </c>
      <c r="B715" s="2">
        <v>46114</v>
      </c>
      <c r="C715" t="s">
        <v>34</v>
      </c>
      <c r="D715" t="s">
        <v>35</v>
      </c>
      <c r="E715" t="str">
        <f>_xlfn.XLOOKUP(Sales[[#This Row],[Product Name]],Products[Product Name],Products[Category])</f>
        <v>Burgers</v>
      </c>
      <c r="F715" t="s">
        <v>449</v>
      </c>
      <c r="G715" t="s">
        <v>452</v>
      </c>
      <c r="H715">
        <v>71</v>
      </c>
      <c r="I715" s="5">
        <f>_xlfn.XLOOKUP(Sales[[#This Row],[Product Name]],Products[Product Name],Products[Selling Price (CAD)])</f>
        <v>6.99</v>
      </c>
      <c r="J715" s="5">
        <f>PRODUCT(Sales[[#This Row],[Quantity Sold]],Sales[[#This Row],[Unit Selling Price (CAD)]])</f>
        <v>496.29</v>
      </c>
    </row>
    <row r="716" spans="1:10">
      <c r="A716" t="s">
        <v>1164</v>
      </c>
      <c r="B716" s="2">
        <v>46114</v>
      </c>
      <c r="C716" t="s">
        <v>175</v>
      </c>
      <c r="D716" t="s">
        <v>176</v>
      </c>
      <c r="E716" t="str">
        <f>_xlfn.XLOOKUP(Sales[[#This Row],[Product Name]],Products[Product Name],Products[Category])</f>
        <v>Breakfast</v>
      </c>
      <c r="F716" t="s">
        <v>449</v>
      </c>
      <c r="G716" t="s">
        <v>450</v>
      </c>
      <c r="H716">
        <v>51</v>
      </c>
      <c r="I716" s="5">
        <f>_xlfn.XLOOKUP(Sales[[#This Row],[Product Name]],Products[Product Name],Products[Selling Price (CAD)])</f>
        <v>6.99</v>
      </c>
      <c r="J716" s="5">
        <f>PRODUCT(Sales[[#This Row],[Quantity Sold]],Sales[[#This Row],[Unit Selling Price (CAD)]])</f>
        <v>356.49</v>
      </c>
    </row>
    <row r="717" spans="1:10">
      <c r="A717" t="s">
        <v>1165</v>
      </c>
      <c r="B717" s="2">
        <v>46114</v>
      </c>
      <c r="C717" t="s">
        <v>80</v>
      </c>
      <c r="D717" t="s">
        <v>81</v>
      </c>
      <c r="E717" t="str">
        <f>_xlfn.XLOOKUP(Sales[[#This Row],[Product Name]],Products[Product Name],Products[Category])</f>
        <v>Burgers</v>
      </c>
      <c r="F717" t="s">
        <v>444</v>
      </c>
      <c r="G717" t="s">
        <v>450</v>
      </c>
      <c r="H717">
        <v>70</v>
      </c>
      <c r="I717" s="5">
        <f>_xlfn.XLOOKUP(Sales[[#This Row],[Product Name]],Products[Product Name],Products[Selling Price (CAD)])</f>
        <v>2.99</v>
      </c>
      <c r="J717" s="5">
        <f>PRODUCT(Sales[[#This Row],[Quantity Sold]],Sales[[#This Row],[Unit Selling Price (CAD)]])</f>
        <v>209.3</v>
      </c>
    </row>
    <row r="718" spans="1:10">
      <c r="A718" t="s">
        <v>1166</v>
      </c>
      <c r="B718" s="2">
        <v>46115</v>
      </c>
      <c r="C718" t="s">
        <v>199</v>
      </c>
      <c r="D718" t="s">
        <v>200</v>
      </c>
      <c r="E718" t="str">
        <f>_xlfn.XLOOKUP(Sales[[#This Row],[Product Name]],Products[Product Name],Products[Category])</f>
        <v>Sides</v>
      </c>
      <c r="F718" t="s">
        <v>444</v>
      </c>
      <c r="G718" t="s">
        <v>450</v>
      </c>
      <c r="H718">
        <v>32</v>
      </c>
      <c r="I718" s="5">
        <f>_xlfn.XLOOKUP(Sales[[#This Row],[Product Name]],Products[Product Name],Products[Selling Price (CAD)])</f>
        <v>4.99</v>
      </c>
      <c r="J718" s="5">
        <f>PRODUCT(Sales[[#This Row],[Quantity Sold]],Sales[[#This Row],[Unit Selling Price (CAD)]])</f>
        <v>159.68</v>
      </c>
    </row>
    <row r="719" spans="1:10">
      <c r="A719" t="s">
        <v>1167</v>
      </c>
      <c r="B719" s="2">
        <v>46115</v>
      </c>
      <c r="C719" t="s">
        <v>307</v>
      </c>
      <c r="D719" t="s">
        <v>308</v>
      </c>
      <c r="E719" t="str">
        <f>_xlfn.XLOOKUP(Sales[[#This Row],[Product Name]],Products[Product Name],Products[Category])</f>
        <v>Beverages</v>
      </c>
      <c r="F719" t="s">
        <v>447</v>
      </c>
      <c r="G719" t="s">
        <v>445</v>
      </c>
      <c r="H719">
        <v>39</v>
      </c>
      <c r="I719" s="5">
        <f>_xlfn.XLOOKUP(Sales[[#This Row],[Product Name]],Products[Product Name],Products[Selling Price (CAD)])</f>
        <v>2.99</v>
      </c>
      <c r="J719" s="5">
        <f>PRODUCT(Sales[[#This Row],[Quantity Sold]],Sales[[#This Row],[Unit Selling Price (CAD)]])</f>
        <v>116.61000000000001</v>
      </c>
    </row>
    <row r="720" spans="1:10">
      <c r="A720" t="s">
        <v>1168</v>
      </c>
      <c r="B720" s="2">
        <v>46115</v>
      </c>
      <c r="C720" t="s">
        <v>36</v>
      </c>
      <c r="D720" t="s">
        <v>37</v>
      </c>
      <c r="E720" t="str">
        <f>_xlfn.XLOOKUP(Sales[[#This Row],[Product Name]],Products[Product Name],Products[Category])</f>
        <v>Burgers</v>
      </c>
      <c r="F720" t="s">
        <v>447</v>
      </c>
      <c r="G720" t="s">
        <v>450</v>
      </c>
      <c r="H720">
        <v>70</v>
      </c>
      <c r="I720" s="5">
        <f>_xlfn.XLOOKUP(Sales[[#This Row],[Product Name]],Products[Product Name],Products[Selling Price (CAD)])</f>
        <v>8.99</v>
      </c>
      <c r="J720" s="5">
        <f>PRODUCT(Sales[[#This Row],[Quantity Sold]],Sales[[#This Row],[Unit Selling Price (CAD)]])</f>
        <v>629.30000000000007</v>
      </c>
    </row>
    <row r="721" spans="1:10">
      <c r="A721" t="s">
        <v>1169</v>
      </c>
      <c r="B721" s="2">
        <v>46115</v>
      </c>
      <c r="C721" t="s">
        <v>58</v>
      </c>
      <c r="D721" t="s">
        <v>59</v>
      </c>
      <c r="E721" t="str">
        <f>_xlfn.XLOOKUP(Sales[[#This Row],[Product Name]],Products[Product Name],Products[Category])</f>
        <v>Burgers</v>
      </c>
      <c r="F721" t="s">
        <v>447</v>
      </c>
      <c r="G721" t="s">
        <v>450</v>
      </c>
      <c r="H721">
        <v>31</v>
      </c>
      <c r="I721" s="5">
        <f>_xlfn.XLOOKUP(Sales[[#This Row],[Product Name]],Products[Product Name],Products[Selling Price (CAD)])</f>
        <v>8.49</v>
      </c>
      <c r="J721" s="5">
        <f>PRODUCT(Sales[[#This Row],[Quantity Sold]],Sales[[#This Row],[Unit Selling Price (CAD)]])</f>
        <v>263.19</v>
      </c>
    </row>
    <row r="722" spans="1:10">
      <c r="A722" t="s">
        <v>1170</v>
      </c>
      <c r="B722" s="2">
        <v>46115</v>
      </c>
      <c r="C722" t="s">
        <v>56</v>
      </c>
      <c r="D722" t="s">
        <v>57</v>
      </c>
      <c r="E722" t="str">
        <f>_xlfn.XLOOKUP(Sales[[#This Row],[Product Name]],Products[Product Name],Products[Category])</f>
        <v>Burgers</v>
      </c>
      <c r="F722" t="s">
        <v>444</v>
      </c>
      <c r="G722" t="s">
        <v>452</v>
      </c>
      <c r="H722">
        <v>54</v>
      </c>
      <c r="I722" s="5">
        <f>_xlfn.XLOOKUP(Sales[[#This Row],[Product Name]],Products[Product Name],Products[Selling Price (CAD)])</f>
        <v>6.49</v>
      </c>
      <c r="J722" s="5">
        <f>PRODUCT(Sales[[#This Row],[Quantity Sold]],Sales[[#This Row],[Unit Selling Price (CAD)]])</f>
        <v>350.46000000000004</v>
      </c>
    </row>
    <row r="723" spans="1:10">
      <c r="A723" t="s">
        <v>1171</v>
      </c>
      <c r="B723" s="2">
        <v>46116</v>
      </c>
      <c r="C723" t="s">
        <v>48</v>
      </c>
      <c r="D723" t="s">
        <v>49</v>
      </c>
      <c r="E723" t="str">
        <f>_xlfn.XLOOKUP(Sales[[#This Row],[Product Name]],Products[Product Name],Products[Category])</f>
        <v>Burgers</v>
      </c>
      <c r="F723" t="s">
        <v>449</v>
      </c>
      <c r="G723" t="s">
        <v>454</v>
      </c>
      <c r="H723">
        <v>59</v>
      </c>
      <c r="I723" s="5">
        <f>_xlfn.XLOOKUP(Sales[[#This Row],[Product Name]],Products[Product Name],Products[Selling Price (CAD)])</f>
        <v>6.49</v>
      </c>
      <c r="J723" s="5">
        <f>PRODUCT(Sales[[#This Row],[Quantity Sold]],Sales[[#This Row],[Unit Selling Price (CAD)]])</f>
        <v>382.91</v>
      </c>
    </row>
    <row r="724" spans="1:10">
      <c r="A724" t="s">
        <v>1172</v>
      </c>
      <c r="B724" s="2">
        <v>46116</v>
      </c>
      <c r="C724" t="s">
        <v>325</v>
      </c>
      <c r="D724" t="s">
        <v>326</v>
      </c>
      <c r="E724" t="str">
        <f>_xlfn.XLOOKUP(Sales[[#This Row],[Product Name]],Products[Product Name],Products[Category])</f>
        <v>Desserts</v>
      </c>
      <c r="F724" t="s">
        <v>447</v>
      </c>
      <c r="G724" t="s">
        <v>450</v>
      </c>
      <c r="H724">
        <v>37</v>
      </c>
      <c r="I724" s="5">
        <f>_xlfn.XLOOKUP(Sales[[#This Row],[Product Name]],Products[Product Name],Products[Selling Price (CAD)])</f>
        <v>3.49</v>
      </c>
      <c r="J724" s="5">
        <f>PRODUCT(Sales[[#This Row],[Quantity Sold]],Sales[[#This Row],[Unit Selling Price (CAD)]])</f>
        <v>129.13</v>
      </c>
    </row>
    <row r="725" spans="1:10">
      <c r="A725" t="s">
        <v>1173</v>
      </c>
      <c r="B725" s="2">
        <v>46116</v>
      </c>
      <c r="C725" t="s">
        <v>72</v>
      </c>
      <c r="D725" t="s">
        <v>73</v>
      </c>
      <c r="E725" t="str">
        <f>_xlfn.XLOOKUP(Sales[[#This Row],[Product Name]],Products[Product Name],Products[Category])</f>
        <v>Burgers</v>
      </c>
      <c r="F725" t="s">
        <v>444</v>
      </c>
      <c r="G725" t="s">
        <v>450</v>
      </c>
      <c r="H725">
        <v>58</v>
      </c>
      <c r="I725" s="5">
        <f>_xlfn.XLOOKUP(Sales[[#This Row],[Product Name]],Products[Product Name],Products[Selling Price (CAD)])</f>
        <v>6.99</v>
      </c>
      <c r="J725" s="5">
        <f>PRODUCT(Sales[[#This Row],[Quantity Sold]],Sales[[#This Row],[Unit Selling Price (CAD)]])</f>
        <v>405.42</v>
      </c>
    </row>
    <row r="726" spans="1:10">
      <c r="A726" t="s">
        <v>1174</v>
      </c>
      <c r="B726" s="2">
        <v>46116</v>
      </c>
      <c r="C726" t="s">
        <v>355</v>
      </c>
      <c r="D726" t="s">
        <v>356</v>
      </c>
      <c r="E726" t="str">
        <f>_xlfn.XLOOKUP(Sales[[#This Row],[Product Name]],Products[Product Name],Products[Category])</f>
        <v>Desserts</v>
      </c>
      <c r="F726" t="s">
        <v>447</v>
      </c>
      <c r="G726" t="s">
        <v>452</v>
      </c>
      <c r="H726">
        <v>61</v>
      </c>
      <c r="I726" s="5">
        <f>_xlfn.XLOOKUP(Sales[[#This Row],[Product Name]],Products[Product Name],Products[Selling Price (CAD)])</f>
        <v>5.99</v>
      </c>
      <c r="J726" s="5">
        <f>PRODUCT(Sales[[#This Row],[Quantity Sold]],Sales[[#This Row],[Unit Selling Price (CAD)]])</f>
        <v>365.39</v>
      </c>
    </row>
    <row r="727" spans="1:10">
      <c r="A727" t="s">
        <v>1175</v>
      </c>
      <c r="B727" s="2">
        <v>46116</v>
      </c>
      <c r="C727" t="s">
        <v>58</v>
      </c>
      <c r="D727" t="s">
        <v>59</v>
      </c>
      <c r="E727" t="str">
        <f>_xlfn.XLOOKUP(Sales[[#This Row],[Product Name]],Products[Product Name],Products[Category])</f>
        <v>Burgers</v>
      </c>
      <c r="F727" t="s">
        <v>449</v>
      </c>
      <c r="G727" t="s">
        <v>450</v>
      </c>
      <c r="H727">
        <v>36</v>
      </c>
      <c r="I727" s="5">
        <f>_xlfn.XLOOKUP(Sales[[#This Row],[Product Name]],Products[Product Name],Products[Selling Price (CAD)])</f>
        <v>8.49</v>
      </c>
      <c r="J727" s="5">
        <f>PRODUCT(Sales[[#This Row],[Quantity Sold]],Sales[[#This Row],[Unit Selling Price (CAD)]])</f>
        <v>305.64</v>
      </c>
    </row>
    <row r="728" spans="1:10">
      <c r="A728" t="s">
        <v>1176</v>
      </c>
      <c r="B728" s="2">
        <v>46116</v>
      </c>
      <c r="C728" t="s">
        <v>219</v>
      </c>
      <c r="D728" t="s">
        <v>220</v>
      </c>
      <c r="E728" t="str">
        <f>_xlfn.XLOOKUP(Sales[[#This Row],[Product Name]],Products[Product Name],Products[Category])</f>
        <v>Sides</v>
      </c>
      <c r="F728" t="s">
        <v>449</v>
      </c>
      <c r="G728" t="s">
        <v>454</v>
      </c>
      <c r="H728">
        <v>40</v>
      </c>
      <c r="I728" s="5">
        <f>_xlfn.XLOOKUP(Sales[[#This Row],[Product Name]],Products[Product Name],Products[Selling Price (CAD)])</f>
        <v>3.49</v>
      </c>
      <c r="J728" s="5">
        <f>PRODUCT(Sales[[#This Row],[Quantity Sold]],Sales[[#This Row],[Unit Selling Price (CAD)]])</f>
        <v>139.60000000000002</v>
      </c>
    </row>
    <row r="729" spans="1:10">
      <c r="A729" t="s">
        <v>1177</v>
      </c>
      <c r="B729" s="2">
        <v>46116</v>
      </c>
      <c r="C729" t="s">
        <v>283</v>
      </c>
      <c r="D729" t="s">
        <v>284</v>
      </c>
      <c r="E729" t="str">
        <f>_xlfn.XLOOKUP(Sales[[#This Row],[Product Name]],Products[Product Name],Products[Category])</f>
        <v>Beverages</v>
      </c>
      <c r="F729" t="s">
        <v>447</v>
      </c>
      <c r="G729" t="s">
        <v>450</v>
      </c>
      <c r="H729">
        <v>64</v>
      </c>
      <c r="I729" s="5">
        <f>_xlfn.XLOOKUP(Sales[[#This Row],[Product Name]],Products[Product Name],Products[Selling Price (CAD)])</f>
        <v>2.99</v>
      </c>
      <c r="J729" s="5">
        <f>PRODUCT(Sales[[#This Row],[Quantity Sold]],Sales[[#This Row],[Unit Selling Price (CAD)]])</f>
        <v>191.36</v>
      </c>
    </row>
    <row r="730" spans="1:10">
      <c r="A730" t="s">
        <v>1178</v>
      </c>
      <c r="B730" s="2">
        <v>46116</v>
      </c>
      <c r="C730" t="s">
        <v>219</v>
      </c>
      <c r="D730" t="s">
        <v>220</v>
      </c>
      <c r="E730" t="str">
        <f>_xlfn.XLOOKUP(Sales[[#This Row],[Product Name]],Products[Product Name],Products[Category])</f>
        <v>Sides</v>
      </c>
      <c r="F730" t="s">
        <v>449</v>
      </c>
      <c r="G730" t="s">
        <v>450</v>
      </c>
      <c r="H730">
        <v>60</v>
      </c>
      <c r="I730" s="5">
        <f>_xlfn.XLOOKUP(Sales[[#This Row],[Product Name]],Products[Product Name],Products[Selling Price (CAD)])</f>
        <v>3.49</v>
      </c>
      <c r="J730" s="5">
        <f>PRODUCT(Sales[[#This Row],[Quantity Sold]],Sales[[#This Row],[Unit Selling Price (CAD)]])</f>
        <v>209.4</v>
      </c>
    </row>
    <row r="731" spans="1:10">
      <c r="A731" t="s">
        <v>1179</v>
      </c>
      <c r="B731" s="2">
        <v>46116</v>
      </c>
      <c r="C731" t="s">
        <v>76</v>
      </c>
      <c r="D731" t="s">
        <v>77</v>
      </c>
      <c r="E731" t="str">
        <f>_xlfn.XLOOKUP(Sales[[#This Row],[Product Name]],Products[Product Name],Products[Category])</f>
        <v>Burgers</v>
      </c>
      <c r="F731" t="s">
        <v>449</v>
      </c>
      <c r="G731" t="s">
        <v>452</v>
      </c>
      <c r="H731">
        <v>37</v>
      </c>
      <c r="I731" s="5">
        <f>_xlfn.XLOOKUP(Sales[[#This Row],[Product Name]],Products[Product Name],Products[Selling Price (CAD)])</f>
        <v>2.99</v>
      </c>
      <c r="J731" s="5">
        <f>PRODUCT(Sales[[#This Row],[Quantity Sold]],Sales[[#This Row],[Unit Selling Price (CAD)]])</f>
        <v>110.63000000000001</v>
      </c>
    </row>
    <row r="732" spans="1:10">
      <c r="A732" t="s">
        <v>1180</v>
      </c>
      <c r="B732" s="2">
        <v>46116</v>
      </c>
      <c r="C732" t="s">
        <v>257</v>
      </c>
      <c r="D732" t="s">
        <v>258</v>
      </c>
      <c r="E732" t="str">
        <f>_xlfn.XLOOKUP(Sales[[#This Row],[Product Name]],Products[Product Name],Products[Category])</f>
        <v>Beverages</v>
      </c>
      <c r="F732" t="s">
        <v>449</v>
      </c>
      <c r="G732" t="s">
        <v>450</v>
      </c>
      <c r="H732">
        <v>45</v>
      </c>
      <c r="I732" s="5">
        <f>_xlfn.XLOOKUP(Sales[[#This Row],[Product Name]],Products[Product Name],Products[Selling Price (CAD)])</f>
        <v>2.99</v>
      </c>
      <c r="J732" s="5">
        <f>PRODUCT(Sales[[#This Row],[Quantity Sold]],Sales[[#This Row],[Unit Selling Price (CAD)]])</f>
        <v>134.55000000000001</v>
      </c>
    </row>
    <row r="733" spans="1:10">
      <c r="A733" t="s">
        <v>1181</v>
      </c>
      <c r="B733" s="2">
        <v>46117</v>
      </c>
      <c r="C733" t="s">
        <v>299</v>
      </c>
      <c r="D733" t="s">
        <v>300</v>
      </c>
      <c r="E733" t="str">
        <f>_xlfn.XLOOKUP(Sales[[#This Row],[Product Name]],Products[Product Name],Products[Category])</f>
        <v>Beverages</v>
      </c>
      <c r="F733" t="s">
        <v>447</v>
      </c>
      <c r="G733" t="s">
        <v>450</v>
      </c>
      <c r="H733">
        <v>40</v>
      </c>
      <c r="I733" s="5">
        <f>_xlfn.XLOOKUP(Sales[[#This Row],[Product Name]],Products[Product Name],Products[Selling Price (CAD)])</f>
        <v>2.4900000000000002</v>
      </c>
      <c r="J733" s="5">
        <f>PRODUCT(Sales[[#This Row],[Quantity Sold]],Sales[[#This Row],[Unit Selling Price (CAD)]])</f>
        <v>99.600000000000009</v>
      </c>
    </row>
    <row r="734" spans="1:10">
      <c r="A734" t="s">
        <v>1182</v>
      </c>
      <c r="B734" s="2">
        <v>46117</v>
      </c>
      <c r="C734" t="s">
        <v>203</v>
      </c>
      <c r="D734" t="s">
        <v>204</v>
      </c>
      <c r="E734" t="str">
        <f>_xlfn.XLOOKUP(Sales[[#This Row],[Product Name]],Products[Product Name],Products[Category])</f>
        <v>Sides</v>
      </c>
      <c r="F734" t="s">
        <v>447</v>
      </c>
      <c r="G734" t="s">
        <v>454</v>
      </c>
      <c r="H734">
        <v>69</v>
      </c>
      <c r="I734" s="5">
        <f>_xlfn.XLOOKUP(Sales[[#This Row],[Product Name]],Products[Product Name],Products[Selling Price (CAD)])</f>
        <v>4.49</v>
      </c>
      <c r="J734" s="5">
        <f>PRODUCT(Sales[[#This Row],[Quantity Sold]],Sales[[#This Row],[Unit Selling Price (CAD)]])</f>
        <v>309.81</v>
      </c>
    </row>
    <row r="735" spans="1:10">
      <c r="A735" t="s">
        <v>1183</v>
      </c>
      <c r="B735" s="2">
        <v>46117</v>
      </c>
      <c r="C735" t="s">
        <v>291</v>
      </c>
      <c r="D735" t="s">
        <v>292</v>
      </c>
      <c r="E735" t="str">
        <f>_xlfn.XLOOKUP(Sales[[#This Row],[Product Name]],Products[Product Name],Products[Category])</f>
        <v>Beverages</v>
      </c>
      <c r="F735" t="s">
        <v>447</v>
      </c>
      <c r="G735" t="s">
        <v>450</v>
      </c>
      <c r="H735">
        <v>35</v>
      </c>
      <c r="I735" s="5">
        <f>_xlfn.XLOOKUP(Sales[[#This Row],[Product Name]],Products[Product Name],Products[Selling Price (CAD)])</f>
        <v>3.99</v>
      </c>
      <c r="J735" s="5">
        <f>PRODUCT(Sales[[#This Row],[Quantity Sold]],Sales[[#This Row],[Unit Selling Price (CAD)]])</f>
        <v>139.65</v>
      </c>
    </row>
    <row r="736" spans="1:10">
      <c r="A736" t="s">
        <v>1184</v>
      </c>
      <c r="B736" s="2">
        <v>46117</v>
      </c>
      <c r="C736" t="s">
        <v>400</v>
      </c>
      <c r="D736" t="s">
        <v>401</v>
      </c>
      <c r="E736" t="str">
        <f>_xlfn.XLOOKUP(Sales[[#This Row],[Product Name]],Products[Product Name],Products[Category])</f>
        <v>Sauces &amp; Add-ons</v>
      </c>
      <c r="F736" t="s">
        <v>444</v>
      </c>
      <c r="G736" t="s">
        <v>450</v>
      </c>
      <c r="H736">
        <v>48</v>
      </c>
      <c r="I736" s="5">
        <f>_xlfn.XLOOKUP(Sales[[#This Row],[Product Name]],Products[Product Name],Products[Selling Price (CAD)])</f>
        <v>1.25</v>
      </c>
      <c r="J736" s="5">
        <f>PRODUCT(Sales[[#This Row],[Quantity Sold]],Sales[[#This Row],[Unit Selling Price (CAD)]])</f>
        <v>60</v>
      </c>
    </row>
    <row r="737" spans="1:10">
      <c r="A737" t="s">
        <v>1185</v>
      </c>
      <c r="B737" s="2">
        <v>46117</v>
      </c>
      <c r="C737" t="s">
        <v>301</v>
      </c>
      <c r="D737" t="s">
        <v>302</v>
      </c>
      <c r="E737" t="str">
        <f>_xlfn.XLOOKUP(Sales[[#This Row],[Product Name]],Products[Product Name],Products[Category])</f>
        <v>Beverages</v>
      </c>
      <c r="F737" t="s">
        <v>444</v>
      </c>
      <c r="G737" t="s">
        <v>454</v>
      </c>
      <c r="H737">
        <v>46</v>
      </c>
      <c r="I737" s="5">
        <f>_xlfn.XLOOKUP(Sales[[#This Row],[Product Name]],Products[Product Name],Products[Selling Price (CAD)])</f>
        <v>1.99</v>
      </c>
      <c r="J737" s="5">
        <f>PRODUCT(Sales[[#This Row],[Quantity Sold]],Sales[[#This Row],[Unit Selling Price (CAD)]])</f>
        <v>91.54</v>
      </c>
    </row>
    <row r="738" spans="1:10">
      <c r="A738" t="s">
        <v>1186</v>
      </c>
      <c r="B738" s="2">
        <v>46117</v>
      </c>
      <c r="C738" t="s">
        <v>245</v>
      </c>
      <c r="D738" t="s">
        <v>246</v>
      </c>
      <c r="E738" t="str">
        <f>_xlfn.XLOOKUP(Sales[[#This Row],[Product Name]],Products[Product Name],Products[Category])</f>
        <v>Salads</v>
      </c>
      <c r="F738" t="s">
        <v>447</v>
      </c>
      <c r="G738" t="s">
        <v>450</v>
      </c>
      <c r="H738">
        <v>54</v>
      </c>
      <c r="I738" s="5">
        <f>_xlfn.XLOOKUP(Sales[[#This Row],[Product Name]],Products[Product Name],Products[Selling Price (CAD)])</f>
        <v>6.99</v>
      </c>
      <c r="J738" s="5">
        <f>PRODUCT(Sales[[#This Row],[Quantity Sold]],Sales[[#This Row],[Unit Selling Price (CAD)]])</f>
        <v>377.46000000000004</v>
      </c>
    </row>
    <row r="739" spans="1:10">
      <c r="A739" t="s">
        <v>1187</v>
      </c>
      <c r="B739" s="2">
        <v>46117</v>
      </c>
      <c r="C739" t="s">
        <v>129</v>
      </c>
      <c r="D739" t="s">
        <v>130</v>
      </c>
      <c r="E739" t="str">
        <f>_xlfn.XLOOKUP(Sales[[#This Row],[Product Name]],Products[Product Name],Products[Category])</f>
        <v>Chicken</v>
      </c>
      <c r="F739" t="s">
        <v>447</v>
      </c>
      <c r="G739" t="s">
        <v>454</v>
      </c>
      <c r="H739">
        <v>77</v>
      </c>
      <c r="I739" s="5">
        <f>_xlfn.XLOOKUP(Sales[[#This Row],[Product Name]],Products[Product Name],Products[Selling Price (CAD)])</f>
        <v>11.99</v>
      </c>
      <c r="J739" s="5">
        <f>PRODUCT(Sales[[#This Row],[Quantity Sold]],Sales[[#This Row],[Unit Selling Price (CAD)]])</f>
        <v>923.23</v>
      </c>
    </row>
    <row r="740" spans="1:10">
      <c r="A740" t="s">
        <v>1188</v>
      </c>
      <c r="B740" s="2">
        <v>46117</v>
      </c>
      <c r="C740" t="s">
        <v>303</v>
      </c>
      <c r="D740" t="s">
        <v>304</v>
      </c>
      <c r="E740" t="str">
        <f>_xlfn.XLOOKUP(Sales[[#This Row],[Product Name]],Products[Product Name],Products[Category])</f>
        <v>Beverages</v>
      </c>
      <c r="F740" t="s">
        <v>449</v>
      </c>
      <c r="G740" t="s">
        <v>450</v>
      </c>
      <c r="H740">
        <v>57</v>
      </c>
      <c r="I740" s="5">
        <f>_xlfn.XLOOKUP(Sales[[#This Row],[Product Name]],Products[Product Name],Products[Selling Price (CAD)])</f>
        <v>2.4900000000000002</v>
      </c>
      <c r="J740" s="5">
        <f>PRODUCT(Sales[[#This Row],[Quantity Sold]],Sales[[#This Row],[Unit Selling Price (CAD)]])</f>
        <v>141.93</v>
      </c>
    </row>
    <row r="741" spans="1:10">
      <c r="A741" t="s">
        <v>1189</v>
      </c>
      <c r="B741" s="2">
        <v>46117</v>
      </c>
      <c r="C741" t="s">
        <v>32</v>
      </c>
      <c r="D741" t="s">
        <v>33</v>
      </c>
      <c r="E741" t="str">
        <f>_xlfn.XLOOKUP(Sales[[#This Row],[Product Name]],Products[Product Name],Products[Category])</f>
        <v>Burgers</v>
      </c>
      <c r="F741" t="s">
        <v>449</v>
      </c>
      <c r="G741" t="s">
        <v>450</v>
      </c>
      <c r="H741">
        <v>73</v>
      </c>
      <c r="I741" s="5">
        <f>_xlfn.XLOOKUP(Sales[[#This Row],[Product Name]],Products[Product Name],Products[Selling Price (CAD)])</f>
        <v>9.99</v>
      </c>
      <c r="J741" s="5">
        <f>PRODUCT(Sales[[#This Row],[Quantity Sold]],Sales[[#This Row],[Unit Selling Price (CAD)]])</f>
        <v>729.27</v>
      </c>
    </row>
    <row r="742" spans="1:10">
      <c r="A742" t="s">
        <v>1190</v>
      </c>
      <c r="B742" s="2">
        <v>46117</v>
      </c>
      <c r="C742" t="s">
        <v>103</v>
      </c>
      <c r="D742" t="s">
        <v>104</v>
      </c>
      <c r="E742" t="str">
        <f>_xlfn.XLOOKUP(Sales[[#This Row],[Product Name]],Products[Product Name],Products[Category])</f>
        <v>Chicken</v>
      </c>
      <c r="F742" t="s">
        <v>447</v>
      </c>
      <c r="G742" t="s">
        <v>452</v>
      </c>
      <c r="H742">
        <v>41</v>
      </c>
      <c r="I742" s="5">
        <f>_xlfn.XLOOKUP(Sales[[#This Row],[Product Name]],Products[Product Name],Products[Selling Price (CAD)])</f>
        <v>7.99</v>
      </c>
      <c r="J742" s="5">
        <f>PRODUCT(Sales[[#This Row],[Quantity Sold]],Sales[[#This Row],[Unit Selling Price (CAD)]])</f>
        <v>327.59000000000003</v>
      </c>
    </row>
    <row r="743" spans="1:10">
      <c r="A743" t="s">
        <v>1191</v>
      </c>
      <c r="B743" s="2">
        <v>46118</v>
      </c>
      <c r="C743" t="s">
        <v>423</v>
      </c>
      <c r="D743" t="s">
        <v>424</v>
      </c>
      <c r="E743" t="str">
        <f>_xlfn.XLOOKUP(Sales[[#This Row],[Product Name]],Products[Product Name],Products[Category])</f>
        <v>Combo Meals</v>
      </c>
      <c r="F743" t="s">
        <v>444</v>
      </c>
      <c r="G743" t="s">
        <v>450</v>
      </c>
      <c r="H743">
        <v>61</v>
      </c>
      <c r="I743" s="5">
        <f>_xlfn.XLOOKUP(Sales[[#This Row],[Product Name]],Products[Product Name],Products[Selling Price (CAD)])</f>
        <v>12.99</v>
      </c>
      <c r="J743" s="5">
        <f>PRODUCT(Sales[[#This Row],[Quantity Sold]],Sales[[#This Row],[Unit Selling Price (CAD)]])</f>
        <v>792.39</v>
      </c>
    </row>
    <row r="744" spans="1:10">
      <c r="A744" t="s">
        <v>1192</v>
      </c>
      <c r="B744" s="2">
        <v>46118</v>
      </c>
      <c r="C744" t="s">
        <v>62</v>
      </c>
      <c r="D744" t="s">
        <v>63</v>
      </c>
      <c r="E744" t="str">
        <f>_xlfn.XLOOKUP(Sales[[#This Row],[Product Name]],Products[Product Name],Products[Category])</f>
        <v>Burgers</v>
      </c>
      <c r="F744" t="s">
        <v>444</v>
      </c>
      <c r="G744" t="s">
        <v>450</v>
      </c>
      <c r="H744">
        <v>40</v>
      </c>
      <c r="I744" s="5">
        <f>_xlfn.XLOOKUP(Sales[[#This Row],[Product Name]],Products[Product Name],Products[Selling Price (CAD)])</f>
        <v>8.99</v>
      </c>
      <c r="J744" s="5">
        <f>PRODUCT(Sales[[#This Row],[Quantity Sold]],Sales[[#This Row],[Unit Selling Price (CAD)]])</f>
        <v>359.6</v>
      </c>
    </row>
    <row r="745" spans="1:10">
      <c r="A745" t="s">
        <v>1193</v>
      </c>
      <c r="B745" s="2">
        <v>46118</v>
      </c>
      <c r="C745" t="s">
        <v>245</v>
      </c>
      <c r="D745" t="s">
        <v>246</v>
      </c>
      <c r="E745" t="str">
        <f>_xlfn.XLOOKUP(Sales[[#This Row],[Product Name]],Products[Product Name],Products[Category])</f>
        <v>Salads</v>
      </c>
      <c r="F745" t="s">
        <v>444</v>
      </c>
      <c r="G745" t="s">
        <v>450</v>
      </c>
      <c r="H745">
        <v>69</v>
      </c>
      <c r="I745" s="5">
        <f>_xlfn.XLOOKUP(Sales[[#This Row],[Product Name]],Products[Product Name],Products[Selling Price (CAD)])</f>
        <v>6.99</v>
      </c>
      <c r="J745" s="5">
        <f>PRODUCT(Sales[[#This Row],[Quantity Sold]],Sales[[#This Row],[Unit Selling Price (CAD)]])</f>
        <v>482.31</v>
      </c>
    </row>
    <row r="746" spans="1:10">
      <c r="A746" t="s">
        <v>1194</v>
      </c>
      <c r="B746" s="2">
        <v>46118</v>
      </c>
      <c r="C746" t="s">
        <v>239</v>
      </c>
      <c r="D746" t="s">
        <v>240</v>
      </c>
      <c r="E746" t="str">
        <f>_xlfn.XLOOKUP(Sales[[#This Row],[Product Name]],Products[Product Name],Products[Category])</f>
        <v>Salads</v>
      </c>
      <c r="F746" t="s">
        <v>449</v>
      </c>
      <c r="G746" t="s">
        <v>450</v>
      </c>
      <c r="H746">
        <v>54</v>
      </c>
      <c r="I746" s="5">
        <f>_xlfn.XLOOKUP(Sales[[#This Row],[Product Name]],Products[Product Name],Products[Selling Price (CAD)])</f>
        <v>9.49</v>
      </c>
      <c r="J746" s="5">
        <f>PRODUCT(Sales[[#This Row],[Quantity Sold]],Sales[[#This Row],[Unit Selling Price (CAD)]])</f>
        <v>512.46</v>
      </c>
    </row>
    <row r="747" spans="1:10">
      <c r="A747" t="s">
        <v>1195</v>
      </c>
      <c r="B747" s="2">
        <v>46118</v>
      </c>
      <c r="C747" t="s">
        <v>275</v>
      </c>
      <c r="D747" t="s">
        <v>276</v>
      </c>
      <c r="E747" t="str">
        <f>_xlfn.XLOOKUP(Sales[[#This Row],[Product Name]],Products[Product Name],Products[Category])</f>
        <v>Beverages</v>
      </c>
      <c r="F747" t="s">
        <v>444</v>
      </c>
      <c r="G747" t="s">
        <v>454</v>
      </c>
      <c r="H747">
        <v>76</v>
      </c>
      <c r="I747" s="5">
        <f>_xlfn.XLOOKUP(Sales[[#This Row],[Product Name]],Products[Product Name],Products[Selling Price (CAD)])</f>
        <v>2.99</v>
      </c>
      <c r="J747" s="5">
        <f>PRODUCT(Sales[[#This Row],[Quantity Sold]],Sales[[#This Row],[Unit Selling Price (CAD)]])</f>
        <v>227.24</v>
      </c>
    </row>
    <row r="748" spans="1:10">
      <c r="A748" t="s">
        <v>1196</v>
      </c>
      <c r="B748" s="2">
        <v>46118</v>
      </c>
      <c r="C748" t="s">
        <v>62</v>
      </c>
      <c r="D748" t="s">
        <v>63</v>
      </c>
      <c r="E748" t="str">
        <f>_xlfn.XLOOKUP(Sales[[#This Row],[Product Name]],Products[Product Name],Products[Category])</f>
        <v>Burgers</v>
      </c>
      <c r="F748" t="s">
        <v>447</v>
      </c>
      <c r="G748" t="s">
        <v>450</v>
      </c>
      <c r="H748">
        <v>62</v>
      </c>
      <c r="I748" s="5">
        <f>_xlfn.XLOOKUP(Sales[[#This Row],[Product Name]],Products[Product Name],Products[Selling Price (CAD)])</f>
        <v>8.99</v>
      </c>
      <c r="J748" s="5">
        <f>PRODUCT(Sales[[#This Row],[Quantity Sold]],Sales[[#This Row],[Unit Selling Price (CAD)]])</f>
        <v>557.38</v>
      </c>
    </row>
    <row r="749" spans="1:10">
      <c r="A749" t="s">
        <v>1197</v>
      </c>
      <c r="B749" s="2">
        <v>46118</v>
      </c>
      <c r="C749" t="s">
        <v>60</v>
      </c>
      <c r="D749" t="s">
        <v>61</v>
      </c>
      <c r="E749" t="str">
        <f>_xlfn.XLOOKUP(Sales[[#This Row],[Product Name]],Products[Product Name],Products[Category])</f>
        <v>Burgers</v>
      </c>
      <c r="F749" t="s">
        <v>444</v>
      </c>
      <c r="G749" t="s">
        <v>452</v>
      </c>
      <c r="H749">
        <v>67</v>
      </c>
      <c r="I749" s="5">
        <f>_xlfn.XLOOKUP(Sales[[#This Row],[Product Name]],Products[Product Name],Products[Selling Price (CAD)])</f>
        <v>6.99</v>
      </c>
      <c r="J749" s="5">
        <f>PRODUCT(Sales[[#This Row],[Quantity Sold]],Sales[[#This Row],[Unit Selling Price (CAD)]])</f>
        <v>468.33000000000004</v>
      </c>
    </row>
    <row r="750" spans="1:10">
      <c r="A750" t="s">
        <v>1198</v>
      </c>
      <c r="B750" s="2">
        <v>46118</v>
      </c>
      <c r="C750" t="s">
        <v>281</v>
      </c>
      <c r="D750" t="s">
        <v>282</v>
      </c>
      <c r="E750" t="str">
        <f>_xlfn.XLOOKUP(Sales[[#This Row],[Product Name]],Products[Product Name],Products[Category])</f>
        <v>Beverages</v>
      </c>
      <c r="F750" t="s">
        <v>449</v>
      </c>
      <c r="G750" t="s">
        <v>452</v>
      </c>
      <c r="H750">
        <v>44</v>
      </c>
      <c r="I750" s="5">
        <f>_xlfn.XLOOKUP(Sales[[#This Row],[Product Name]],Products[Product Name],Products[Selling Price (CAD)])</f>
        <v>2.99</v>
      </c>
      <c r="J750" s="5">
        <f>PRODUCT(Sales[[#This Row],[Quantity Sold]],Sales[[#This Row],[Unit Selling Price (CAD)]])</f>
        <v>131.56</v>
      </c>
    </row>
    <row r="751" spans="1:10">
      <c r="A751" t="s">
        <v>1199</v>
      </c>
      <c r="B751" s="2">
        <v>46118</v>
      </c>
      <c r="C751" t="s">
        <v>297</v>
      </c>
      <c r="D751" t="s">
        <v>298</v>
      </c>
      <c r="E751" t="str">
        <f>_xlfn.XLOOKUP(Sales[[#This Row],[Product Name]],Products[Product Name],Products[Category])</f>
        <v>Beverages</v>
      </c>
      <c r="F751" t="s">
        <v>447</v>
      </c>
      <c r="G751" t="s">
        <v>452</v>
      </c>
      <c r="H751">
        <v>39</v>
      </c>
      <c r="I751" s="5">
        <f>_xlfn.XLOOKUP(Sales[[#This Row],[Product Name]],Products[Product Name],Products[Selling Price (CAD)])</f>
        <v>2.99</v>
      </c>
      <c r="J751" s="5">
        <f>PRODUCT(Sales[[#This Row],[Quantity Sold]],Sales[[#This Row],[Unit Selling Price (CAD)]])</f>
        <v>116.61000000000001</v>
      </c>
    </row>
    <row r="752" spans="1:10">
      <c r="A752" t="s">
        <v>1200</v>
      </c>
      <c r="B752" s="2">
        <v>46118</v>
      </c>
      <c r="C752" t="s">
        <v>101</v>
      </c>
      <c r="D752" t="s">
        <v>102</v>
      </c>
      <c r="E752" t="str">
        <f>_xlfn.XLOOKUP(Sales[[#This Row],[Product Name]],Products[Product Name],Products[Category])</f>
        <v>Chicken</v>
      </c>
      <c r="F752" t="s">
        <v>444</v>
      </c>
      <c r="G752" t="s">
        <v>445</v>
      </c>
      <c r="H752">
        <v>79</v>
      </c>
      <c r="I752" s="5">
        <f>_xlfn.XLOOKUP(Sales[[#This Row],[Product Name]],Products[Product Name],Products[Selling Price (CAD)])</f>
        <v>7.99</v>
      </c>
      <c r="J752" s="5">
        <f>PRODUCT(Sales[[#This Row],[Quantity Sold]],Sales[[#This Row],[Unit Selling Price (CAD)]])</f>
        <v>631.21</v>
      </c>
    </row>
    <row r="753" spans="1:10">
      <c r="A753" t="s">
        <v>1201</v>
      </c>
      <c r="B753" s="2">
        <v>46118</v>
      </c>
      <c r="C753" t="s">
        <v>21</v>
      </c>
      <c r="D753" t="s">
        <v>22</v>
      </c>
      <c r="E753" t="str">
        <f>_xlfn.XLOOKUP(Sales[[#This Row],[Product Name]],Products[Product Name],Products[Category])</f>
        <v>Burgers</v>
      </c>
      <c r="F753" t="s">
        <v>447</v>
      </c>
      <c r="G753" t="s">
        <v>454</v>
      </c>
      <c r="H753">
        <v>70</v>
      </c>
      <c r="I753" s="5">
        <f>_xlfn.XLOOKUP(Sales[[#This Row],[Product Name]],Products[Product Name],Products[Selling Price (CAD)])</f>
        <v>9.99</v>
      </c>
      <c r="J753" s="5">
        <f>PRODUCT(Sales[[#This Row],[Quantity Sold]],Sales[[#This Row],[Unit Selling Price (CAD)]])</f>
        <v>699.30000000000007</v>
      </c>
    </row>
    <row r="754" spans="1:10">
      <c r="A754" t="s">
        <v>1202</v>
      </c>
      <c r="B754" s="2">
        <v>46118</v>
      </c>
      <c r="C754" t="s">
        <v>273</v>
      </c>
      <c r="D754" t="s">
        <v>274</v>
      </c>
      <c r="E754" t="str">
        <f>_xlfn.XLOOKUP(Sales[[#This Row],[Product Name]],Products[Product Name],Products[Category])</f>
        <v>Beverages</v>
      </c>
      <c r="F754" t="s">
        <v>447</v>
      </c>
      <c r="G754" t="s">
        <v>454</v>
      </c>
      <c r="H754">
        <v>33</v>
      </c>
      <c r="I754" s="5">
        <f>_xlfn.XLOOKUP(Sales[[#This Row],[Product Name]],Products[Product Name],Products[Selling Price (CAD)])</f>
        <v>2.99</v>
      </c>
      <c r="J754" s="5">
        <f>PRODUCT(Sales[[#This Row],[Quantity Sold]],Sales[[#This Row],[Unit Selling Price (CAD)]])</f>
        <v>98.67</v>
      </c>
    </row>
    <row r="755" spans="1:10">
      <c r="A755" t="s">
        <v>1203</v>
      </c>
      <c r="B755" s="2">
        <v>46119</v>
      </c>
      <c r="C755" t="s">
        <v>313</v>
      </c>
      <c r="D755" t="s">
        <v>314</v>
      </c>
      <c r="E755" t="str">
        <f>_xlfn.XLOOKUP(Sales[[#This Row],[Product Name]],Products[Product Name],Products[Category])</f>
        <v>Beverages</v>
      </c>
      <c r="F755" t="s">
        <v>444</v>
      </c>
      <c r="G755" t="s">
        <v>454</v>
      </c>
      <c r="H755">
        <v>74</v>
      </c>
      <c r="I755" s="5">
        <f>_xlfn.XLOOKUP(Sales[[#This Row],[Product Name]],Products[Product Name],Products[Selling Price (CAD)])</f>
        <v>3.99</v>
      </c>
      <c r="J755" s="5">
        <f>PRODUCT(Sales[[#This Row],[Quantity Sold]],Sales[[#This Row],[Unit Selling Price (CAD)]])</f>
        <v>295.26</v>
      </c>
    </row>
    <row r="756" spans="1:10">
      <c r="A756" t="s">
        <v>1204</v>
      </c>
      <c r="B756" s="2">
        <v>46119</v>
      </c>
      <c r="C756" t="s">
        <v>129</v>
      </c>
      <c r="D756" t="s">
        <v>130</v>
      </c>
      <c r="E756" t="str">
        <f>_xlfn.XLOOKUP(Sales[[#This Row],[Product Name]],Products[Product Name],Products[Category])</f>
        <v>Chicken</v>
      </c>
      <c r="F756" t="s">
        <v>447</v>
      </c>
      <c r="G756" t="s">
        <v>450</v>
      </c>
      <c r="H756">
        <v>43</v>
      </c>
      <c r="I756" s="5">
        <f>_xlfn.XLOOKUP(Sales[[#This Row],[Product Name]],Products[Product Name],Products[Selling Price (CAD)])</f>
        <v>11.99</v>
      </c>
      <c r="J756" s="5">
        <f>PRODUCT(Sales[[#This Row],[Quantity Sold]],Sales[[#This Row],[Unit Selling Price (CAD)]])</f>
        <v>515.57000000000005</v>
      </c>
    </row>
    <row r="757" spans="1:10">
      <c r="A757" t="s">
        <v>1205</v>
      </c>
      <c r="B757" s="2">
        <v>46119</v>
      </c>
      <c r="C757" t="s">
        <v>253</v>
      </c>
      <c r="D757" t="s">
        <v>254</v>
      </c>
      <c r="E757" t="str">
        <f>_xlfn.XLOOKUP(Sales[[#This Row],[Product Name]],Products[Product Name],Products[Category])</f>
        <v>Beverages</v>
      </c>
      <c r="F757" t="s">
        <v>444</v>
      </c>
      <c r="G757" t="s">
        <v>452</v>
      </c>
      <c r="H757">
        <v>59</v>
      </c>
      <c r="I757" s="5">
        <f>_xlfn.XLOOKUP(Sales[[#This Row],[Product Name]],Products[Product Name],Products[Selling Price (CAD)])</f>
        <v>1.99</v>
      </c>
      <c r="J757" s="5">
        <f>PRODUCT(Sales[[#This Row],[Quantity Sold]],Sales[[#This Row],[Unit Selling Price (CAD)]])</f>
        <v>117.41</v>
      </c>
    </row>
    <row r="758" spans="1:10">
      <c r="A758" t="s">
        <v>1206</v>
      </c>
      <c r="B758" s="2">
        <v>46119</v>
      </c>
      <c r="C758" t="s">
        <v>283</v>
      </c>
      <c r="D758" t="s">
        <v>284</v>
      </c>
      <c r="E758" t="str">
        <f>_xlfn.XLOOKUP(Sales[[#This Row],[Product Name]],Products[Product Name],Products[Category])</f>
        <v>Beverages</v>
      </c>
      <c r="F758" t="s">
        <v>449</v>
      </c>
      <c r="G758" t="s">
        <v>454</v>
      </c>
      <c r="H758">
        <v>42</v>
      </c>
      <c r="I758" s="5">
        <f>_xlfn.XLOOKUP(Sales[[#This Row],[Product Name]],Products[Product Name],Products[Selling Price (CAD)])</f>
        <v>2.99</v>
      </c>
      <c r="J758" s="5">
        <f>PRODUCT(Sales[[#This Row],[Quantity Sold]],Sales[[#This Row],[Unit Selling Price (CAD)]])</f>
        <v>125.58000000000001</v>
      </c>
    </row>
    <row r="759" spans="1:10">
      <c r="A759" t="s">
        <v>1207</v>
      </c>
      <c r="B759" s="2">
        <v>46119</v>
      </c>
      <c r="C759" t="s">
        <v>147</v>
      </c>
      <c r="D759" t="s">
        <v>148</v>
      </c>
      <c r="E759" t="str">
        <f>_xlfn.XLOOKUP(Sales[[#This Row],[Product Name]],Products[Product Name],Products[Category])</f>
        <v>Breakfast</v>
      </c>
      <c r="F759" t="s">
        <v>444</v>
      </c>
      <c r="G759" t="s">
        <v>450</v>
      </c>
      <c r="H759">
        <v>36</v>
      </c>
      <c r="I759" s="5">
        <f>_xlfn.XLOOKUP(Sales[[#This Row],[Product Name]],Products[Product Name],Products[Selling Price (CAD)])</f>
        <v>4.99</v>
      </c>
      <c r="J759" s="5">
        <f>PRODUCT(Sales[[#This Row],[Quantity Sold]],Sales[[#This Row],[Unit Selling Price (CAD)]])</f>
        <v>179.64000000000001</v>
      </c>
    </row>
    <row r="760" spans="1:10">
      <c r="A760" t="s">
        <v>1208</v>
      </c>
      <c r="B760" s="2">
        <v>46119</v>
      </c>
      <c r="C760" t="s">
        <v>341</v>
      </c>
      <c r="D760" t="s">
        <v>342</v>
      </c>
      <c r="E760" t="str">
        <f>_xlfn.XLOOKUP(Sales[[#This Row],[Product Name]],Products[Product Name],Products[Category])</f>
        <v>Desserts</v>
      </c>
      <c r="F760" t="s">
        <v>449</v>
      </c>
      <c r="G760" t="s">
        <v>454</v>
      </c>
      <c r="H760">
        <v>50</v>
      </c>
      <c r="I760" s="5">
        <f>_xlfn.XLOOKUP(Sales[[#This Row],[Product Name]],Products[Product Name],Products[Selling Price (CAD)])</f>
        <v>1.49</v>
      </c>
      <c r="J760" s="5">
        <f>PRODUCT(Sales[[#This Row],[Quantity Sold]],Sales[[#This Row],[Unit Selling Price (CAD)]])</f>
        <v>74.5</v>
      </c>
    </row>
    <row r="761" spans="1:10">
      <c r="A761" t="s">
        <v>1209</v>
      </c>
      <c r="B761" s="2">
        <v>46119</v>
      </c>
      <c r="C761" t="s">
        <v>217</v>
      </c>
      <c r="D761" t="s">
        <v>218</v>
      </c>
      <c r="E761" t="str">
        <f>_xlfn.XLOOKUP(Sales[[#This Row],[Product Name]],Products[Product Name],Products[Category])</f>
        <v>Sides</v>
      </c>
      <c r="F761" t="s">
        <v>449</v>
      </c>
      <c r="G761" t="s">
        <v>450</v>
      </c>
      <c r="H761">
        <v>60</v>
      </c>
      <c r="I761" s="5">
        <f>_xlfn.XLOOKUP(Sales[[#This Row],[Product Name]],Products[Product Name],Products[Selling Price (CAD)])</f>
        <v>3.99</v>
      </c>
      <c r="J761" s="5">
        <f>PRODUCT(Sales[[#This Row],[Quantity Sold]],Sales[[#This Row],[Unit Selling Price (CAD)]])</f>
        <v>239.4</v>
      </c>
    </row>
    <row r="762" spans="1:10">
      <c r="A762" t="s">
        <v>1210</v>
      </c>
      <c r="B762" s="2">
        <v>46119</v>
      </c>
      <c r="C762" t="s">
        <v>291</v>
      </c>
      <c r="D762" t="s">
        <v>292</v>
      </c>
      <c r="E762" t="str">
        <f>_xlfn.XLOOKUP(Sales[[#This Row],[Product Name]],Products[Product Name],Products[Category])</f>
        <v>Beverages</v>
      </c>
      <c r="F762" t="s">
        <v>447</v>
      </c>
      <c r="G762" t="s">
        <v>450</v>
      </c>
      <c r="H762">
        <v>46</v>
      </c>
      <c r="I762" s="5">
        <f>_xlfn.XLOOKUP(Sales[[#This Row],[Product Name]],Products[Product Name],Products[Selling Price (CAD)])</f>
        <v>3.99</v>
      </c>
      <c r="J762" s="5">
        <f>PRODUCT(Sales[[#This Row],[Quantity Sold]],Sales[[#This Row],[Unit Selling Price (CAD)]])</f>
        <v>183.54000000000002</v>
      </c>
    </row>
    <row r="763" spans="1:10">
      <c r="A763" t="s">
        <v>1211</v>
      </c>
      <c r="B763" s="2">
        <v>46119</v>
      </c>
      <c r="C763" t="s">
        <v>107</v>
      </c>
      <c r="D763" t="s">
        <v>108</v>
      </c>
      <c r="E763" t="str">
        <f>_xlfn.XLOOKUP(Sales[[#This Row],[Product Name]],Products[Product Name],Products[Category])</f>
        <v>Chicken</v>
      </c>
      <c r="F763" t="s">
        <v>444</v>
      </c>
      <c r="G763" t="s">
        <v>450</v>
      </c>
      <c r="H763">
        <v>64</v>
      </c>
      <c r="I763" s="5">
        <f>_xlfn.XLOOKUP(Sales[[#This Row],[Product Name]],Products[Product Name],Products[Selling Price (CAD)])</f>
        <v>5.99</v>
      </c>
      <c r="J763" s="5">
        <f>PRODUCT(Sales[[#This Row],[Quantity Sold]],Sales[[#This Row],[Unit Selling Price (CAD)]])</f>
        <v>383.36</v>
      </c>
    </row>
    <row r="764" spans="1:10">
      <c r="A764" t="s">
        <v>1212</v>
      </c>
      <c r="B764" s="2">
        <v>46120</v>
      </c>
      <c r="C764" t="s">
        <v>42</v>
      </c>
      <c r="D764" t="s">
        <v>43</v>
      </c>
      <c r="E764" t="str">
        <f>_xlfn.XLOOKUP(Sales[[#This Row],[Product Name]],Products[Product Name],Products[Category])</f>
        <v>Burgers</v>
      </c>
      <c r="F764" t="s">
        <v>444</v>
      </c>
      <c r="G764" t="s">
        <v>452</v>
      </c>
      <c r="H764">
        <v>39</v>
      </c>
      <c r="I764" s="5">
        <f>_xlfn.XLOOKUP(Sales[[#This Row],[Product Name]],Products[Product Name],Products[Selling Price (CAD)])</f>
        <v>8.99</v>
      </c>
      <c r="J764" s="5">
        <f>PRODUCT(Sales[[#This Row],[Quantity Sold]],Sales[[#This Row],[Unit Selling Price (CAD)]])</f>
        <v>350.61</v>
      </c>
    </row>
    <row r="765" spans="1:10">
      <c r="A765" t="s">
        <v>1213</v>
      </c>
      <c r="B765" s="2">
        <v>46120</v>
      </c>
      <c r="C765" t="s">
        <v>12</v>
      </c>
      <c r="D765" t="s">
        <v>13</v>
      </c>
      <c r="E765" t="str">
        <f>_xlfn.XLOOKUP(Sales[[#This Row],[Product Name]],Products[Product Name],Products[Category])</f>
        <v>Burgers</v>
      </c>
      <c r="F765" t="s">
        <v>444</v>
      </c>
      <c r="G765" t="s">
        <v>454</v>
      </c>
      <c r="H765">
        <v>46</v>
      </c>
      <c r="I765" s="5">
        <f>_xlfn.XLOOKUP(Sales[[#This Row],[Product Name]],Products[Product Name],Products[Selling Price (CAD)])</f>
        <v>5.99</v>
      </c>
      <c r="J765" s="5">
        <f>PRODUCT(Sales[[#This Row],[Quantity Sold]],Sales[[#This Row],[Unit Selling Price (CAD)]])</f>
        <v>275.54000000000002</v>
      </c>
    </row>
    <row r="766" spans="1:10">
      <c r="A766" t="s">
        <v>1214</v>
      </c>
      <c r="B766" s="2">
        <v>46120</v>
      </c>
      <c r="C766" t="s">
        <v>423</v>
      </c>
      <c r="D766" t="s">
        <v>424</v>
      </c>
      <c r="E766" t="str">
        <f>_xlfn.XLOOKUP(Sales[[#This Row],[Product Name]],Products[Product Name],Products[Category])</f>
        <v>Combo Meals</v>
      </c>
      <c r="F766" t="s">
        <v>444</v>
      </c>
      <c r="G766" t="s">
        <v>454</v>
      </c>
      <c r="H766">
        <v>59</v>
      </c>
      <c r="I766" s="5">
        <f>_xlfn.XLOOKUP(Sales[[#This Row],[Product Name]],Products[Product Name],Products[Selling Price (CAD)])</f>
        <v>12.99</v>
      </c>
      <c r="J766" s="5">
        <f>PRODUCT(Sales[[#This Row],[Quantity Sold]],Sales[[#This Row],[Unit Selling Price (CAD)]])</f>
        <v>766.41</v>
      </c>
    </row>
    <row r="767" spans="1:10">
      <c r="A767" t="s">
        <v>1215</v>
      </c>
      <c r="B767" s="2">
        <v>46120</v>
      </c>
      <c r="C767" t="s">
        <v>72</v>
      </c>
      <c r="D767" t="s">
        <v>73</v>
      </c>
      <c r="E767" t="str">
        <f>_xlfn.XLOOKUP(Sales[[#This Row],[Product Name]],Products[Product Name],Products[Category])</f>
        <v>Burgers</v>
      </c>
      <c r="F767" t="s">
        <v>444</v>
      </c>
      <c r="G767" t="s">
        <v>445</v>
      </c>
      <c r="H767">
        <v>31</v>
      </c>
      <c r="I767" s="5">
        <f>_xlfn.XLOOKUP(Sales[[#This Row],[Product Name]],Products[Product Name],Products[Selling Price (CAD)])</f>
        <v>6.99</v>
      </c>
      <c r="J767" s="5">
        <f>PRODUCT(Sales[[#This Row],[Quantity Sold]],Sales[[#This Row],[Unit Selling Price (CAD)]])</f>
        <v>216.69</v>
      </c>
    </row>
    <row r="768" spans="1:10">
      <c r="A768" t="s">
        <v>1216</v>
      </c>
      <c r="B768" s="2">
        <v>46120</v>
      </c>
      <c r="C768" t="s">
        <v>201</v>
      </c>
      <c r="D768" t="s">
        <v>202</v>
      </c>
      <c r="E768" t="str">
        <f>_xlfn.XLOOKUP(Sales[[#This Row],[Product Name]],Products[Product Name],Products[Category])</f>
        <v>Sides</v>
      </c>
      <c r="F768" t="s">
        <v>444</v>
      </c>
      <c r="G768" t="s">
        <v>450</v>
      </c>
      <c r="H768">
        <v>80</v>
      </c>
      <c r="I768" s="5">
        <f>_xlfn.XLOOKUP(Sales[[#This Row],[Product Name]],Products[Product Name],Products[Selling Price (CAD)])</f>
        <v>3.99</v>
      </c>
      <c r="J768" s="5">
        <f>PRODUCT(Sales[[#This Row],[Quantity Sold]],Sales[[#This Row],[Unit Selling Price (CAD)]])</f>
        <v>319.20000000000005</v>
      </c>
    </row>
    <row r="769" spans="1:10">
      <c r="A769" t="s">
        <v>1217</v>
      </c>
      <c r="B769" s="2">
        <v>46120</v>
      </c>
      <c r="C769" t="s">
        <v>243</v>
      </c>
      <c r="D769" t="s">
        <v>244</v>
      </c>
      <c r="E769" t="str">
        <f>_xlfn.XLOOKUP(Sales[[#This Row],[Product Name]],Products[Product Name],Products[Category])</f>
        <v>Salads</v>
      </c>
      <c r="F769" t="s">
        <v>449</v>
      </c>
      <c r="G769" t="s">
        <v>450</v>
      </c>
      <c r="H769">
        <v>62</v>
      </c>
      <c r="I769" s="5">
        <f>_xlfn.XLOOKUP(Sales[[#This Row],[Product Name]],Products[Product Name],Products[Selling Price (CAD)])</f>
        <v>6.99</v>
      </c>
      <c r="J769" s="5">
        <f>PRODUCT(Sales[[#This Row],[Quantity Sold]],Sales[[#This Row],[Unit Selling Price (CAD)]])</f>
        <v>433.38</v>
      </c>
    </row>
    <row r="770" spans="1:10">
      <c r="A770" t="s">
        <v>1218</v>
      </c>
      <c r="B770" s="2">
        <v>46121</v>
      </c>
      <c r="C770" t="s">
        <v>315</v>
      </c>
      <c r="D770" t="s">
        <v>316</v>
      </c>
      <c r="E770" t="str">
        <f>_xlfn.XLOOKUP(Sales[[#This Row],[Product Name]],Products[Product Name],Products[Category])</f>
        <v>Beverages</v>
      </c>
      <c r="F770" t="s">
        <v>447</v>
      </c>
      <c r="G770" t="s">
        <v>450</v>
      </c>
      <c r="H770">
        <v>61</v>
      </c>
      <c r="I770" s="5">
        <f>_xlfn.XLOOKUP(Sales[[#This Row],[Product Name]],Products[Product Name],Products[Selling Price (CAD)])</f>
        <v>3.99</v>
      </c>
      <c r="J770" s="5">
        <f>PRODUCT(Sales[[#This Row],[Quantity Sold]],Sales[[#This Row],[Unit Selling Price (CAD)]])</f>
        <v>243.39000000000001</v>
      </c>
    </row>
    <row r="771" spans="1:10">
      <c r="A771" t="s">
        <v>1219</v>
      </c>
      <c r="B771" s="2">
        <v>46121</v>
      </c>
      <c r="C771" t="s">
        <v>305</v>
      </c>
      <c r="D771" t="s">
        <v>306</v>
      </c>
      <c r="E771" t="str">
        <f>_xlfn.XLOOKUP(Sales[[#This Row],[Product Name]],Products[Product Name],Products[Category])</f>
        <v>Beverages</v>
      </c>
      <c r="F771" t="s">
        <v>447</v>
      </c>
      <c r="G771" t="s">
        <v>450</v>
      </c>
      <c r="H771">
        <v>50</v>
      </c>
      <c r="I771" s="5">
        <f>_xlfn.XLOOKUP(Sales[[#This Row],[Product Name]],Products[Product Name],Products[Selling Price (CAD)])</f>
        <v>2.99</v>
      </c>
      <c r="J771" s="5">
        <f>PRODUCT(Sales[[#This Row],[Quantity Sold]],Sales[[#This Row],[Unit Selling Price (CAD)]])</f>
        <v>149.5</v>
      </c>
    </row>
    <row r="772" spans="1:10">
      <c r="A772" t="s">
        <v>1220</v>
      </c>
      <c r="B772" s="2">
        <v>46121</v>
      </c>
      <c r="C772" t="s">
        <v>169</v>
      </c>
      <c r="D772" t="s">
        <v>170</v>
      </c>
      <c r="E772" t="str">
        <f>_xlfn.XLOOKUP(Sales[[#This Row],[Product Name]],Products[Product Name],Products[Category])</f>
        <v>Breakfast</v>
      </c>
      <c r="F772" t="s">
        <v>447</v>
      </c>
      <c r="G772" t="s">
        <v>454</v>
      </c>
      <c r="H772">
        <v>45</v>
      </c>
      <c r="I772" s="5">
        <f>_xlfn.XLOOKUP(Sales[[#This Row],[Product Name]],Products[Product Name],Products[Selling Price (CAD)])</f>
        <v>2.99</v>
      </c>
      <c r="J772" s="5">
        <f>PRODUCT(Sales[[#This Row],[Quantity Sold]],Sales[[#This Row],[Unit Selling Price (CAD)]])</f>
        <v>134.55000000000001</v>
      </c>
    </row>
    <row r="773" spans="1:10">
      <c r="A773" t="s">
        <v>1221</v>
      </c>
      <c r="B773" s="2">
        <v>46121</v>
      </c>
      <c r="C773" t="s">
        <v>396</v>
      </c>
      <c r="D773" t="s">
        <v>397</v>
      </c>
      <c r="E773" t="str">
        <f>_xlfn.XLOOKUP(Sales[[#This Row],[Product Name]],Products[Product Name],Products[Category])</f>
        <v>Sauces &amp; Add-ons</v>
      </c>
      <c r="F773" t="s">
        <v>449</v>
      </c>
      <c r="G773" t="s">
        <v>445</v>
      </c>
      <c r="H773">
        <v>35</v>
      </c>
      <c r="I773" s="5">
        <f>_xlfn.XLOOKUP(Sales[[#This Row],[Product Name]],Products[Product Name],Products[Selling Price (CAD)])</f>
        <v>0.5</v>
      </c>
      <c r="J773" s="5">
        <f>PRODUCT(Sales[[#This Row],[Quantity Sold]],Sales[[#This Row],[Unit Selling Price (CAD)]])</f>
        <v>17.5</v>
      </c>
    </row>
    <row r="774" spans="1:10">
      <c r="A774" t="s">
        <v>1222</v>
      </c>
      <c r="B774" s="2">
        <v>46121</v>
      </c>
      <c r="C774" t="s">
        <v>50</v>
      </c>
      <c r="D774" t="s">
        <v>51</v>
      </c>
      <c r="E774" t="str">
        <f>_xlfn.XLOOKUP(Sales[[#This Row],[Product Name]],Products[Product Name],Products[Category])</f>
        <v>Burgers</v>
      </c>
      <c r="F774" t="s">
        <v>449</v>
      </c>
      <c r="G774" t="s">
        <v>452</v>
      </c>
      <c r="H774">
        <v>64</v>
      </c>
      <c r="I774" s="5">
        <f>_xlfn.XLOOKUP(Sales[[#This Row],[Product Name]],Products[Product Name],Products[Selling Price (CAD)])</f>
        <v>8.49</v>
      </c>
      <c r="J774" s="5">
        <f>PRODUCT(Sales[[#This Row],[Quantity Sold]],Sales[[#This Row],[Unit Selling Price (CAD)]])</f>
        <v>543.36</v>
      </c>
    </row>
    <row r="775" spans="1:10">
      <c r="A775" t="s">
        <v>1223</v>
      </c>
      <c r="B775" s="2">
        <v>46121</v>
      </c>
      <c r="C775" t="s">
        <v>171</v>
      </c>
      <c r="D775" t="s">
        <v>172</v>
      </c>
      <c r="E775" t="str">
        <f>_xlfn.XLOOKUP(Sales[[#This Row],[Product Name]],Products[Product Name],Products[Category])</f>
        <v>Breakfast</v>
      </c>
      <c r="F775" t="s">
        <v>449</v>
      </c>
      <c r="G775" t="s">
        <v>454</v>
      </c>
      <c r="H775">
        <v>50</v>
      </c>
      <c r="I775" s="5">
        <f>_xlfn.XLOOKUP(Sales[[#This Row],[Product Name]],Products[Product Name],Products[Selling Price (CAD)])</f>
        <v>3.99</v>
      </c>
      <c r="J775" s="5">
        <f>PRODUCT(Sales[[#This Row],[Quantity Sold]],Sales[[#This Row],[Unit Selling Price (CAD)]])</f>
        <v>199.5</v>
      </c>
    </row>
    <row r="776" spans="1:10">
      <c r="A776" t="s">
        <v>1224</v>
      </c>
      <c r="B776" s="2">
        <v>46121</v>
      </c>
      <c r="C776" t="s">
        <v>423</v>
      </c>
      <c r="D776" t="s">
        <v>424</v>
      </c>
      <c r="E776" t="str">
        <f>_xlfn.XLOOKUP(Sales[[#This Row],[Product Name]],Products[Product Name],Products[Category])</f>
        <v>Combo Meals</v>
      </c>
      <c r="F776" t="s">
        <v>449</v>
      </c>
      <c r="G776" t="s">
        <v>454</v>
      </c>
      <c r="H776">
        <v>49</v>
      </c>
      <c r="I776" s="5">
        <f>_xlfn.XLOOKUP(Sales[[#This Row],[Product Name]],Products[Product Name],Products[Selling Price (CAD)])</f>
        <v>12.99</v>
      </c>
      <c r="J776" s="5">
        <f>PRODUCT(Sales[[#This Row],[Quantity Sold]],Sales[[#This Row],[Unit Selling Price (CAD)]])</f>
        <v>636.51</v>
      </c>
    </row>
    <row r="777" spans="1:10">
      <c r="A777" t="s">
        <v>1225</v>
      </c>
      <c r="B777" s="2">
        <v>46122</v>
      </c>
      <c r="C777" t="s">
        <v>89</v>
      </c>
      <c r="D777" t="s">
        <v>90</v>
      </c>
      <c r="E777" t="str">
        <f>_xlfn.XLOOKUP(Sales[[#This Row],[Product Name]],Products[Product Name],Products[Category])</f>
        <v>Chicken</v>
      </c>
      <c r="F777" t="s">
        <v>444</v>
      </c>
      <c r="G777" t="s">
        <v>445</v>
      </c>
      <c r="H777">
        <v>61</v>
      </c>
      <c r="I777" s="5">
        <f>_xlfn.XLOOKUP(Sales[[#This Row],[Product Name]],Products[Product Name],Products[Selling Price (CAD)])</f>
        <v>7.49</v>
      </c>
      <c r="J777" s="5">
        <f>PRODUCT(Sales[[#This Row],[Quantity Sold]],Sales[[#This Row],[Unit Selling Price (CAD)]])</f>
        <v>456.89</v>
      </c>
    </row>
    <row r="778" spans="1:10">
      <c r="A778" t="s">
        <v>1226</v>
      </c>
      <c r="B778" s="2">
        <v>46122</v>
      </c>
      <c r="C778" t="s">
        <v>127</v>
      </c>
      <c r="D778" t="s">
        <v>128</v>
      </c>
      <c r="E778" t="str">
        <f>_xlfn.XLOOKUP(Sales[[#This Row],[Product Name]],Products[Product Name],Products[Category])</f>
        <v>Chicken</v>
      </c>
      <c r="F778" t="s">
        <v>444</v>
      </c>
      <c r="G778" t="s">
        <v>450</v>
      </c>
      <c r="H778">
        <v>39</v>
      </c>
      <c r="I778" s="5">
        <f>_xlfn.XLOOKUP(Sales[[#This Row],[Product Name]],Products[Product Name],Products[Selling Price (CAD)])</f>
        <v>6.99</v>
      </c>
      <c r="J778" s="5">
        <f>PRODUCT(Sales[[#This Row],[Quantity Sold]],Sales[[#This Row],[Unit Selling Price (CAD)]])</f>
        <v>272.61</v>
      </c>
    </row>
    <row r="779" spans="1:10">
      <c r="A779" t="s">
        <v>1227</v>
      </c>
      <c r="B779" s="2">
        <v>46122</v>
      </c>
      <c r="C779" t="s">
        <v>409</v>
      </c>
      <c r="D779" t="s">
        <v>410</v>
      </c>
      <c r="E779" t="str">
        <f>_xlfn.XLOOKUP(Sales[[#This Row],[Product Name]],Products[Product Name],Products[Category])</f>
        <v>Combo Meals</v>
      </c>
      <c r="F779" t="s">
        <v>449</v>
      </c>
      <c r="G779" t="s">
        <v>450</v>
      </c>
      <c r="H779">
        <v>67</v>
      </c>
      <c r="I779" s="5">
        <f>_xlfn.XLOOKUP(Sales[[#This Row],[Product Name]],Products[Product Name],Products[Selling Price (CAD)])</f>
        <v>11.99</v>
      </c>
      <c r="J779" s="5">
        <f>PRODUCT(Sales[[#This Row],[Quantity Sold]],Sales[[#This Row],[Unit Selling Price (CAD)]])</f>
        <v>803.33</v>
      </c>
    </row>
    <row r="780" spans="1:10">
      <c r="A780" t="s">
        <v>1228</v>
      </c>
      <c r="B780" s="2">
        <v>46122</v>
      </c>
      <c r="C780" t="s">
        <v>80</v>
      </c>
      <c r="D780" t="s">
        <v>81</v>
      </c>
      <c r="E780" t="str">
        <f>_xlfn.XLOOKUP(Sales[[#This Row],[Product Name]],Products[Product Name],Products[Category])</f>
        <v>Burgers</v>
      </c>
      <c r="F780" t="s">
        <v>447</v>
      </c>
      <c r="G780" t="s">
        <v>452</v>
      </c>
      <c r="H780">
        <v>50</v>
      </c>
      <c r="I780" s="5">
        <f>_xlfn.XLOOKUP(Sales[[#This Row],[Product Name]],Products[Product Name],Products[Selling Price (CAD)])</f>
        <v>2.99</v>
      </c>
      <c r="J780" s="5">
        <f>PRODUCT(Sales[[#This Row],[Quantity Sold]],Sales[[#This Row],[Unit Selling Price (CAD)]])</f>
        <v>149.5</v>
      </c>
    </row>
    <row r="781" spans="1:10">
      <c r="A781" t="s">
        <v>1229</v>
      </c>
      <c r="B781" s="2">
        <v>46122</v>
      </c>
      <c r="C781" t="s">
        <v>58</v>
      </c>
      <c r="D781" t="s">
        <v>59</v>
      </c>
      <c r="E781" t="str">
        <f>_xlfn.XLOOKUP(Sales[[#This Row],[Product Name]],Products[Product Name],Products[Category])</f>
        <v>Burgers</v>
      </c>
      <c r="F781" t="s">
        <v>444</v>
      </c>
      <c r="G781" t="s">
        <v>452</v>
      </c>
      <c r="H781">
        <v>67</v>
      </c>
      <c r="I781" s="5">
        <f>_xlfn.XLOOKUP(Sales[[#This Row],[Product Name]],Products[Product Name],Products[Selling Price (CAD)])</f>
        <v>8.49</v>
      </c>
      <c r="J781" s="5">
        <f>PRODUCT(Sales[[#This Row],[Quantity Sold]],Sales[[#This Row],[Unit Selling Price (CAD)]])</f>
        <v>568.83000000000004</v>
      </c>
    </row>
    <row r="782" spans="1:10">
      <c r="A782" t="s">
        <v>1230</v>
      </c>
      <c r="B782" s="2">
        <v>46122</v>
      </c>
      <c r="C782" t="s">
        <v>301</v>
      </c>
      <c r="D782" t="s">
        <v>302</v>
      </c>
      <c r="E782" t="str">
        <f>_xlfn.XLOOKUP(Sales[[#This Row],[Product Name]],Products[Product Name],Products[Category])</f>
        <v>Beverages</v>
      </c>
      <c r="F782" t="s">
        <v>447</v>
      </c>
      <c r="G782" t="s">
        <v>454</v>
      </c>
      <c r="H782">
        <v>43</v>
      </c>
      <c r="I782" s="5">
        <f>_xlfn.XLOOKUP(Sales[[#This Row],[Product Name]],Products[Product Name],Products[Selling Price (CAD)])</f>
        <v>1.99</v>
      </c>
      <c r="J782" s="5">
        <f>PRODUCT(Sales[[#This Row],[Quantity Sold]],Sales[[#This Row],[Unit Selling Price (CAD)]])</f>
        <v>85.57</v>
      </c>
    </row>
    <row r="783" spans="1:10">
      <c r="A783" t="s">
        <v>1231</v>
      </c>
      <c r="B783" s="2">
        <v>46123</v>
      </c>
      <c r="C783" t="s">
        <v>64</v>
      </c>
      <c r="D783" t="s">
        <v>65</v>
      </c>
      <c r="E783" t="str">
        <f>_xlfn.XLOOKUP(Sales[[#This Row],[Product Name]],Products[Product Name],Products[Category])</f>
        <v>Burgers</v>
      </c>
      <c r="F783" t="s">
        <v>449</v>
      </c>
      <c r="G783" t="s">
        <v>450</v>
      </c>
      <c r="H783">
        <v>33</v>
      </c>
      <c r="I783" s="5">
        <f>_xlfn.XLOOKUP(Sales[[#This Row],[Product Name]],Products[Product Name],Products[Selling Price (CAD)])</f>
        <v>6.49</v>
      </c>
      <c r="J783" s="5">
        <f>PRODUCT(Sales[[#This Row],[Quantity Sold]],Sales[[#This Row],[Unit Selling Price (CAD)]])</f>
        <v>214.17000000000002</v>
      </c>
    </row>
    <row r="784" spans="1:10">
      <c r="A784" t="s">
        <v>1232</v>
      </c>
      <c r="B784" s="2">
        <v>46123</v>
      </c>
      <c r="C784" t="s">
        <v>48</v>
      </c>
      <c r="D784" t="s">
        <v>49</v>
      </c>
      <c r="E784" t="str">
        <f>_xlfn.XLOOKUP(Sales[[#This Row],[Product Name]],Products[Product Name],Products[Category])</f>
        <v>Burgers</v>
      </c>
      <c r="F784" t="s">
        <v>444</v>
      </c>
      <c r="G784" t="s">
        <v>450</v>
      </c>
      <c r="H784">
        <v>47</v>
      </c>
      <c r="I784" s="5">
        <f>_xlfn.XLOOKUP(Sales[[#This Row],[Product Name]],Products[Product Name],Products[Selling Price (CAD)])</f>
        <v>6.49</v>
      </c>
      <c r="J784" s="5">
        <f>PRODUCT(Sales[[#This Row],[Quantity Sold]],Sales[[#This Row],[Unit Selling Price (CAD)]])</f>
        <v>305.03000000000003</v>
      </c>
    </row>
    <row r="785" spans="1:10">
      <c r="A785" t="s">
        <v>1233</v>
      </c>
      <c r="B785" s="2">
        <v>46123</v>
      </c>
      <c r="C785" t="s">
        <v>281</v>
      </c>
      <c r="D785" t="s">
        <v>282</v>
      </c>
      <c r="E785" t="str">
        <f>_xlfn.XLOOKUP(Sales[[#This Row],[Product Name]],Products[Product Name],Products[Category])</f>
        <v>Beverages</v>
      </c>
      <c r="F785" t="s">
        <v>447</v>
      </c>
      <c r="G785" t="s">
        <v>450</v>
      </c>
      <c r="H785">
        <v>31</v>
      </c>
      <c r="I785" s="5">
        <f>_xlfn.XLOOKUP(Sales[[#This Row],[Product Name]],Products[Product Name],Products[Selling Price (CAD)])</f>
        <v>2.99</v>
      </c>
      <c r="J785" s="5">
        <f>PRODUCT(Sales[[#This Row],[Quantity Sold]],Sales[[#This Row],[Unit Selling Price (CAD)]])</f>
        <v>92.690000000000012</v>
      </c>
    </row>
    <row r="786" spans="1:10">
      <c r="A786" t="s">
        <v>1234</v>
      </c>
      <c r="B786" s="2">
        <v>46123</v>
      </c>
      <c r="C786" t="s">
        <v>339</v>
      </c>
      <c r="D786" t="s">
        <v>340</v>
      </c>
      <c r="E786" t="str">
        <f>_xlfn.XLOOKUP(Sales[[#This Row],[Product Name]],Products[Product Name],Products[Category])</f>
        <v>Desserts</v>
      </c>
      <c r="F786" t="s">
        <v>447</v>
      </c>
      <c r="G786" t="s">
        <v>450</v>
      </c>
      <c r="H786">
        <v>63</v>
      </c>
      <c r="I786" s="5">
        <f>_xlfn.XLOOKUP(Sales[[#This Row],[Product Name]],Products[Product Name],Products[Selling Price (CAD)])</f>
        <v>1.49</v>
      </c>
      <c r="J786" s="5">
        <f>PRODUCT(Sales[[#This Row],[Quantity Sold]],Sales[[#This Row],[Unit Selling Price (CAD)]])</f>
        <v>93.87</v>
      </c>
    </row>
    <row r="787" spans="1:10">
      <c r="A787" t="s">
        <v>1235</v>
      </c>
      <c r="B787" s="2">
        <v>46123</v>
      </c>
      <c r="C787" t="s">
        <v>129</v>
      </c>
      <c r="D787" t="s">
        <v>130</v>
      </c>
      <c r="E787" t="str">
        <f>_xlfn.XLOOKUP(Sales[[#This Row],[Product Name]],Products[Product Name],Products[Category])</f>
        <v>Chicken</v>
      </c>
      <c r="F787" t="s">
        <v>449</v>
      </c>
      <c r="G787" t="s">
        <v>450</v>
      </c>
      <c r="H787">
        <v>80</v>
      </c>
      <c r="I787" s="5">
        <f>_xlfn.XLOOKUP(Sales[[#This Row],[Product Name]],Products[Product Name],Products[Selling Price (CAD)])</f>
        <v>11.99</v>
      </c>
      <c r="J787" s="5">
        <f>PRODUCT(Sales[[#This Row],[Quantity Sold]],Sales[[#This Row],[Unit Selling Price (CAD)]])</f>
        <v>959.2</v>
      </c>
    </row>
    <row r="788" spans="1:10">
      <c r="A788" t="s">
        <v>1236</v>
      </c>
      <c r="B788" s="2">
        <v>46123</v>
      </c>
      <c r="C788" t="s">
        <v>179</v>
      </c>
      <c r="D788" t="s">
        <v>180</v>
      </c>
      <c r="E788" t="str">
        <f>_xlfn.XLOOKUP(Sales[[#This Row],[Product Name]],Products[Product Name],Products[Category])</f>
        <v>Breakfast</v>
      </c>
      <c r="F788" t="s">
        <v>449</v>
      </c>
      <c r="G788" t="s">
        <v>454</v>
      </c>
      <c r="H788">
        <v>71</v>
      </c>
      <c r="I788" s="5">
        <f>_xlfn.XLOOKUP(Sales[[#This Row],[Product Name]],Products[Product Name],Products[Selling Price (CAD)])</f>
        <v>4.99</v>
      </c>
      <c r="J788" s="5">
        <f>PRODUCT(Sales[[#This Row],[Quantity Sold]],Sales[[#This Row],[Unit Selling Price (CAD)]])</f>
        <v>354.29</v>
      </c>
    </row>
    <row r="789" spans="1:10">
      <c r="A789" t="s">
        <v>1237</v>
      </c>
      <c r="B789" s="2">
        <v>46123</v>
      </c>
      <c r="C789" t="s">
        <v>305</v>
      </c>
      <c r="D789" t="s">
        <v>306</v>
      </c>
      <c r="E789" t="str">
        <f>_xlfn.XLOOKUP(Sales[[#This Row],[Product Name]],Products[Product Name],Products[Category])</f>
        <v>Beverages</v>
      </c>
      <c r="F789" t="s">
        <v>449</v>
      </c>
      <c r="G789" t="s">
        <v>454</v>
      </c>
      <c r="H789">
        <v>63</v>
      </c>
      <c r="I789" s="5">
        <f>_xlfn.XLOOKUP(Sales[[#This Row],[Product Name]],Products[Product Name],Products[Selling Price (CAD)])</f>
        <v>2.99</v>
      </c>
      <c r="J789" s="5">
        <f>PRODUCT(Sales[[#This Row],[Quantity Sold]],Sales[[#This Row],[Unit Selling Price (CAD)]])</f>
        <v>188.37</v>
      </c>
    </row>
    <row r="790" spans="1:10">
      <c r="A790" t="s">
        <v>1238</v>
      </c>
      <c r="B790" s="2">
        <v>46123</v>
      </c>
      <c r="C790" t="s">
        <v>46</v>
      </c>
      <c r="D790" t="s">
        <v>47</v>
      </c>
      <c r="E790" t="str">
        <f>_xlfn.XLOOKUP(Sales[[#This Row],[Product Name]],Products[Product Name],Products[Category])</f>
        <v>Burgers</v>
      </c>
      <c r="F790" t="s">
        <v>449</v>
      </c>
      <c r="G790" t="s">
        <v>454</v>
      </c>
      <c r="H790">
        <v>55</v>
      </c>
      <c r="I790" s="5">
        <f>_xlfn.XLOOKUP(Sales[[#This Row],[Product Name]],Products[Product Name],Products[Selling Price (CAD)])</f>
        <v>8.49</v>
      </c>
      <c r="J790" s="5">
        <f>PRODUCT(Sales[[#This Row],[Quantity Sold]],Sales[[#This Row],[Unit Selling Price (CAD)]])</f>
        <v>466.95</v>
      </c>
    </row>
    <row r="791" spans="1:10">
      <c r="A791" t="s">
        <v>1239</v>
      </c>
      <c r="B791" s="2">
        <v>46124</v>
      </c>
      <c r="C791" t="s">
        <v>151</v>
      </c>
      <c r="D791" t="s">
        <v>152</v>
      </c>
      <c r="E791" t="str">
        <f>_xlfn.XLOOKUP(Sales[[#This Row],[Product Name]],Products[Product Name],Products[Category])</f>
        <v>Breakfast</v>
      </c>
      <c r="F791" t="s">
        <v>444</v>
      </c>
      <c r="G791" t="s">
        <v>454</v>
      </c>
      <c r="H791">
        <v>71</v>
      </c>
      <c r="I791" s="5">
        <f>_xlfn.XLOOKUP(Sales[[#This Row],[Product Name]],Products[Product Name],Products[Selling Price (CAD)])</f>
        <v>5.99</v>
      </c>
      <c r="J791" s="5">
        <f>PRODUCT(Sales[[#This Row],[Quantity Sold]],Sales[[#This Row],[Unit Selling Price (CAD)]])</f>
        <v>425.29</v>
      </c>
    </row>
    <row r="792" spans="1:10">
      <c r="A792" t="s">
        <v>1240</v>
      </c>
      <c r="B792" s="2">
        <v>46124</v>
      </c>
      <c r="C792" t="s">
        <v>331</v>
      </c>
      <c r="D792" t="s">
        <v>332</v>
      </c>
      <c r="E792" t="str">
        <f>_xlfn.XLOOKUP(Sales[[#This Row],[Product Name]],Products[Product Name],Products[Category])</f>
        <v>Desserts</v>
      </c>
      <c r="F792" t="s">
        <v>449</v>
      </c>
      <c r="G792" t="s">
        <v>452</v>
      </c>
      <c r="H792">
        <v>43</v>
      </c>
      <c r="I792" s="5">
        <f>_xlfn.XLOOKUP(Sales[[#This Row],[Product Name]],Products[Product Name],Products[Selling Price (CAD)])</f>
        <v>3.49</v>
      </c>
      <c r="J792" s="5">
        <f>PRODUCT(Sales[[#This Row],[Quantity Sold]],Sales[[#This Row],[Unit Selling Price (CAD)]])</f>
        <v>150.07000000000002</v>
      </c>
    </row>
    <row r="793" spans="1:10">
      <c r="A793" t="s">
        <v>1241</v>
      </c>
      <c r="B793" s="2">
        <v>46124</v>
      </c>
      <c r="C793" t="s">
        <v>127</v>
      </c>
      <c r="D793" t="s">
        <v>128</v>
      </c>
      <c r="E793" t="str">
        <f>_xlfn.XLOOKUP(Sales[[#This Row],[Product Name]],Products[Product Name],Products[Category])</f>
        <v>Chicken</v>
      </c>
      <c r="F793" t="s">
        <v>444</v>
      </c>
      <c r="G793" t="s">
        <v>450</v>
      </c>
      <c r="H793">
        <v>31</v>
      </c>
      <c r="I793" s="5">
        <f>_xlfn.XLOOKUP(Sales[[#This Row],[Product Name]],Products[Product Name],Products[Selling Price (CAD)])</f>
        <v>6.99</v>
      </c>
      <c r="J793" s="5">
        <f>PRODUCT(Sales[[#This Row],[Quantity Sold]],Sales[[#This Row],[Unit Selling Price (CAD)]])</f>
        <v>216.69</v>
      </c>
    </row>
    <row r="794" spans="1:10">
      <c r="A794" t="s">
        <v>1242</v>
      </c>
      <c r="B794" s="2">
        <v>46124</v>
      </c>
      <c r="C794" t="s">
        <v>305</v>
      </c>
      <c r="D794" t="s">
        <v>306</v>
      </c>
      <c r="E794" t="str">
        <f>_xlfn.XLOOKUP(Sales[[#This Row],[Product Name]],Products[Product Name],Products[Category])</f>
        <v>Beverages</v>
      </c>
      <c r="F794" t="s">
        <v>449</v>
      </c>
      <c r="G794" t="s">
        <v>450</v>
      </c>
      <c r="H794">
        <v>66</v>
      </c>
      <c r="I794" s="5">
        <f>_xlfn.XLOOKUP(Sales[[#This Row],[Product Name]],Products[Product Name],Products[Selling Price (CAD)])</f>
        <v>2.99</v>
      </c>
      <c r="J794" s="5">
        <f>PRODUCT(Sales[[#This Row],[Quantity Sold]],Sales[[#This Row],[Unit Selling Price (CAD)]])</f>
        <v>197.34</v>
      </c>
    </row>
    <row r="795" spans="1:10">
      <c r="A795" t="s">
        <v>1243</v>
      </c>
      <c r="B795" s="2">
        <v>46124</v>
      </c>
      <c r="C795" t="s">
        <v>295</v>
      </c>
      <c r="D795" t="s">
        <v>296</v>
      </c>
      <c r="E795" t="str">
        <f>_xlfn.XLOOKUP(Sales[[#This Row],[Product Name]],Products[Product Name],Products[Category])</f>
        <v>Beverages</v>
      </c>
      <c r="F795" t="s">
        <v>447</v>
      </c>
      <c r="G795" t="s">
        <v>454</v>
      </c>
      <c r="H795">
        <v>49</v>
      </c>
      <c r="I795" s="5">
        <f>_xlfn.XLOOKUP(Sales[[#This Row],[Product Name]],Products[Product Name],Products[Selling Price (CAD)])</f>
        <v>2.99</v>
      </c>
      <c r="J795" s="5">
        <f>PRODUCT(Sales[[#This Row],[Quantity Sold]],Sales[[#This Row],[Unit Selling Price (CAD)]])</f>
        <v>146.51000000000002</v>
      </c>
    </row>
    <row r="796" spans="1:10">
      <c r="A796" t="s">
        <v>1244</v>
      </c>
      <c r="B796" s="2">
        <v>46124</v>
      </c>
      <c r="C796" t="s">
        <v>72</v>
      </c>
      <c r="D796" t="s">
        <v>73</v>
      </c>
      <c r="E796" t="str">
        <f>_xlfn.XLOOKUP(Sales[[#This Row],[Product Name]],Products[Product Name],Products[Category])</f>
        <v>Burgers</v>
      </c>
      <c r="F796" t="s">
        <v>444</v>
      </c>
      <c r="G796" t="s">
        <v>454</v>
      </c>
      <c r="H796">
        <v>50</v>
      </c>
      <c r="I796" s="5">
        <f>_xlfn.XLOOKUP(Sales[[#This Row],[Product Name]],Products[Product Name],Products[Selling Price (CAD)])</f>
        <v>6.99</v>
      </c>
      <c r="J796" s="5">
        <f>PRODUCT(Sales[[#This Row],[Quantity Sold]],Sales[[#This Row],[Unit Selling Price (CAD)]])</f>
        <v>349.5</v>
      </c>
    </row>
    <row r="797" spans="1:10">
      <c r="A797" t="s">
        <v>1245</v>
      </c>
      <c r="B797" s="2">
        <v>46124</v>
      </c>
      <c r="C797" t="s">
        <v>277</v>
      </c>
      <c r="D797" t="s">
        <v>278</v>
      </c>
      <c r="E797" t="str">
        <f>_xlfn.XLOOKUP(Sales[[#This Row],[Product Name]],Products[Product Name],Products[Category])</f>
        <v>Beverages</v>
      </c>
      <c r="F797" t="s">
        <v>447</v>
      </c>
      <c r="G797" t="s">
        <v>450</v>
      </c>
      <c r="H797">
        <v>64</v>
      </c>
      <c r="I797" s="5">
        <f>_xlfn.XLOOKUP(Sales[[#This Row],[Product Name]],Products[Product Name],Products[Selling Price (CAD)])</f>
        <v>1.99</v>
      </c>
      <c r="J797" s="5">
        <f>PRODUCT(Sales[[#This Row],[Quantity Sold]],Sales[[#This Row],[Unit Selling Price (CAD)]])</f>
        <v>127.36</v>
      </c>
    </row>
    <row r="798" spans="1:10">
      <c r="A798" t="s">
        <v>1246</v>
      </c>
      <c r="B798" s="2">
        <v>46124</v>
      </c>
      <c r="C798" t="s">
        <v>151</v>
      </c>
      <c r="D798" t="s">
        <v>152</v>
      </c>
      <c r="E798" t="str">
        <f>_xlfn.XLOOKUP(Sales[[#This Row],[Product Name]],Products[Product Name],Products[Category])</f>
        <v>Breakfast</v>
      </c>
      <c r="F798" t="s">
        <v>449</v>
      </c>
      <c r="G798" t="s">
        <v>445</v>
      </c>
      <c r="H798">
        <v>44</v>
      </c>
      <c r="I798" s="5">
        <f>_xlfn.XLOOKUP(Sales[[#This Row],[Product Name]],Products[Product Name],Products[Selling Price (CAD)])</f>
        <v>5.99</v>
      </c>
      <c r="J798" s="5">
        <f>PRODUCT(Sales[[#This Row],[Quantity Sold]],Sales[[#This Row],[Unit Selling Price (CAD)]])</f>
        <v>263.56</v>
      </c>
    </row>
    <row r="799" spans="1:10">
      <c r="A799" t="s">
        <v>1247</v>
      </c>
      <c r="B799" s="2">
        <v>46125</v>
      </c>
      <c r="C799" t="s">
        <v>62</v>
      </c>
      <c r="D799" t="s">
        <v>63</v>
      </c>
      <c r="E799" t="str">
        <f>_xlfn.XLOOKUP(Sales[[#This Row],[Product Name]],Products[Product Name],Products[Category])</f>
        <v>Burgers</v>
      </c>
      <c r="F799" t="s">
        <v>444</v>
      </c>
      <c r="G799" t="s">
        <v>450</v>
      </c>
      <c r="H799">
        <v>50</v>
      </c>
      <c r="I799" s="5">
        <f>_xlfn.XLOOKUP(Sales[[#This Row],[Product Name]],Products[Product Name],Products[Selling Price (CAD)])</f>
        <v>8.99</v>
      </c>
      <c r="J799" s="5">
        <f>PRODUCT(Sales[[#This Row],[Quantity Sold]],Sales[[#This Row],[Unit Selling Price (CAD)]])</f>
        <v>449.5</v>
      </c>
    </row>
    <row r="800" spans="1:10">
      <c r="A800" t="s">
        <v>1248</v>
      </c>
      <c r="B800" s="2">
        <v>46125</v>
      </c>
      <c r="C800" t="s">
        <v>297</v>
      </c>
      <c r="D800" t="s">
        <v>298</v>
      </c>
      <c r="E800" t="str">
        <f>_xlfn.XLOOKUP(Sales[[#This Row],[Product Name]],Products[Product Name],Products[Category])</f>
        <v>Beverages</v>
      </c>
      <c r="F800" t="s">
        <v>449</v>
      </c>
      <c r="G800" t="s">
        <v>452</v>
      </c>
      <c r="H800">
        <v>52</v>
      </c>
      <c r="I800" s="5">
        <f>_xlfn.XLOOKUP(Sales[[#This Row],[Product Name]],Products[Product Name],Products[Selling Price (CAD)])</f>
        <v>2.99</v>
      </c>
      <c r="J800" s="5">
        <f>PRODUCT(Sales[[#This Row],[Quantity Sold]],Sales[[#This Row],[Unit Selling Price (CAD)]])</f>
        <v>155.48000000000002</v>
      </c>
    </row>
    <row r="801" spans="1:10">
      <c r="A801" t="s">
        <v>1249</v>
      </c>
      <c r="B801" s="2">
        <v>46125</v>
      </c>
      <c r="C801" t="s">
        <v>66</v>
      </c>
      <c r="D801" t="s">
        <v>67</v>
      </c>
      <c r="E801" t="str">
        <f>_xlfn.XLOOKUP(Sales[[#This Row],[Product Name]],Products[Product Name],Products[Category])</f>
        <v>Burgers</v>
      </c>
      <c r="F801" t="s">
        <v>449</v>
      </c>
      <c r="G801" t="s">
        <v>452</v>
      </c>
      <c r="H801">
        <v>36</v>
      </c>
      <c r="I801" s="5">
        <f>_xlfn.XLOOKUP(Sales[[#This Row],[Product Name]],Products[Product Name],Products[Selling Price (CAD)])</f>
        <v>8.49</v>
      </c>
      <c r="J801" s="5">
        <f>PRODUCT(Sales[[#This Row],[Quantity Sold]],Sales[[#This Row],[Unit Selling Price (CAD)]])</f>
        <v>305.64</v>
      </c>
    </row>
    <row r="802" spans="1:10">
      <c r="A802" t="s">
        <v>1250</v>
      </c>
      <c r="B802" s="2">
        <v>46125</v>
      </c>
      <c r="C802" t="s">
        <v>251</v>
      </c>
      <c r="D802" t="s">
        <v>252</v>
      </c>
      <c r="E802" t="str">
        <f>_xlfn.XLOOKUP(Sales[[#This Row],[Product Name]],Products[Product Name],Products[Category])</f>
        <v>Salads</v>
      </c>
      <c r="F802" t="s">
        <v>444</v>
      </c>
      <c r="G802" t="s">
        <v>450</v>
      </c>
      <c r="H802">
        <v>77</v>
      </c>
      <c r="I802" s="5">
        <f>_xlfn.XLOOKUP(Sales[[#This Row],[Product Name]],Products[Product Name],Products[Selling Price (CAD)])</f>
        <v>7.49</v>
      </c>
      <c r="J802" s="5">
        <f>PRODUCT(Sales[[#This Row],[Quantity Sold]],Sales[[#This Row],[Unit Selling Price (CAD)]])</f>
        <v>576.73</v>
      </c>
    </row>
    <row r="803" spans="1:10">
      <c r="A803" t="s">
        <v>1251</v>
      </c>
      <c r="B803" s="2">
        <v>46125</v>
      </c>
      <c r="C803" t="s">
        <v>317</v>
      </c>
      <c r="D803" t="s">
        <v>318</v>
      </c>
      <c r="E803" t="str">
        <f>_xlfn.XLOOKUP(Sales[[#This Row],[Product Name]],Products[Product Name],Products[Category])</f>
        <v>Beverages</v>
      </c>
      <c r="F803" t="s">
        <v>444</v>
      </c>
      <c r="G803" t="s">
        <v>452</v>
      </c>
      <c r="H803">
        <v>80</v>
      </c>
      <c r="I803" s="5">
        <f>_xlfn.XLOOKUP(Sales[[#This Row],[Product Name]],Products[Product Name],Products[Selling Price (CAD)])</f>
        <v>3.99</v>
      </c>
      <c r="J803" s="5">
        <f>PRODUCT(Sales[[#This Row],[Quantity Sold]],Sales[[#This Row],[Unit Selling Price (CAD)]])</f>
        <v>319.20000000000005</v>
      </c>
    </row>
    <row r="804" spans="1:10">
      <c r="A804" t="s">
        <v>1252</v>
      </c>
      <c r="B804" s="2">
        <v>46125</v>
      </c>
      <c r="C804" t="s">
        <v>185</v>
      </c>
      <c r="D804" t="s">
        <v>186</v>
      </c>
      <c r="E804" t="str">
        <f>_xlfn.XLOOKUP(Sales[[#This Row],[Product Name]],Products[Product Name],Products[Category])</f>
        <v>Sides</v>
      </c>
      <c r="F804" t="s">
        <v>449</v>
      </c>
      <c r="G804" t="s">
        <v>450</v>
      </c>
      <c r="H804">
        <v>56</v>
      </c>
      <c r="I804" s="5">
        <f>_xlfn.XLOOKUP(Sales[[#This Row],[Product Name]],Products[Product Name],Products[Selling Price (CAD)])</f>
        <v>3.49</v>
      </c>
      <c r="J804" s="5">
        <f>PRODUCT(Sales[[#This Row],[Quantity Sold]],Sales[[#This Row],[Unit Selling Price (CAD)]])</f>
        <v>195.44</v>
      </c>
    </row>
    <row r="805" spans="1:10">
      <c r="A805" t="s">
        <v>1253</v>
      </c>
      <c r="B805" s="2">
        <v>46125</v>
      </c>
      <c r="C805" t="s">
        <v>101</v>
      </c>
      <c r="D805" t="s">
        <v>102</v>
      </c>
      <c r="E805" t="str">
        <f>_xlfn.XLOOKUP(Sales[[#This Row],[Product Name]],Products[Product Name],Products[Category])</f>
        <v>Chicken</v>
      </c>
      <c r="F805" t="s">
        <v>447</v>
      </c>
      <c r="G805" t="s">
        <v>450</v>
      </c>
      <c r="H805">
        <v>58</v>
      </c>
      <c r="I805" s="5">
        <f>_xlfn.XLOOKUP(Sales[[#This Row],[Product Name]],Products[Product Name],Products[Selling Price (CAD)])</f>
        <v>7.99</v>
      </c>
      <c r="J805" s="5">
        <f>PRODUCT(Sales[[#This Row],[Quantity Sold]],Sales[[#This Row],[Unit Selling Price (CAD)]])</f>
        <v>463.42</v>
      </c>
    </row>
    <row r="806" spans="1:10">
      <c r="A806" t="s">
        <v>1254</v>
      </c>
      <c r="B806" s="2">
        <v>46126</v>
      </c>
      <c r="C806" t="s">
        <v>303</v>
      </c>
      <c r="D806" t="s">
        <v>304</v>
      </c>
      <c r="E806" t="str">
        <f>_xlfn.XLOOKUP(Sales[[#This Row],[Product Name]],Products[Product Name],Products[Category])</f>
        <v>Beverages</v>
      </c>
      <c r="F806" t="s">
        <v>444</v>
      </c>
      <c r="G806" t="s">
        <v>454</v>
      </c>
      <c r="H806">
        <v>63</v>
      </c>
      <c r="I806" s="5">
        <f>_xlfn.XLOOKUP(Sales[[#This Row],[Product Name]],Products[Product Name],Products[Selling Price (CAD)])</f>
        <v>2.4900000000000002</v>
      </c>
      <c r="J806" s="5">
        <f>PRODUCT(Sales[[#This Row],[Quantity Sold]],Sales[[#This Row],[Unit Selling Price (CAD)]])</f>
        <v>156.87</v>
      </c>
    </row>
    <row r="807" spans="1:10">
      <c r="A807" t="s">
        <v>1255</v>
      </c>
      <c r="B807" s="2">
        <v>46126</v>
      </c>
      <c r="C807" t="s">
        <v>291</v>
      </c>
      <c r="D807" t="s">
        <v>292</v>
      </c>
      <c r="E807" t="str">
        <f>_xlfn.XLOOKUP(Sales[[#This Row],[Product Name]],Products[Product Name],Products[Category])</f>
        <v>Beverages</v>
      </c>
      <c r="F807" t="s">
        <v>447</v>
      </c>
      <c r="G807" t="s">
        <v>450</v>
      </c>
      <c r="H807">
        <v>35</v>
      </c>
      <c r="I807" s="5">
        <f>_xlfn.XLOOKUP(Sales[[#This Row],[Product Name]],Products[Product Name],Products[Selling Price (CAD)])</f>
        <v>3.99</v>
      </c>
      <c r="J807" s="5">
        <f>PRODUCT(Sales[[#This Row],[Quantity Sold]],Sales[[#This Row],[Unit Selling Price (CAD)]])</f>
        <v>139.65</v>
      </c>
    </row>
    <row r="808" spans="1:10">
      <c r="A808" t="s">
        <v>1256</v>
      </c>
      <c r="B808" s="2">
        <v>46126</v>
      </c>
      <c r="C808" t="s">
        <v>38</v>
      </c>
      <c r="D808" t="s">
        <v>39</v>
      </c>
      <c r="E808" t="str">
        <f>_xlfn.XLOOKUP(Sales[[#This Row],[Product Name]],Products[Product Name],Products[Category])</f>
        <v>Burgers</v>
      </c>
      <c r="F808" t="s">
        <v>444</v>
      </c>
      <c r="G808" t="s">
        <v>450</v>
      </c>
      <c r="H808">
        <v>33</v>
      </c>
      <c r="I808" s="5">
        <f>_xlfn.XLOOKUP(Sales[[#This Row],[Product Name]],Products[Product Name],Products[Selling Price (CAD)])</f>
        <v>10.99</v>
      </c>
      <c r="J808" s="5">
        <f>PRODUCT(Sales[[#This Row],[Quantity Sold]],Sales[[#This Row],[Unit Selling Price (CAD)]])</f>
        <v>362.67</v>
      </c>
    </row>
    <row r="809" spans="1:10">
      <c r="A809" t="s">
        <v>1257</v>
      </c>
      <c r="B809" s="2">
        <v>46127</v>
      </c>
      <c r="C809" t="s">
        <v>113</v>
      </c>
      <c r="D809" t="s">
        <v>114</v>
      </c>
      <c r="E809" t="str">
        <f>_xlfn.XLOOKUP(Sales[[#This Row],[Product Name]],Products[Product Name],Products[Category])</f>
        <v>Chicken</v>
      </c>
      <c r="F809" t="s">
        <v>444</v>
      </c>
      <c r="G809" t="s">
        <v>450</v>
      </c>
      <c r="H809">
        <v>42</v>
      </c>
      <c r="I809" s="5">
        <f>_xlfn.XLOOKUP(Sales[[#This Row],[Product Name]],Products[Product Name],Products[Selling Price (CAD)])</f>
        <v>5.99</v>
      </c>
      <c r="J809" s="5">
        <f>PRODUCT(Sales[[#This Row],[Quantity Sold]],Sales[[#This Row],[Unit Selling Price (CAD)]])</f>
        <v>251.58</v>
      </c>
    </row>
    <row r="810" spans="1:10">
      <c r="A810" t="s">
        <v>1258</v>
      </c>
      <c r="B810" s="2">
        <v>46127</v>
      </c>
      <c r="C810" t="s">
        <v>357</v>
      </c>
      <c r="D810" t="s">
        <v>358</v>
      </c>
      <c r="E810" t="str">
        <f>_xlfn.XLOOKUP(Sales[[#This Row],[Product Name]],Products[Product Name],Products[Category])</f>
        <v>Desserts</v>
      </c>
      <c r="F810" t="s">
        <v>444</v>
      </c>
      <c r="G810" t="s">
        <v>450</v>
      </c>
      <c r="H810">
        <v>70</v>
      </c>
      <c r="I810" s="5">
        <f>_xlfn.XLOOKUP(Sales[[#This Row],[Product Name]],Products[Product Name],Products[Selling Price (CAD)])</f>
        <v>4.99</v>
      </c>
      <c r="J810" s="5">
        <f>PRODUCT(Sales[[#This Row],[Quantity Sold]],Sales[[#This Row],[Unit Selling Price (CAD)]])</f>
        <v>349.3</v>
      </c>
    </row>
    <row r="811" spans="1:10">
      <c r="A811" t="s">
        <v>1259</v>
      </c>
      <c r="B811" s="2">
        <v>46127</v>
      </c>
      <c r="C811" t="s">
        <v>54</v>
      </c>
      <c r="D811" t="s">
        <v>55</v>
      </c>
      <c r="E811" t="str">
        <f>_xlfn.XLOOKUP(Sales[[#This Row],[Product Name]],Products[Product Name],Products[Category])</f>
        <v>Burgers</v>
      </c>
      <c r="F811" t="s">
        <v>449</v>
      </c>
      <c r="G811" t="s">
        <v>454</v>
      </c>
      <c r="H811">
        <v>66</v>
      </c>
      <c r="I811" s="5">
        <f>_xlfn.XLOOKUP(Sales[[#This Row],[Product Name]],Products[Product Name],Products[Selling Price (CAD)])</f>
        <v>8.99</v>
      </c>
      <c r="J811" s="5">
        <f>PRODUCT(Sales[[#This Row],[Quantity Sold]],Sales[[#This Row],[Unit Selling Price (CAD)]])</f>
        <v>593.34</v>
      </c>
    </row>
    <row r="812" spans="1:10">
      <c r="A812" t="s">
        <v>1260</v>
      </c>
      <c r="B812" s="2">
        <v>46127</v>
      </c>
      <c r="C812" t="s">
        <v>319</v>
      </c>
      <c r="D812" t="s">
        <v>320</v>
      </c>
      <c r="E812" t="str">
        <f>_xlfn.XLOOKUP(Sales[[#This Row],[Product Name]],Products[Product Name],Products[Category])</f>
        <v>Beverages</v>
      </c>
      <c r="F812" t="s">
        <v>449</v>
      </c>
      <c r="G812" t="s">
        <v>452</v>
      </c>
      <c r="H812">
        <v>80</v>
      </c>
      <c r="I812" s="5">
        <f>_xlfn.XLOOKUP(Sales[[#This Row],[Product Name]],Products[Product Name],Products[Selling Price (CAD)])</f>
        <v>2.4900000000000002</v>
      </c>
      <c r="J812" s="5">
        <f>PRODUCT(Sales[[#This Row],[Quantity Sold]],Sales[[#This Row],[Unit Selling Price (CAD)]])</f>
        <v>199.20000000000002</v>
      </c>
    </row>
    <row r="813" spans="1:10">
      <c r="A813" t="s">
        <v>1261</v>
      </c>
      <c r="B813" s="2">
        <v>46127</v>
      </c>
      <c r="C813" t="s">
        <v>155</v>
      </c>
      <c r="D813" t="s">
        <v>156</v>
      </c>
      <c r="E813" t="str">
        <f>_xlfn.XLOOKUP(Sales[[#This Row],[Product Name]],Products[Product Name],Products[Category])</f>
        <v>Breakfast</v>
      </c>
      <c r="F813" t="s">
        <v>449</v>
      </c>
      <c r="G813" t="s">
        <v>454</v>
      </c>
      <c r="H813">
        <v>75</v>
      </c>
      <c r="I813" s="5">
        <f>_xlfn.XLOOKUP(Sales[[#This Row],[Product Name]],Products[Product Name],Products[Selling Price (CAD)])</f>
        <v>4.99</v>
      </c>
      <c r="J813" s="5">
        <f>PRODUCT(Sales[[#This Row],[Quantity Sold]],Sales[[#This Row],[Unit Selling Price (CAD)]])</f>
        <v>374.25</v>
      </c>
    </row>
    <row r="814" spans="1:10">
      <c r="A814" t="s">
        <v>1262</v>
      </c>
      <c r="B814" s="2">
        <v>46127</v>
      </c>
      <c r="C814" t="s">
        <v>221</v>
      </c>
      <c r="D814" t="s">
        <v>222</v>
      </c>
      <c r="E814" t="str">
        <f>_xlfn.XLOOKUP(Sales[[#This Row],[Product Name]],Products[Product Name],Products[Category])</f>
        <v>Sides</v>
      </c>
      <c r="F814" t="s">
        <v>447</v>
      </c>
      <c r="G814" t="s">
        <v>452</v>
      </c>
      <c r="H814">
        <v>55</v>
      </c>
      <c r="I814" s="5">
        <f>_xlfn.XLOOKUP(Sales[[#This Row],[Product Name]],Products[Product Name],Products[Selling Price (CAD)])</f>
        <v>5.99</v>
      </c>
      <c r="J814" s="5">
        <f>PRODUCT(Sales[[#This Row],[Quantity Sold]],Sales[[#This Row],[Unit Selling Price (CAD)]])</f>
        <v>329.45</v>
      </c>
    </row>
    <row r="815" spans="1:10">
      <c r="A815" t="s">
        <v>1263</v>
      </c>
      <c r="B815" s="2">
        <v>46127</v>
      </c>
      <c r="C815" t="s">
        <v>341</v>
      </c>
      <c r="D815" t="s">
        <v>342</v>
      </c>
      <c r="E815" t="str">
        <f>_xlfn.XLOOKUP(Sales[[#This Row],[Product Name]],Products[Product Name],Products[Category])</f>
        <v>Desserts</v>
      </c>
      <c r="F815" t="s">
        <v>444</v>
      </c>
      <c r="G815" t="s">
        <v>450</v>
      </c>
      <c r="H815">
        <v>31</v>
      </c>
      <c r="I815" s="5">
        <f>_xlfn.XLOOKUP(Sales[[#This Row],[Product Name]],Products[Product Name],Products[Selling Price (CAD)])</f>
        <v>1.49</v>
      </c>
      <c r="J815" s="5">
        <f>PRODUCT(Sales[[#This Row],[Quantity Sold]],Sales[[#This Row],[Unit Selling Price (CAD)]])</f>
        <v>46.19</v>
      </c>
    </row>
    <row r="816" spans="1:10">
      <c r="A816" t="s">
        <v>1264</v>
      </c>
      <c r="B816" s="2">
        <v>46128</v>
      </c>
      <c r="C816" t="s">
        <v>54</v>
      </c>
      <c r="D816" t="s">
        <v>55</v>
      </c>
      <c r="E816" t="str">
        <f>_xlfn.XLOOKUP(Sales[[#This Row],[Product Name]],Products[Product Name],Products[Category])</f>
        <v>Burgers</v>
      </c>
      <c r="F816" t="s">
        <v>449</v>
      </c>
      <c r="G816" t="s">
        <v>454</v>
      </c>
      <c r="H816">
        <v>64</v>
      </c>
      <c r="I816" s="5">
        <f>_xlfn.XLOOKUP(Sales[[#This Row],[Product Name]],Products[Product Name],Products[Selling Price (CAD)])</f>
        <v>8.99</v>
      </c>
      <c r="J816" s="5">
        <f>PRODUCT(Sales[[#This Row],[Quantity Sold]],Sales[[#This Row],[Unit Selling Price (CAD)]])</f>
        <v>575.36</v>
      </c>
    </row>
    <row r="817" spans="1:10">
      <c r="A817" t="s">
        <v>1265</v>
      </c>
      <c r="B817" s="2">
        <v>46128</v>
      </c>
      <c r="C817" t="s">
        <v>421</v>
      </c>
      <c r="D817" t="s">
        <v>422</v>
      </c>
      <c r="E817" t="str">
        <f>_xlfn.XLOOKUP(Sales[[#This Row],[Product Name]],Products[Product Name],Products[Category])</f>
        <v>Combo Meals</v>
      </c>
      <c r="F817" t="s">
        <v>444</v>
      </c>
      <c r="G817" t="s">
        <v>450</v>
      </c>
      <c r="H817">
        <v>62</v>
      </c>
      <c r="I817" s="5">
        <f>_xlfn.XLOOKUP(Sales[[#This Row],[Product Name]],Products[Product Name],Products[Selling Price (CAD)])</f>
        <v>8.99</v>
      </c>
      <c r="J817" s="5">
        <f>PRODUCT(Sales[[#This Row],[Quantity Sold]],Sales[[#This Row],[Unit Selling Price (CAD)]])</f>
        <v>557.38</v>
      </c>
    </row>
    <row r="818" spans="1:10">
      <c r="A818" t="s">
        <v>1266</v>
      </c>
      <c r="B818" s="2">
        <v>46128</v>
      </c>
      <c r="C818" t="s">
        <v>64</v>
      </c>
      <c r="D818" t="s">
        <v>65</v>
      </c>
      <c r="E818" t="str">
        <f>_xlfn.XLOOKUP(Sales[[#This Row],[Product Name]],Products[Product Name],Products[Category])</f>
        <v>Burgers</v>
      </c>
      <c r="F818" t="s">
        <v>444</v>
      </c>
      <c r="G818" t="s">
        <v>452</v>
      </c>
      <c r="H818">
        <v>79</v>
      </c>
      <c r="I818" s="5">
        <f>_xlfn.XLOOKUP(Sales[[#This Row],[Product Name]],Products[Product Name],Products[Selling Price (CAD)])</f>
        <v>6.49</v>
      </c>
      <c r="J818" s="5">
        <f>PRODUCT(Sales[[#This Row],[Quantity Sold]],Sales[[#This Row],[Unit Selling Price (CAD)]])</f>
        <v>512.71</v>
      </c>
    </row>
    <row r="819" spans="1:10">
      <c r="A819" t="s">
        <v>1267</v>
      </c>
      <c r="B819" s="2">
        <v>46129</v>
      </c>
      <c r="C819" t="s">
        <v>78</v>
      </c>
      <c r="D819" t="s">
        <v>79</v>
      </c>
      <c r="E819" t="str">
        <f>_xlfn.XLOOKUP(Sales[[#This Row],[Product Name]],Products[Product Name],Products[Category])</f>
        <v>Burgers</v>
      </c>
      <c r="F819" t="s">
        <v>449</v>
      </c>
      <c r="G819" t="s">
        <v>450</v>
      </c>
      <c r="H819">
        <v>55</v>
      </c>
      <c r="I819" s="5">
        <f>_xlfn.XLOOKUP(Sales[[#This Row],[Product Name]],Products[Product Name],Products[Selling Price (CAD)])</f>
        <v>3.99</v>
      </c>
      <c r="J819" s="5">
        <f>PRODUCT(Sales[[#This Row],[Quantity Sold]],Sales[[#This Row],[Unit Selling Price (CAD)]])</f>
        <v>219.45000000000002</v>
      </c>
    </row>
    <row r="820" spans="1:10">
      <c r="A820" t="s">
        <v>1268</v>
      </c>
      <c r="B820" s="2">
        <v>46129</v>
      </c>
      <c r="C820" t="s">
        <v>78</v>
      </c>
      <c r="D820" t="s">
        <v>79</v>
      </c>
      <c r="E820" t="str">
        <f>_xlfn.XLOOKUP(Sales[[#This Row],[Product Name]],Products[Product Name],Products[Category])</f>
        <v>Burgers</v>
      </c>
      <c r="F820" t="s">
        <v>447</v>
      </c>
      <c r="G820" t="s">
        <v>454</v>
      </c>
      <c r="H820">
        <v>45</v>
      </c>
      <c r="I820" s="5">
        <f>_xlfn.XLOOKUP(Sales[[#This Row],[Product Name]],Products[Product Name],Products[Selling Price (CAD)])</f>
        <v>3.99</v>
      </c>
      <c r="J820" s="5">
        <f>PRODUCT(Sales[[#This Row],[Quantity Sold]],Sales[[#This Row],[Unit Selling Price (CAD)]])</f>
        <v>179.55</v>
      </c>
    </row>
    <row r="821" spans="1:10">
      <c r="A821" t="s">
        <v>1269</v>
      </c>
      <c r="B821" s="2">
        <v>46129</v>
      </c>
      <c r="C821" t="s">
        <v>68</v>
      </c>
      <c r="D821" t="s">
        <v>69</v>
      </c>
      <c r="E821" t="str">
        <f>_xlfn.XLOOKUP(Sales[[#This Row],[Product Name]],Products[Product Name],Products[Category])</f>
        <v>Burgers</v>
      </c>
      <c r="F821" t="s">
        <v>444</v>
      </c>
      <c r="G821" t="s">
        <v>450</v>
      </c>
      <c r="H821">
        <v>79</v>
      </c>
      <c r="I821" s="5">
        <f>_xlfn.XLOOKUP(Sales[[#This Row],[Product Name]],Products[Product Name],Products[Selling Price (CAD)])</f>
        <v>6.99</v>
      </c>
      <c r="J821" s="5">
        <f>PRODUCT(Sales[[#This Row],[Quantity Sold]],Sales[[#This Row],[Unit Selling Price (CAD)]])</f>
        <v>552.21</v>
      </c>
    </row>
    <row r="822" spans="1:10">
      <c r="A822" t="s">
        <v>1270</v>
      </c>
      <c r="B822" s="2">
        <v>46129</v>
      </c>
      <c r="C822" t="s">
        <v>48</v>
      </c>
      <c r="D822" t="s">
        <v>49</v>
      </c>
      <c r="E822" t="str">
        <f>_xlfn.XLOOKUP(Sales[[#This Row],[Product Name]],Products[Product Name],Products[Category])</f>
        <v>Burgers</v>
      </c>
      <c r="F822" t="s">
        <v>444</v>
      </c>
      <c r="G822" t="s">
        <v>445</v>
      </c>
      <c r="H822">
        <v>44</v>
      </c>
      <c r="I822" s="5">
        <f>_xlfn.XLOOKUP(Sales[[#This Row],[Product Name]],Products[Product Name],Products[Selling Price (CAD)])</f>
        <v>6.49</v>
      </c>
      <c r="J822" s="5">
        <f>PRODUCT(Sales[[#This Row],[Quantity Sold]],Sales[[#This Row],[Unit Selling Price (CAD)]])</f>
        <v>285.56</v>
      </c>
    </row>
    <row r="823" spans="1:10">
      <c r="A823" t="s">
        <v>1271</v>
      </c>
      <c r="B823" s="2">
        <v>46129</v>
      </c>
      <c r="C823" t="s">
        <v>351</v>
      </c>
      <c r="D823" t="s">
        <v>352</v>
      </c>
      <c r="E823" t="str">
        <f>_xlfn.XLOOKUP(Sales[[#This Row],[Product Name]],Products[Product Name],Products[Category])</f>
        <v>Desserts</v>
      </c>
      <c r="F823" t="s">
        <v>444</v>
      </c>
      <c r="G823" t="s">
        <v>450</v>
      </c>
      <c r="H823">
        <v>34</v>
      </c>
      <c r="I823" s="5">
        <f>_xlfn.XLOOKUP(Sales[[#This Row],[Product Name]],Products[Product Name],Products[Selling Price (CAD)])</f>
        <v>4.99</v>
      </c>
      <c r="J823" s="5">
        <f>PRODUCT(Sales[[#This Row],[Quantity Sold]],Sales[[#This Row],[Unit Selling Price (CAD)]])</f>
        <v>169.66</v>
      </c>
    </row>
    <row r="824" spans="1:10">
      <c r="A824" t="s">
        <v>1272</v>
      </c>
      <c r="B824" s="2">
        <v>46130</v>
      </c>
      <c r="C824" t="s">
        <v>376</v>
      </c>
      <c r="D824" t="s">
        <v>377</v>
      </c>
      <c r="E824" t="str">
        <f>_xlfn.XLOOKUP(Sales[[#This Row],[Product Name]],Products[Product Name],Products[Category])</f>
        <v>Kids Meals</v>
      </c>
      <c r="F824" t="s">
        <v>444</v>
      </c>
      <c r="G824" t="s">
        <v>450</v>
      </c>
      <c r="H824">
        <v>41</v>
      </c>
      <c r="I824" s="5">
        <f>_xlfn.XLOOKUP(Sales[[#This Row],[Product Name]],Products[Product Name],Products[Selling Price (CAD)])</f>
        <v>5.99</v>
      </c>
      <c r="J824" s="5">
        <f>PRODUCT(Sales[[#This Row],[Quantity Sold]],Sales[[#This Row],[Unit Selling Price (CAD)]])</f>
        <v>245.59</v>
      </c>
    </row>
    <row r="825" spans="1:10">
      <c r="A825" t="s">
        <v>1273</v>
      </c>
      <c r="B825" s="2">
        <v>46130</v>
      </c>
      <c r="C825" t="s">
        <v>50</v>
      </c>
      <c r="D825" t="s">
        <v>51</v>
      </c>
      <c r="E825" t="str">
        <f>_xlfn.XLOOKUP(Sales[[#This Row],[Product Name]],Products[Product Name],Products[Category])</f>
        <v>Burgers</v>
      </c>
      <c r="F825" t="s">
        <v>449</v>
      </c>
      <c r="G825" t="s">
        <v>450</v>
      </c>
      <c r="H825">
        <v>33</v>
      </c>
      <c r="I825" s="5">
        <f>_xlfn.XLOOKUP(Sales[[#This Row],[Product Name]],Products[Product Name],Products[Selling Price (CAD)])</f>
        <v>8.49</v>
      </c>
      <c r="J825" s="5">
        <f>PRODUCT(Sales[[#This Row],[Quantity Sold]],Sales[[#This Row],[Unit Selling Price (CAD)]])</f>
        <v>280.17</v>
      </c>
    </row>
    <row r="826" spans="1:10">
      <c r="A826" t="s">
        <v>1274</v>
      </c>
      <c r="B826" s="2">
        <v>46130</v>
      </c>
      <c r="C826" t="s">
        <v>275</v>
      </c>
      <c r="D826" t="s">
        <v>276</v>
      </c>
      <c r="E826" t="str">
        <f>_xlfn.XLOOKUP(Sales[[#This Row],[Product Name]],Products[Product Name],Products[Category])</f>
        <v>Beverages</v>
      </c>
      <c r="F826" t="s">
        <v>449</v>
      </c>
      <c r="G826" t="s">
        <v>454</v>
      </c>
      <c r="H826">
        <v>44</v>
      </c>
      <c r="I826" s="5">
        <f>_xlfn.XLOOKUP(Sales[[#This Row],[Product Name]],Products[Product Name],Products[Selling Price (CAD)])</f>
        <v>2.99</v>
      </c>
      <c r="J826" s="5">
        <f>PRODUCT(Sales[[#This Row],[Quantity Sold]],Sales[[#This Row],[Unit Selling Price (CAD)]])</f>
        <v>131.56</v>
      </c>
    </row>
    <row r="827" spans="1:10">
      <c r="A827" t="s">
        <v>1275</v>
      </c>
      <c r="B827" s="2">
        <v>46130</v>
      </c>
      <c r="C827" t="s">
        <v>205</v>
      </c>
      <c r="D827" t="s">
        <v>206</v>
      </c>
      <c r="E827" t="str">
        <f>_xlfn.XLOOKUP(Sales[[#This Row],[Product Name]],Products[Product Name],Products[Category])</f>
        <v>Sides</v>
      </c>
      <c r="F827" t="s">
        <v>449</v>
      </c>
      <c r="G827" t="s">
        <v>452</v>
      </c>
      <c r="H827">
        <v>73</v>
      </c>
      <c r="I827" s="5">
        <f>_xlfn.XLOOKUP(Sales[[#This Row],[Product Name]],Products[Product Name],Products[Selling Price (CAD)])</f>
        <v>4.99</v>
      </c>
      <c r="J827" s="5">
        <f>PRODUCT(Sales[[#This Row],[Quantity Sold]],Sales[[#This Row],[Unit Selling Price (CAD)]])</f>
        <v>364.27000000000004</v>
      </c>
    </row>
    <row r="828" spans="1:10">
      <c r="A828" t="s">
        <v>1276</v>
      </c>
      <c r="B828" s="2">
        <v>46130</v>
      </c>
      <c r="C828" t="s">
        <v>293</v>
      </c>
      <c r="D828" t="s">
        <v>294</v>
      </c>
      <c r="E828" t="str">
        <f>_xlfn.XLOOKUP(Sales[[#This Row],[Product Name]],Products[Product Name],Products[Category])</f>
        <v>Beverages</v>
      </c>
      <c r="F828" t="s">
        <v>449</v>
      </c>
      <c r="G828" t="s">
        <v>450</v>
      </c>
      <c r="H828">
        <v>53</v>
      </c>
      <c r="I828" s="5">
        <f>_xlfn.XLOOKUP(Sales[[#This Row],[Product Name]],Products[Product Name],Products[Selling Price (CAD)])</f>
        <v>3.99</v>
      </c>
      <c r="J828" s="5">
        <f>PRODUCT(Sales[[#This Row],[Quantity Sold]],Sales[[#This Row],[Unit Selling Price (CAD)]])</f>
        <v>211.47</v>
      </c>
    </row>
    <row r="829" spans="1:10">
      <c r="A829" t="s">
        <v>1277</v>
      </c>
      <c r="B829" s="2">
        <v>46130</v>
      </c>
      <c r="C829" t="s">
        <v>353</v>
      </c>
      <c r="D829" t="s">
        <v>354</v>
      </c>
      <c r="E829" t="str">
        <f>_xlfn.XLOOKUP(Sales[[#This Row],[Product Name]],Products[Product Name],Products[Category])</f>
        <v>Desserts</v>
      </c>
      <c r="F829" t="s">
        <v>444</v>
      </c>
      <c r="G829" t="s">
        <v>452</v>
      </c>
      <c r="H829">
        <v>75</v>
      </c>
      <c r="I829" s="5">
        <f>_xlfn.XLOOKUP(Sales[[#This Row],[Product Name]],Products[Product Name],Products[Selling Price (CAD)])</f>
        <v>4.99</v>
      </c>
      <c r="J829" s="5">
        <f>PRODUCT(Sales[[#This Row],[Quantity Sold]],Sales[[#This Row],[Unit Selling Price (CAD)]])</f>
        <v>374.25</v>
      </c>
    </row>
    <row r="830" spans="1:10">
      <c r="A830" t="s">
        <v>1278</v>
      </c>
      <c r="B830" s="2">
        <v>46130</v>
      </c>
      <c r="C830" t="s">
        <v>255</v>
      </c>
      <c r="D830" t="s">
        <v>256</v>
      </c>
      <c r="E830" t="str">
        <f>_xlfn.XLOOKUP(Sales[[#This Row],[Product Name]],Products[Product Name],Products[Category])</f>
        <v>Beverages</v>
      </c>
      <c r="F830" t="s">
        <v>447</v>
      </c>
      <c r="G830" t="s">
        <v>450</v>
      </c>
      <c r="H830">
        <v>40</v>
      </c>
      <c r="I830" s="5">
        <f>_xlfn.XLOOKUP(Sales[[#This Row],[Product Name]],Products[Product Name],Products[Selling Price (CAD)])</f>
        <v>2.99</v>
      </c>
      <c r="J830" s="5">
        <f>PRODUCT(Sales[[#This Row],[Quantity Sold]],Sales[[#This Row],[Unit Selling Price (CAD)]])</f>
        <v>119.60000000000001</v>
      </c>
    </row>
    <row r="831" spans="1:10">
      <c r="A831" t="s">
        <v>1279</v>
      </c>
      <c r="B831" s="2">
        <v>46130</v>
      </c>
      <c r="C831" t="s">
        <v>185</v>
      </c>
      <c r="D831" t="s">
        <v>186</v>
      </c>
      <c r="E831" t="str">
        <f>_xlfn.XLOOKUP(Sales[[#This Row],[Product Name]],Products[Product Name],Products[Category])</f>
        <v>Sides</v>
      </c>
      <c r="F831" t="s">
        <v>449</v>
      </c>
      <c r="G831" t="s">
        <v>450</v>
      </c>
      <c r="H831">
        <v>65</v>
      </c>
      <c r="I831" s="5">
        <f>_xlfn.XLOOKUP(Sales[[#This Row],[Product Name]],Products[Product Name],Products[Selling Price (CAD)])</f>
        <v>3.49</v>
      </c>
      <c r="J831" s="5">
        <f>PRODUCT(Sales[[#This Row],[Quantity Sold]],Sales[[#This Row],[Unit Selling Price (CAD)]])</f>
        <v>226.85000000000002</v>
      </c>
    </row>
    <row r="832" spans="1:10">
      <c r="A832" t="s">
        <v>1280</v>
      </c>
      <c r="B832" s="2">
        <v>46131</v>
      </c>
      <c r="C832" t="s">
        <v>400</v>
      </c>
      <c r="D832" t="s">
        <v>401</v>
      </c>
      <c r="E832" t="str">
        <f>_xlfn.XLOOKUP(Sales[[#This Row],[Product Name]],Products[Product Name],Products[Category])</f>
        <v>Sauces &amp; Add-ons</v>
      </c>
      <c r="F832" t="s">
        <v>449</v>
      </c>
      <c r="G832" t="s">
        <v>450</v>
      </c>
      <c r="H832">
        <v>55</v>
      </c>
      <c r="I832" s="5">
        <f>_xlfn.XLOOKUP(Sales[[#This Row],[Product Name]],Products[Product Name],Products[Selling Price (CAD)])</f>
        <v>1.25</v>
      </c>
      <c r="J832" s="5">
        <f>PRODUCT(Sales[[#This Row],[Quantity Sold]],Sales[[#This Row],[Unit Selling Price (CAD)]])</f>
        <v>68.75</v>
      </c>
    </row>
    <row r="833" spans="1:10">
      <c r="A833" t="s">
        <v>1281</v>
      </c>
      <c r="B833" s="2">
        <v>46131</v>
      </c>
      <c r="C833" t="s">
        <v>355</v>
      </c>
      <c r="D833" t="s">
        <v>356</v>
      </c>
      <c r="E833" t="str">
        <f>_xlfn.XLOOKUP(Sales[[#This Row],[Product Name]],Products[Product Name],Products[Category])</f>
        <v>Desserts</v>
      </c>
      <c r="F833" t="s">
        <v>444</v>
      </c>
      <c r="G833" t="s">
        <v>452</v>
      </c>
      <c r="H833">
        <v>39</v>
      </c>
      <c r="I833" s="5">
        <f>_xlfn.XLOOKUP(Sales[[#This Row],[Product Name]],Products[Product Name],Products[Selling Price (CAD)])</f>
        <v>5.99</v>
      </c>
      <c r="J833" s="5">
        <f>PRODUCT(Sales[[#This Row],[Quantity Sold]],Sales[[#This Row],[Unit Selling Price (CAD)]])</f>
        <v>233.61</v>
      </c>
    </row>
    <row r="834" spans="1:10">
      <c r="A834" t="s">
        <v>1282</v>
      </c>
      <c r="B834" s="2">
        <v>46131</v>
      </c>
      <c r="C834" t="s">
        <v>111</v>
      </c>
      <c r="D834" t="s">
        <v>112</v>
      </c>
      <c r="E834" t="str">
        <f>_xlfn.XLOOKUP(Sales[[#This Row],[Product Name]],Products[Product Name],Products[Category])</f>
        <v>Chicken</v>
      </c>
      <c r="F834" t="s">
        <v>447</v>
      </c>
      <c r="G834" t="s">
        <v>445</v>
      </c>
      <c r="H834">
        <v>52</v>
      </c>
      <c r="I834" s="5">
        <f>_xlfn.XLOOKUP(Sales[[#This Row],[Product Name]],Products[Product Name],Products[Selling Price (CAD)])</f>
        <v>5.99</v>
      </c>
      <c r="J834" s="5">
        <f>PRODUCT(Sales[[#This Row],[Quantity Sold]],Sales[[#This Row],[Unit Selling Price (CAD)]])</f>
        <v>311.48</v>
      </c>
    </row>
    <row r="835" spans="1:10">
      <c r="A835" t="s">
        <v>1283</v>
      </c>
      <c r="B835" s="2">
        <v>46131</v>
      </c>
      <c r="C835" t="s">
        <v>209</v>
      </c>
      <c r="D835" t="s">
        <v>210</v>
      </c>
      <c r="E835" t="str">
        <f>_xlfn.XLOOKUP(Sales[[#This Row],[Product Name]],Products[Product Name],Products[Category])</f>
        <v>Sides</v>
      </c>
      <c r="F835" t="s">
        <v>449</v>
      </c>
      <c r="G835" t="s">
        <v>452</v>
      </c>
      <c r="H835">
        <v>61</v>
      </c>
      <c r="I835" s="5">
        <f>_xlfn.XLOOKUP(Sales[[#This Row],[Product Name]],Products[Product Name],Products[Selling Price (CAD)])</f>
        <v>4.99</v>
      </c>
      <c r="J835" s="5">
        <f>PRODUCT(Sales[[#This Row],[Quantity Sold]],Sales[[#This Row],[Unit Selling Price (CAD)]])</f>
        <v>304.39</v>
      </c>
    </row>
    <row r="836" spans="1:10">
      <c r="A836" t="s">
        <v>1284</v>
      </c>
      <c r="B836" s="2">
        <v>46131</v>
      </c>
      <c r="C836" t="s">
        <v>283</v>
      </c>
      <c r="D836" t="s">
        <v>284</v>
      </c>
      <c r="E836" t="str">
        <f>_xlfn.XLOOKUP(Sales[[#This Row],[Product Name]],Products[Product Name],Products[Category])</f>
        <v>Beverages</v>
      </c>
      <c r="F836" t="s">
        <v>449</v>
      </c>
      <c r="G836" t="s">
        <v>450</v>
      </c>
      <c r="H836">
        <v>77</v>
      </c>
      <c r="I836" s="5">
        <f>_xlfn.XLOOKUP(Sales[[#This Row],[Product Name]],Products[Product Name],Products[Selling Price (CAD)])</f>
        <v>2.99</v>
      </c>
      <c r="J836" s="5">
        <f>PRODUCT(Sales[[#This Row],[Quantity Sold]],Sales[[#This Row],[Unit Selling Price (CAD)]])</f>
        <v>230.23000000000002</v>
      </c>
    </row>
    <row r="837" spans="1:10">
      <c r="A837" t="s">
        <v>1285</v>
      </c>
      <c r="B837" s="2">
        <v>46131</v>
      </c>
      <c r="C837" t="s">
        <v>219</v>
      </c>
      <c r="D837" t="s">
        <v>220</v>
      </c>
      <c r="E837" t="str">
        <f>_xlfn.XLOOKUP(Sales[[#This Row],[Product Name]],Products[Product Name],Products[Category])</f>
        <v>Sides</v>
      </c>
      <c r="F837" t="s">
        <v>444</v>
      </c>
      <c r="G837" t="s">
        <v>452</v>
      </c>
      <c r="H837">
        <v>53</v>
      </c>
      <c r="I837" s="5">
        <f>_xlfn.XLOOKUP(Sales[[#This Row],[Product Name]],Products[Product Name],Products[Selling Price (CAD)])</f>
        <v>3.49</v>
      </c>
      <c r="J837" s="5">
        <f>PRODUCT(Sales[[#This Row],[Quantity Sold]],Sales[[#This Row],[Unit Selling Price (CAD)]])</f>
        <v>184.97</v>
      </c>
    </row>
    <row r="838" spans="1:10">
      <c r="A838" t="s">
        <v>1286</v>
      </c>
      <c r="B838" s="2">
        <v>46131</v>
      </c>
      <c r="C838" t="s">
        <v>267</v>
      </c>
      <c r="D838" t="s">
        <v>268</v>
      </c>
      <c r="E838" t="str">
        <f>_xlfn.XLOOKUP(Sales[[#This Row],[Product Name]],Products[Product Name],Products[Category])</f>
        <v>Beverages</v>
      </c>
      <c r="F838" t="s">
        <v>444</v>
      </c>
      <c r="G838" t="s">
        <v>445</v>
      </c>
      <c r="H838">
        <v>59</v>
      </c>
      <c r="I838" s="5">
        <f>_xlfn.XLOOKUP(Sales[[#This Row],[Product Name]],Products[Product Name],Products[Selling Price (CAD)])</f>
        <v>2.99</v>
      </c>
      <c r="J838" s="5">
        <f>PRODUCT(Sales[[#This Row],[Quantity Sold]],Sales[[#This Row],[Unit Selling Price (CAD)]])</f>
        <v>176.41000000000003</v>
      </c>
    </row>
    <row r="839" spans="1:10">
      <c r="A839" t="s">
        <v>1287</v>
      </c>
      <c r="B839" s="2">
        <v>46131</v>
      </c>
      <c r="C839" t="s">
        <v>325</v>
      </c>
      <c r="D839" t="s">
        <v>326</v>
      </c>
      <c r="E839" t="str">
        <f>_xlfn.XLOOKUP(Sales[[#This Row],[Product Name]],Products[Product Name],Products[Category])</f>
        <v>Desserts</v>
      </c>
      <c r="F839" t="s">
        <v>447</v>
      </c>
      <c r="G839" t="s">
        <v>452</v>
      </c>
      <c r="H839">
        <v>45</v>
      </c>
      <c r="I839" s="5">
        <f>_xlfn.XLOOKUP(Sales[[#This Row],[Product Name]],Products[Product Name],Products[Selling Price (CAD)])</f>
        <v>3.49</v>
      </c>
      <c r="J839" s="5">
        <f>PRODUCT(Sales[[#This Row],[Quantity Sold]],Sales[[#This Row],[Unit Selling Price (CAD)]])</f>
        <v>157.05000000000001</v>
      </c>
    </row>
    <row r="840" spans="1:10">
      <c r="A840" t="s">
        <v>1288</v>
      </c>
      <c r="B840" s="2">
        <v>46131</v>
      </c>
      <c r="C840" t="s">
        <v>366</v>
      </c>
      <c r="D840" t="s">
        <v>367</v>
      </c>
      <c r="E840" t="str">
        <f>_xlfn.XLOOKUP(Sales[[#This Row],[Product Name]],Products[Product Name],Products[Category])</f>
        <v>Kids Meals</v>
      </c>
      <c r="F840" t="s">
        <v>449</v>
      </c>
      <c r="G840" t="s">
        <v>452</v>
      </c>
      <c r="H840">
        <v>69</v>
      </c>
      <c r="I840" s="5">
        <f>_xlfn.XLOOKUP(Sales[[#This Row],[Product Name]],Products[Product Name],Products[Selling Price (CAD)])</f>
        <v>5.99</v>
      </c>
      <c r="J840" s="5">
        <f>PRODUCT(Sales[[#This Row],[Quantity Sold]],Sales[[#This Row],[Unit Selling Price (CAD)]])</f>
        <v>413.31</v>
      </c>
    </row>
    <row r="841" spans="1:10">
      <c r="A841" t="s">
        <v>1289</v>
      </c>
      <c r="B841" s="2">
        <v>46131</v>
      </c>
      <c r="C841" t="s">
        <v>99</v>
      </c>
      <c r="D841" t="s">
        <v>100</v>
      </c>
      <c r="E841" t="str">
        <f>_xlfn.XLOOKUP(Sales[[#This Row],[Product Name]],Products[Product Name],Products[Category])</f>
        <v>Chicken</v>
      </c>
      <c r="F841" t="s">
        <v>447</v>
      </c>
      <c r="G841" t="s">
        <v>450</v>
      </c>
      <c r="H841">
        <v>48</v>
      </c>
      <c r="I841" s="5">
        <f>_xlfn.XLOOKUP(Sales[[#This Row],[Product Name]],Products[Product Name],Products[Selling Price (CAD)])</f>
        <v>7.99</v>
      </c>
      <c r="J841" s="5">
        <f>PRODUCT(Sales[[#This Row],[Quantity Sold]],Sales[[#This Row],[Unit Selling Price (CAD)]])</f>
        <v>383.52</v>
      </c>
    </row>
    <row r="842" spans="1:10">
      <c r="A842" t="s">
        <v>1290</v>
      </c>
      <c r="B842" s="2">
        <v>46131</v>
      </c>
      <c r="C842" t="s">
        <v>245</v>
      </c>
      <c r="D842" t="s">
        <v>246</v>
      </c>
      <c r="E842" t="str">
        <f>_xlfn.XLOOKUP(Sales[[#This Row],[Product Name]],Products[Product Name],Products[Category])</f>
        <v>Salads</v>
      </c>
      <c r="F842" t="s">
        <v>447</v>
      </c>
      <c r="G842" t="s">
        <v>452</v>
      </c>
      <c r="H842">
        <v>35</v>
      </c>
      <c r="I842" s="5">
        <f>_xlfn.XLOOKUP(Sales[[#This Row],[Product Name]],Products[Product Name],Products[Selling Price (CAD)])</f>
        <v>6.99</v>
      </c>
      <c r="J842" s="5">
        <f>PRODUCT(Sales[[#This Row],[Quantity Sold]],Sales[[#This Row],[Unit Selling Price (CAD)]])</f>
        <v>244.65</v>
      </c>
    </row>
    <row r="843" spans="1:10">
      <c r="A843" t="s">
        <v>1291</v>
      </c>
      <c r="B843" s="2">
        <v>46132</v>
      </c>
      <c r="C843" t="s">
        <v>378</v>
      </c>
      <c r="D843" t="s">
        <v>379</v>
      </c>
      <c r="E843" t="str">
        <f>_xlfn.XLOOKUP(Sales[[#This Row],[Product Name]],Products[Product Name],Products[Category])</f>
        <v>Kids Meals</v>
      </c>
      <c r="F843" t="s">
        <v>444</v>
      </c>
      <c r="G843" t="s">
        <v>452</v>
      </c>
      <c r="H843">
        <v>35</v>
      </c>
      <c r="I843" s="5">
        <f>_xlfn.XLOOKUP(Sales[[#This Row],[Product Name]],Products[Product Name],Products[Selling Price (CAD)])</f>
        <v>5.99</v>
      </c>
      <c r="J843" s="5">
        <f>PRODUCT(Sales[[#This Row],[Quantity Sold]],Sales[[#This Row],[Unit Selling Price (CAD)]])</f>
        <v>209.65</v>
      </c>
    </row>
    <row r="844" spans="1:10">
      <c r="A844" t="s">
        <v>1292</v>
      </c>
      <c r="B844" s="2">
        <v>46132</v>
      </c>
      <c r="C844" t="s">
        <v>191</v>
      </c>
      <c r="D844" t="s">
        <v>192</v>
      </c>
      <c r="E844" t="str">
        <f>_xlfn.XLOOKUP(Sales[[#This Row],[Product Name]],Products[Product Name],Products[Category])</f>
        <v>Sides</v>
      </c>
      <c r="F844" t="s">
        <v>449</v>
      </c>
      <c r="G844" t="s">
        <v>445</v>
      </c>
      <c r="H844">
        <v>78</v>
      </c>
      <c r="I844" s="5">
        <f>_xlfn.XLOOKUP(Sales[[#This Row],[Product Name]],Products[Product Name],Products[Selling Price (CAD)])</f>
        <v>3.99</v>
      </c>
      <c r="J844" s="5">
        <f>PRODUCT(Sales[[#This Row],[Quantity Sold]],Sales[[#This Row],[Unit Selling Price (CAD)]])</f>
        <v>311.22000000000003</v>
      </c>
    </row>
    <row r="845" spans="1:10">
      <c r="A845" t="s">
        <v>1293</v>
      </c>
      <c r="B845" s="2">
        <v>46132</v>
      </c>
      <c r="C845" t="s">
        <v>145</v>
      </c>
      <c r="D845" t="s">
        <v>146</v>
      </c>
      <c r="E845" t="str">
        <f>_xlfn.XLOOKUP(Sales[[#This Row],[Product Name]],Products[Product Name],Products[Category])</f>
        <v>Breakfast</v>
      </c>
      <c r="F845" t="s">
        <v>444</v>
      </c>
      <c r="G845" t="s">
        <v>452</v>
      </c>
      <c r="H845">
        <v>66</v>
      </c>
      <c r="I845" s="5">
        <f>_xlfn.XLOOKUP(Sales[[#This Row],[Product Name]],Products[Product Name],Products[Selling Price (CAD)])</f>
        <v>4.99</v>
      </c>
      <c r="J845" s="5">
        <f>PRODUCT(Sales[[#This Row],[Quantity Sold]],Sales[[#This Row],[Unit Selling Price (CAD)]])</f>
        <v>329.34000000000003</v>
      </c>
    </row>
    <row r="846" spans="1:10">
      <c r="A846" t="s">
        <v>1294</v>
      </c>
      <c r="B846" s="2">
        <v>46132</v>
      </c>
      <c r="C846" t="s">
        <v>295</v>
      </c>
      <c r="D846" t="s">
        <v>296</v>
      </c>
      <c r="E846" t="str">
        <f>_xlfn.XLOOKUP(Sales[[#This Row],[Product Name]],Products[Product Name],Products[Category])</f>
        <v>Beverages</v>
      </c>
      <c r="F846" t="s">
        <v>444</v>
      </c>
      <c r="G846" t="s">
        <v>450</v>
      </c>
      <c r="H846">
        <v>73</v>
      </c>
      <c r="I846" s="5">
        <f>_xlfn.XLOOKUP(Sales[[#This Row],[Product Name]],Products[Product Name],Products[Selling Price (CAD)])</f>
        <v>2.99</v>
      </c>
      <c r="J846" s="5">
        <f>PRODUCT(Sales[[#This Row],[Quantity Sold]],Sales[[#This Row],[Unit Selling Price (CAD)]])</f>
        <v>218.27</v>
      </c>
    </row>
    <row r="847" spans="1:10">
      <c r="A847" t="s">
        <v>1295</v>
      </c>
      <c r="B847" s="2">
        <v>46132</v>
      </c>
      <c r="C847" t="s">
        <v>229</v>
      </c>
      <c r="D847" t="s">
        <v>230</v>
      </c>
      <c r="E847" t="str">
        <f>_xlfn.XLOOKUP(Sales[[#This Row],[Product Name]],Products[Product Name],Products[Category])</f>
        <v>Salads</v>
      </c>
      <c r="F847" t="s">
        <v>444</v>
      </c>
      <c r="G847" t="s">
        <v>450</v>
      </c>
      <c r="H847">
        <v>71</v>
      </c>
      <c r="I847" s="5">
        <f>_xlfn.XLOOKUP(Sales[[#This Row],[Product Name]],Products[Product Name],Products[Selling Price (CAD)])</f>
        <v>8.99</v>
      </c>
      <c r="J847" s="5">
        <f>PRODUCT(Sales[[#This Row],[Quantity Sold]],Sales[[#This Row],[Unit Selling Price (CAD)]])</f>
        <v>638.29</v>
      </c>
    </row>
    <row r="848" spans="1:10">
      <c r="A848" t="s">
        <v>1296</v>
      </c>
      <c r="B848" s="2">
        <v>46132</v>
      </c>
      <c r="C848" t="s">
        <v>407</v>
      </c>
      <c r="D848" t="s">
        <v>408</v>
      </c>
      <c r="E848" t="str">
        <f>_xlfn.XLOOKUP(Sales[[#This Row],[Product Name]],Products[Product Name],Products[Category])</f>
        <v>Combo Meals</v>
      </c>
      <c r="F848" t="s">
        <v>444</v>
      </c>
      <c r="G848" t="s">
        <v>454</v>
      </c>
      <c r="H848">
        <v>37</v>
      </c>
      <c r="I848" s="5">
        <f>_xlfn.XLOOKUP(Sales[[#This Row],[Product Name]],Products[Product Name],Products[Selling Price (CAD)])</f>
        <v>10.99</v>
      </c>
      <c r="J848" s="5">
        <f>PRODUCT(Sales[[#This Row],[Quantity Sold]],Sales[[#This Row],[Unit Selling Price (CAD)]])</f>
        <v>406.63</v>
      </c>
    </row>
    <row r="849" spans="1:10">
      <c r="A849" t="s">
        <v>1297</v>
      </c>
      <c r="B849" s="2">
        <v>46132</v>
      </c>
      <c r="C849" t="s">
        <v>275</v>
      </c>
      <c r="D849" t="s">
        <v>276</v>
      </c>
      <c r="E849" t="str">
        <f>_xlfn.XLOOKUP(Sales[[#This Row],[Product Name]],Products[Product Name],Products[Category])</f>
        <v>Beverages</v>
      </c>
      <c r="F849" t="s">
        <v>444</v>
      </c>
      <c r="G849" t="s">
        <v>454</v>
      </c>
      <c r="H849">
        <v>34</v>
      </c>
      <c r="I849" s="5">
        <f>_xlfn.XLOOKUP(Sales[[#This Row],[Product Name]],Products[Product Name],Products[Selling Price (CAD)])</f>
        <v>2.99</v>
      </c>
      <c r="J849" s="5">
        <f>PRODUCT(Sales[[#This Row],[Quantity Sold]],Sales[[#This Row],[Unit Selling Price (CAD)]])</f>
        <v>101.66000000000001</v>
      </c>
    </row>
    <row r="850" spans="1:10">
      <c r="A850" t="s">
        <v>1298</v>
      </c>
      <c r="B850" s="2">
        <v>46133</v>
      </c>
      <c r="C850" t="s">
        <v>221</v>
      </c>
      <c r="D850" t="s">
        <v>222</v>
      </c>
      <c r="E850" t="str">
        <f>_xlfn.XLOOKUP(Sales[[#This Row],[Product Name]],Products[Product Name],Products[Category])</f>
        <v>Sides</v>
      </c>
      <c r="F850" t="s">
        <v>447</v>
      </c>
      <c r="G850" t="s">
        <v>450</v>
      </c>
      <c r="H850">
        <v>32</v>
      </c>
      <c r="I850" s="5">
        <f>_xlfn.XLOOKUP(Sales[[#This Row],[Product Name]],Products[Product Name],Products[Selling Price (CAD)])</f>
        <v>5.99</v>
      </c>
      <c r="J850" s="5">
        <f>PRODUCT(Sales[[#This Row],[Quantity Sold]],Sales[[#This Row],[Unit Selling Price (CAD)]])</f>
        <v>191.68</v>
      </c>
    </row>
    <row r="851" spans="1:10">
      <c r="A851" t="s">
        <v>1299</v>
      </c>
      <c r="B851" s="2">
        <v>46133</v>
      </c>
      <c r="C851" t="s">
        <v>283</v>
      </c>
      <c r="D851" t="s">
        <v>284</v>
      </c>
      <c r="E851" t="str">
        <f>_xlfn.XLOOKUP(Sales[[#This Row],[Product Name]],Products[Product Name],Products[Category])</f>
        <v>Beverages</v>
      </c>
      <c r="F851" t="s">
        <v>444</v>
      </c>
      <c r="G851" t="s">
        <v>450</v>
      </c>
      <c r="H851">
        <v>64</v>
      </c>
      <c r="I851" s="5">
        <f>_xlfn.XLOOKUP(Sales[[#This Row],[Product Name]],Products[Product Name],Products[Selling Price (CAD)])</f>
        <v>2.99</v>
      </c>
      <c r="J851" s="5">
        <f>PRODUCT(Sales[[#This Row],[Quantity Sold]],Sales[[#This Row],[Unit Selling Price (CAD)]])</f>
        <v>191.36</v>
      </c>
    </row>
    <row r="852" spans="1:10">
      <c r="A852" t="s">
        <v>1300</v>
      </c>
      <c r="B852" s="2">
        <v>46133</v>
      </c>
      <c r="C852" t="s">
        <v>207</v>
      </c>
      <c r="D852" t="s">
        <v>208</v>
      </c>
      <c r="E852" t="str">
        <f>_xlfn.XLOOKUP(Sales[[#This Row],[Product Name]],Products[Product Name],Products[Category])</f>
        <v>Sides</v>
      </c>
      <c r="F852" t="s">
        <v>447</v>
      </c>
      <c r="G852" t="s">
        <v>450</v>
      </c>
      <c r="H852">
        <v>74</v>
      </c>
      <c r="I852" s="5">
        <f>_xlfn.XLOOKUP(Sales[[#This Row],[Product Name]],Products[Product Name],Products[Selling Price (CAD)])</f>
        <v>3.99</v>
      </c>
      <c r="J852" s="5">
        <f>PRODUCT(Sales[[#This Row],[Quantity Sold]],Sales[[#This Row],[Unit Selling Price (CAD)]])</f>
        <v>295.26</v>
      </c>
    </row>
    <row r="853" spans="1:10">
      <c r="A853" t="s">
        <v>1301</v>
      </c>
      <c r="B853" s="2">
        <v>46133</v>
      </c>
      <c r="C853" t="s">
        <v>48</v>
      </c>
      <c r="D853" t="s">
        <v>49</v>
      </c>
      <c r="E853" t="str">
        <f>_xlfn.XLOOKUP(Sales[[#This Row],[Product Name]],Products[Product Name],Products[Category])</f>
        <v>Burgers</v>
      </c>
      <c r="F853" t="s">
        <v>449</v>
      </c>
      <c r="G853" t="s">
        <v>450</v>
      </c>
      <c r="H853">
        <v>70</v>
      </c>
      <c r="I853" s="5">
        <f>_xlfn.XLOOKUP(Sales[[#This Row],[Product Name]],Products[Product Name],Products[Selling Price (CAD)])</f>
        <v>6.49</v>
      </c>
      <c r="J853" s="5">
        <f>PRODUCT(Sales[[#This Row],[Quantity Sold]],Sales[[#This Row],[Unit Selling Price (CAD)]])</f>
        <v>454.3</v>
      </c>
    </row>
    <row r="854" spans="1:10">
      <c r="A854" t="s">
        <v>1302</v>
      </c>
      <c r="B854" s="2">
        <v>46133</v>
      </c>
      <c r="C854" t="s">
        <v>99</v>
      </c>
      <c r="D854" t="s">
        <v>100</v>
      </c>
      <c r="E854" t="str">
        <f>_xlfn.XLOOKUP(Sales[[#This Row],[Product Name]],Products[Product Name],Products[Category])</f>
        <v>Chicken</v>
      </c>
      <c r="F854" t="s">
        <v>449</v>
      </c>
      <c r="G854" t="s">
        <v>450</v>
      </c>
      <c r="H854">
        <v>41</v>
      </c>
      <c r="I854" s="5">
        <f>_xlfn.XLOOKUP(Sales[[#This Row],[Product Name]],Products[Product Name],Products[Selling Price (CAD)])</f>
        <v>7.99</v>
      </c>
      <c r="J854" s="5">
        <f>PRODUCT(Sales[[#This Row],[Quantity Sold]],Sales[[#This Row],[Unit Selling Price (CAD)]])</f>
        <v>327.59000000000003</v>
      </c>
    </row>
    <row r="855" spans="1:10">
      <c r="A855" t="s">
        <v>1303</v>
      </c>
      <c r="B855" s="2">
        <v>46134</v>
      </c>
      <c r="C855" t="s">
        <v>307</v>
      </c>
      <c r="D855" t="s">
        <v>308</v>
      </c>
      <c r="E855" t="str">
        <f>_xlfn.XLOOKUP(Sales[[#This Row],[Product Name]],Products[Product Name],Products[Category])</f>
        <v>Beverages</v>
      </c>
      <c r="F855" t="s">
        <v>444</v>
      </c>
      <c r="G855" t="s">
        <v>450</v>
      </c>
      <c r="H855">
        <v>45</v>
      </c>
      <c r="I855" s="5">
        <f>_xlfn.XLOOKUP(Sales[[#This Row],[Product Name]],Products[Product Name],Products[Selling Price (CAD)])</f>
        <v>2.99</v>
      </c>
      <c r="J855" s="5">
        <f>PRODUCT(Sales[[#This Row],[Quantity Sold]],Sales[[#This Row],[Unit Selling Price (CAD)]])</f>
        <v>134.55000000000001</v>
      </c>
    </row>
    <row r="856" spans="1:10">
      <c r="A856" t="s">
        <v>1304</v>
      </c>
      <c r="B856" s="2">
        <v>46134</v>
      </c>
      <c r="C856" t="s">
        <v>34</v>
      </c>
      <c r="D856" t="s">
        <v>35</v>
      </c>
      <c r="E856" t="str">
        <f>_xlfn.XLOOKUP(Sales[[#This Row],[Product Name]],Products[Product Name],Products[Category])</f>
        <v>Burgers</v>
      </c>
      <c r="F856" t="s">
        <v>449</v>
      </c>
      <c r="G856" t="s">
        <v>450</v>
      </c>
      <c r="H856">
        <v>38</v>
      </c>
      <c r="I856" s="5">
        <f>_xlfn.XLOOKUP(Sales[[#This Row],[Product Name]],Products[Product Name],Products[Selling Price (CAD)])</f>
        <v>6.99</v>
      </c>
      <c r="J856" s="5">
        <f>PRODUCT(Sales[[#This Row],[Quantity Sold]],Sales[[#This Row],[Unit Selling Price (CAD)]])</f>
        <v>265.62</v>
      </c>
    </row>
    <row r="857" spans="1:10">
      <c r="A857" t="s">
        <v>1305</v>
      </c>
      <c r="B857" s="2">
        <v>46134</v>
      </c>
      <c r="C857" t="s">
        <v>177</v>
      </c>
      <c r="D857" t="s">
        <v>178</v>
      </c>
      <c r="E857" t="str">
        <f>_xlfn.XLOOKUP(Sales[[#This Row],[Product Name]],Products[Product Name],Products[Category])</f>
        <v>Breakfast</v>
      </c>
      <c r="F857" t="s">
        <v>447</v>
      </c>
      <c r="G857" t="s">
        <v>452</v>
      </c>
      <c r="H857">
        <v>74</v>
      </c>
      <c r="I857" s="5">
        <f>_xlfn.XLOOKUP(Sales[[#This Row],[Product Name]],Products[Product Name],Products[Selling Price (CAD)])</f>
        <v>7.99</v>
      </c>
      <c r="J857" s="5">
        <f>PRODUCT(Sales[[#This Row],[Quantity Sold]],Sales[[#This Row],[Unit Selling Price (CAD)]])</f>
        <v>591.26</v>
      </c>
    </row>
    <row r="858" spans="1:10">
      <c r="A858" t="s">
        <v>1306</v>
      </c>
      <c r="B858" s="2">
        <v>46134</v>
      </c>
      <c r="C858" t="s">
        <v>187</v>
      </c>
      <c r="D858" t="s">
        <v>188</v>
      </c>
      <c r="E858" t="str">
        <f>_xlfn.XLOOKUP(Sales[[#This Row],[Product Name]],Products[Product Name],Products[Category])</f>
        <v>Sides</v>
      </c>
      <c r="F858" t="s">
        <v>447</v>
      </c>
      <c r="G858" t="s">
        <v>454</v>
      </c>
      <c r="H858">
        <v>38</v>
      </c>
      <c r="I858" s="5">
        <f>_xlfn.XLOOKUP(Sales[[#This Row],[Product Name]],Products[Product Name],Products[Selling Price (CAD)])</f>
        <v>4.49</v>
      </c>
      <c r="J858" s="5">
        <f>PRODUCT(Sales[[#This Row],[Quantity Sold]],Sales[[#This Row],[Unit Selling Price (CAD)]])</f>
        <v>170.62</v>
      </c>
    </row>
    <row r="859" spans="1:10">
      <c r="A859" t="s">
        <v>1307</v>
      </c>
      <c r="B859" s="2">
        <v>46134</v>
      </c>
      <c r="C859" t="s">
        <v>56</v>
      </c>
      <c r="D859" t="s">
        <v>57</v>
      </c>
      <c r="E859" t="str">
        <f>_xlfn.XLOOKUP(Sales[[#This Row],[Product Name]],Products[Product Name],Products[Category])</f>
        <v>Burgers</v>
      </c>
      <c r="F859" t="s">
        <v>449</v>
      </c>
      <c r="G859" t="s">
        <v>450</v>
      </c>
      <c r="H859">
        <v>32</v>
      </c>
      <c r="I859" s="5">
        <f>_xlfn.XLOOKUP(Sales[[#This Row],[Product Name]],Products[Product Name],Products[Selling Price (CAD)])</f>
        <v>6.49</v>
      </c>
      <c r="J859" s="5">
        <f>PRODUCT(Sales[[#This Row],[Quantity Sold]],Sales[[#This Row],[Unit Selling Price (CAD)]])</f>
        <v>207.68</v>
      </c>
    </row>
    <row r="860" spans="1:10">
      <c r="A860" t="s">
        <v>1308</v>
      </c>
      <c r="B860" s="2">
        <v>46134</v>
      </c>
      <c r="C860" t="s">
        <v>345</v>
      </c>
      <c r="D860" t="s">
        <v>346</v>
      </c>
      <c r="E860" t="str">
        <f>_xlfn.XLOOKUP(Sales[[#This Row],[Product Name]],Products[Product Name],Products[Category])</f>
        <v>Desserts</v>
      </c>
      <c r="F860" t="s">
        <v>449</v>
      </c>
      <c r="G860" t="s">
        <v>454</v>
      </c>
      <c r="H860">
        <v>53</v>
      </c>
      <c r="I860" s="5">
        <f>_xlfn.XLOOKUP(Sales[[#This Row],[Product Name]],Products[Product Name],Products[Selling Price (CAD)])</f>
        <v>5.99</v>
      </c>
      <c r="J860" s="5">
        <f>PRODUCT(Sales[[#This Row],[Quantity Sold]],Sales[[#This Row],[Unit Selling Price (CAD)]])</f>
        <v>317.47000000000003</v>
      </c>
    </row>
    <row r="861" spans="1:10">
      <c r="A861" t="s">
        <v>1309</v>
      </c>
      <c r="B861" s="2">
        <v>46134</v>
      </c>
      <c r="C861" t="s">
        <v>32</v>
      </c>
      <c r="D861" t="s">
        <v>33</v>
      </c>
      <c r="E861" t="str">
        <f>_xlfn.XLOOKUP(Sales[[#This Row],[Product Name]],Products[Product Name],Products[Category])</f>
        <v>Burgers</v>
      </c>
      <c r="F861" t="s">
        <v>449</v>
      </c>
      <c r="G861" t="s">
        <v>450</v>
      </c>
      <c r="H861">
        <v>38</v>
      </c>
      <c r="I861" s="5">
        <f>_xlfn.XLOOKUP(Sales[[#This Row],[Product Name]],Products[Product Name],Products[Selling Price (CAD)])</f>
        <v>9.99</v>
      </c>
      <c r="J861" s="5">
        <f>PRODUCT(Sales[[#This Row],[Quantity Sold]],Sales[[#This Row],[Unit Selling Price (CAD)]])</f>
        <v>379.62</v>
      </c>
    </row>
    <row r="862" spans="1:10">
      <c r="A862" t="s">
        <v>1310</v>
      </c>
      <c r="B862" s="2">
        <v>46134</v>
      </c>
      <c r="C862" t="s">
        <v>171</v>
      </c>
      <c r="D862" t="s">
        <v>172</v>
      </c>
      <c r="E862" t="str">
        <f>_xlfn.XLOOKUP(Sales[[#This Row],[Product Name]],Products[Product Name],Products[Category])</f>
        <v>Breakfast</v>
      </c>
      <c r="F862" t="s">
        <v>449</v>
      </c>
      <c r="G862" t="s">
        <v>450</v>
      </c>
      <c r="H862">
        <v>67</v>
      </c>
      <c r="I862" s="5">
        <f>_xlfn.XLOOKUP(Sales[[#This Row],[Product Name]],Products[Product Name],Products[Selling Price (CAD)])</f>
        <v>3.99</v>
      </c>
      <c r="J862" s="5">
        <f>PRODUCT(Sales[[#This Row],[Quantity Sold]],Sales[[#This Row],[Unit Selling Price (CAD)]])</f>
        <v>267.33000000000004</v>
      </c>
    </row>
    <row r="863" spans="1:10">
      <c r="A863" t="s">
        <v>1311</v>
      </c>
      <c r="B863" s="2">
        <v>46135</v>
      </c>
      <c r="C863" t="s">
        <v>404</v>
      </c>
      <c r="D863" t="s">
        <v>405</v>
      </c>
      <c r="E863" t="str">
        <f>_xlfn.XLOOKUP(Sales[[#This Row],[Product Name]],Products[Product Name],Products[Category])</f>
        <v>Combo Meals</v>
      </c>
      <c r="F863" t="s">
        <v>449</v>
      </c>
      <c r="G863" t="s">
        <v>445</v>
      </c>
      <c r="H863">
        <v>61</v>
      </c>
      <c r="I863" s="5">
        <f>_xlfn.XLOOKUP(Sales[[#This Row],[Product Name]],Products[Product Name],Products[Selling Price (CAD)])</f>
        <v>8.99</v>
      </c>
      <c r="J863" s="5">
        <f>PRODUCT(Sales[[#This Row],[Quantity Sold]],Sales[[#This Row],[Unit Selling Price (CAD)]])</f>
        <v>548.39</v>
      </c>
    </row>
    <row r="864" spans="1:10">
      <c r="A864" t="s">
        <v>1312</v>
      </c>
      <c r="B864" s="2">
        <v>46135</v>
      </c>
      <c r="C864" t="s">
        <v>199</v>
      </c>
      <c r="D864" t="s">
        <v>200</v>
      </c>
      <c r="E864" t="str">
        <f>_xlfn.XLOOKUP(Sales[[#This Row],[Product Name]],Products[Product Name],Products[Category])</f>
        <v>Sides</v>
      </c>
      <c r="F864" t="s">
        <v>449</v>
      </c>
      <c r="G864" t="s">
        <v>450</v>
      </c>
      <c r="H864">
        <v>70</v>
      </c>
      <c r="I864" s="5">
        <f>_xlfn.XLOOKUP(Sales[[#This Row],[Product Name]],Products[Product Name],Products[Selling Price (CAD)])</f>
        <v>4.99</v>
      </c>
      <c r="J864" s="5">
        <f>PRODUCT(Sales[[#This Row],[Quantity Sold]],Sales[[#This Row],[Unit Selling Price (CAD)]])</f>
        <v>349.3</v>
      </c>
    </row>
    <row r="865" spans="1:10">
      <c r="A865" t="s">
        <v>1313</v>
      </c>
      <c r="B865" s="2">
        <v>46135</v>
      </c>
      <c r="C865" t="s">
        <v>361</v>
      </c>
      <c r="D865" t="s">
        <v>362</v>
      </c>
      <c r="E865" t="str">
        <f>_xlfn.XLOOKUP(Sales[[#This Row],[Product Name]],Products[Product Name],Products[Category])</f>
        <v>Desserts</v>
      </c>
      <c r="F865" t="s">
        <v>444</v>
      </c>
      <c r="G865" t="s">
        <v>450</v>
      </c>
      <c r="H865">
        <v>53</v>
      </c>
      <c r="I865" s="5">
        <f>_xlfn.XLOOKUP(Sales[[#This Row],[Product Name]],Products[Product Name],Products[Selling Price (CAD)])</f>
        <v>5.99</v>
      </c>
      <c r="J865" s="5">
        <f>PRODUCT(Sales[[#This Row],[Quantity Sold]],Sales[[#This Row],[Unit Selling Price (CAD)]])</f>
        <v>317.47000000000003</v>
      </c>
    </row>
    <row r="866" spans="1:10">
      <c r="A866" t="s">
        <v>1314</v>
      </c>
      <c r="B866" s="2">
        <v>46135</v>
      </c>
      <c r="C866" t="s">
        <v>131</v>
      </c>
      <c r="D866" t="s">
        <v>132</v>
      </c>
      <c r="E866" t="str">
        <f>_xlfn.XLOOKUP(Sales[[#This Row],[Product Name]],Products[Product Name],Products[Category])</f>
        <v>Chicken</v>
      </c>
      <c r="F866" t="s">
        <v>444</v>
      </c>
      <c r="G866" t="s">
        <v>454</v>
      </c>
      <c r="H866">
        <v>50</v>
      </c>
      <c r="I866" s="5">
        <f>_xlfn.XLOOKUP(Sales[[#This Row],[Product Name]],Products[Product Name],Products[Selling Price (CAD)])</f>
        <v>8.99</v>
      </c>
      <c r="J866" s="5">
        <f>PRODUCT(Sales[[#This Row],[Quantity Sold]],Sales[[#This Row],[Unit Selling Price (CAD)]])</f>
        <v>449.5</v>
      </c>
    </row>
    <row r="867" spans="1:10">
      <c r="A867" t="s">
        <v>1315</v>
      </c>
      <c r="B867" s="2">
        <v>46135</v>
      </c>
      <c r="C867" t="s">
        <v>85</v>
      </c>
      <c r="D867" t="s">
        <v>86</v>
      </c>
      <c r="E867" t="str">
        <f>_xlfn.XLOOKUP(Sales[[#This Row],[Product Name]],Products[Product Name],Products[Category])</f>
        <v>Chicken</v>
      </c>
      <c r="F867" t="s">
        <v>447</v>
      </c>
      <c r="G867" t="s">
        <v>450</v>
      </c>
      <c r="H867">
        <v>47</v>
      </c>
      <c r="I867" s="5">
        <f>_xlfn.XLOOKUP(Sales[[#This Row],[Product Name]],Products[Product Name],Products[Selling Price (CAD)])</f>
        <v>6.99</v>
      </c>
      <c r="J867" s="5">
        <f>PRODUCT(Sales[[#This Row],[Quantity Sold]],Sales[[#This Row],[Unit Selling Price (CAD)]])</f>
        <v>328.53000000000003</v>
      </c>
    </row>
    <row r="868" spans="1:10">
      <c r="A868" t="s">
        <v>1316</v>
      </c>
      <c r="B868" s="2">
        <v>46135</v>
      </c>
      <c r="C868" t="s">
        <v>315</v>
      </c>
      <c r="D868" t="s">
        <v>316</v>
      </c>
      <c r="E868" t="str">
        <f>_xlfn.XLOOKUP(Sales[[#This Row],[Product Name]],Products[Product Name],Products[Category])</f>
        <v>Beverages</v>
      </c>
      <c r="F868" t="s">
        <v>449</v>
      </c>
      <c r="G868" t="s">
        <v>452</v>
      </c>
      <c r="H868">
        <v>42</v>
      </c>
      <c r="I868" s="5">
        <f>_xlfn.XLOOKUP(Sales[[#This Row],[Product Name]],Products[Product Name],Products[Selling Price (CAD)])</f>
        <v>3.99</v>
      </c>
      <c r="J868" s="5">
        <f>PRODUCT(Sales[[#This Row],[Quantity Sold]],Sales[[#This Row],[Unit Selling Price (CAD)]])</f>
        <v>167.58</v>
      </c>
    </row>
    <row r="869" spans="1:10">
      <c r="A869" t="s">
        <v>1317</v>
      </c>
      <c r="B869" s="2">
        <v>46135</v>
      </c>
      <c r="C869" t="s">
        <v>285</v>
      </c>
      <c r="D869" t="s">
        <v>286</v>
      </c>
      <c r="E869" t="str">
        <f>_xlfn.XLOOKUP(Sales[[#This Row],[Product Name]],Products[Product Name],Products[Category])</f>
        <v>Beverages</v>
      </c>
      <c r="F869" t="s">
        <v>444</v>
      </c>
      <c r="G869" t="s">
        <v>450</v>
      </c>
      <c r="H869">
        <v>60</v>
      </c>
      <c r="I869" s="5">
        <f>_xlfn.XLOOKUP(Sales[[#This Row],[Product Name]],Products[Product Name],Products[Selling Price (CAD)])</f>
        <v>2.99</v>
      </c>
      <c r="J869" s="5">
        <f>PRODUCT(Sales[[#This Row],[Quantity Sold]],Sales[[#This Row],[Unit Selling Price (CAD)]])</f>
        <v>179.4</v>
      </c>
    </row>
    <row r="870" spans="1:10">
      <c r="A870" t="s">
        <v>1318</v>
      </c>
      <c r="B870" s="2">
        <v>46136</v>
      </c>
      <c r="C870" t="s">
        <v>407</v>
      </c>
      <c r="D870" t="s">
        <v>408</v>
      </c>
      <c r="E870" t="str">
        <f>_xlfn.XLOOKUP(Sales[[#This Row],[Product Name]],Products[Product Name],Products[Category])</f>
        <v>Combo Meals</v>
      </c>
      <c r="F870" t="s">
        <v>444</v>
      </c>
      <c r="G870" t="s">
        <v>452</v>
      </c>
      <c r="H870">
        <v>34</v>
      </c>
      <c r="I870" s="5">
        <f>_xlfn.XLOOKUP(Sales[[#This Row],[Product Name]],Products[Product Name],Products[Selling Price (CAD)])</f>
        <v>10.99</v>
      </c>
      <c r="J870" s="5">
        <f>PRODUCT(Sales[[#This Row],[Quantity Sold]],Sales[[#This Row],[Unit Selling Price (CAD)]])</f>
        <v>373.66</v>
      </c>
    </row>
    <row r="871" spans="1:10">
      <c r="A871" t="s">
        <v>1319</v>
      </c>
      <c r="B871" s="2">
        <v>46136</v>
      </c>
      <c r="C871" t="s">
        <v>265</v>
      </c>
      <c r="D871" t="s">
        <v>266</v>
      </c>
      <c r="E871" t="str">
        <f>_xlfn.XLOOKUP(Sales[[#This Row],[Product Name]],Products[Product Name],Products[Category])</f>
        <v>Beverages</v>
      </c>
      <c r="F871" t="s">
        <v>444</v>
      </c>
      <c r="G871" t="s">
        <v>450</v>
      </c>
      <c r="H871">
        <v>67</v>
      </c>
      <c r="I871" s="5">
        <f>_xlfn.XLOOKUP(Sales[[#This Row],[Product Name]],Products[Product Name],Products[Selling Price (CAD)])</f>
        <v>1.99</v>
      </c>
      <c r="J871" s="5">
        <f>PRODUCT(Sales[[#This Row],[Quantity Sold]],Sales[[#This Row],[Unit Selling Price (CAD)]])</f>
        <v>133.33000000000001</v>
      </c>
    </row>
    <row r="872" spans="1:10">
      <c r="A872" t="s">
        <v>1320</v>
      </c>
      <c r="B872" s="2">
        <v>46136</v>
      </c>
      <c r="C872" t="s">
        <v>253</v>
      </c>
      <c r="D872" t="s">
        <v>254</v>
      </c>
      <c r="E872" t="str">
        <f>_xlfn.XLOOKUP(Sales[[#This Row],[Product Name]],Products[Product Name],Products[Category])</f>
        <v>Beverages</v>
      </c>
      <c r="F872" t="s">
        <v>444</v>
      </c>
      <c r="G872" t="s">
        <v>450</v>
      </c>
      <c r="H872">
        <v>79</v>
      </c>
      <c r="I872" s="5">
        <f>_xlfn.XLOOKUP(Sales[[#This Row],[Product Name]],Products[Product Name],Products[Selling Price (CAD)])</f>
        <v>1.99</v>
      </c>
      <c r="J872" s="5">
        <f>PRODUCT(Sales[[#This Row],[Quantity Sold]],Sales[[#This Row],[Unit Selling Price (CAD)]])</f>
        <v>157.21</v>
      </c>
    </row>
    <row r="873" spans="1:10">
      <c r="A873" t="s">
        <v>1321</v>
      </c>
      <c r="B873" s="2">
        <v>46137</v>
      </c>
      <c r="C873" t="s">
        <v>137</v>
      </c>
      <c r="D873" t="s">
        <v>138</v>
      </c>
      <c r="E873" t="str">
        <f>_xlfn.XLOOKUP(Sales[[#This Row],[Product Name]],Products[Product Name],Products[Category])</f>
        <v>Breakfast</v>
      </c>
      <c r="F873" t="s">
        <v>447</v>
      </c>
      <c r="G873" t="s">
        <v>450</v>
      </c>
      <c r="H873">
        <v>46</v>
      </c>
      <c r="I873" s="5">
        <f>_xlfn.XLOOKUP(Sales[[#This Row],[Product Name]],Products[Product Name],Products[Selling Price (CAD)])</f>
        <v>4.99</v>
      </c>
      <c r="J873" s="5">
        <f>PRODUCT(Sales[[#This Row],[Quantity Sold]],Sales[[#This Row],[Unit Selling Price (CAD)]])</f>
        <v>229.54000000000002</v>
      </c>
    </row>
    <row r="874" spans="1:10">
      <c r="A874" t="s">
        <v>1322</v>
      </c>
      <c r="B874" s="2">
        <v>46137</v>
      </c>
      <c r="C874" t="s">
        <v>38</v>
      </c>
      <c r="D874" t="s">
        <v>39</v>
      </c>
      <c r="E874" t="str">
        <f>_xlfn.XLOOKUP(Sales[[#This Row],[Product Name]],Products[Product Name],Products[Category])</f>
        <v>Burgers</v>
      </c>
      <c r="F874" t="s">
        <v>449</v>
      </c>
      <c r="G874" t="s">
        <v>450</v>
      </c>
      <c r="H874">
        <v>63</v>
      </c>
      <c r="I874" s="5">
        <f>_xlfn.XLOOKUP(Sales[[#This Row],[Product Name]],Products[Product Name],Products[Selling Price (CAD)])</f>
        <v>10.99</v>
      </c>
      <c r="J874" s="5">
        <f>PRODUCT(Sales[[#This Row],[Quantity Sold]],Sales[[#This Row],[Unit Selling Price (CAD)]])</f>
        <v>692.37</v>
      </c>
    </row>
    <row r="875" spans="1:10">
      <c r="A875" t="s">
        <v>1323</v>
      </c>
      <c r="B875" s="2">
        <v>46137</v>
      </c>
      <c r="C875" t="s">
        <v>291</v>
      </c>
      <c r="D875" t="s">
        <v>292</v>
      </c>
      <c r="E875" t="str">
        <f>_xlfn.XLOOKUP(Sales[[#This Row],[Product Name]],Products[Product Name],Products[Category])</f>
        <v>Beverages</v>
      </c>
      <c r="F875" t="s">
        <v>444</v>
      </c>
      <c r="G875" t="s">
        <v>454</v>
      </c>
      <c r="H875">
        <v>72</v>
      </c>
      <c r="I875" s="5">
        <f>_xlfn.XLOOKUP(Sales[[#This Row],[Product Name]],Products[Product Name],Products[Selling Price (CAD)])</f>
        <v>3.99</v>
      </c>
      <c r="J875" s="5">
        <f>PRODUCT(Sales[[#This Row],[Quantity Sold]],Sales[[#This Row],[Unit Selling Price (CAD)]])</f>
        <v>287.28000000000003</v>
      </c>
    </row>
    <row r="876" spans="1:10">
      <c r="A876" t="s">
        <v>1324</v>
      </c>
      <c r="B876" s="2">
        <v>46137</v>
      </c>
      <c r="C876" t="s">
        <v>195</v>
      </c>
      <c r="D876" t="s">
        <v>196</v>
      </c>
      <c r="E876" t="str">
        <f>_xlfn.XLOOKUP(Sales[[#This Row],[Product Name]],Products[Product Name],Products[Category])</f>
        <v>Sides</v>
      </c>
      <c r="F876" t="s">
        <v>447</v>
      </c>
      <c r="G876" t="s">
        <v>452</v>
      </c>
      <c r="H876">
        <v>34</v>
      </c>
      <c r="I876" s="5">
        <f>_xlfn.XLOOKUP(Sales[[#This Row],[Product Name]],Products[Product Name],Products[Selling Price (CAD)])</f>
        <v>3.49</v>
      </c>
      <c r="J876" s="5">
        <f>PRODUCT(Sales[[#This Row],[Quantity Sold]],Sales[[#This Row],[Unit Selling Price (CAD)]])</f>
        <v>118.66000000000001</v>
      </c>
    </row>
    <row r="877" spans="1:10">
      <c r="A877" t="s">
        <v>1325</v>
      </c>
      <c r="B877" s="2">
        <v>46137</v>
      </c>
      <c r="C877" t="s">
        <v>311</v>
      </c>
      <c r="D877" t="s">
        <v>312</v>
      </c>
      <c r="E877" t="str">
        <f>_xlfn.XLOOKUP(Sales[[#This Row],[Product Name]],Products[Product Name],Products[Category])</f>
        <v>Beverages</v>
      </c>
      <c r="F877" t="s">
        <v>449</v>
      </c>
      <c r="G877" t="s">
        <v>454</v>
      </c>
      <c r="H877">
        <v>70</v>
      </c>
      <c r="I877" s="5">
        <f>_xlfn.XLOOKUP(Sales[[#This Row],[Product Name]],Products[Product Name],Products[Selling Price (CAD)])</f>
        <v>3.99</v>
      </c>
      <c r="J877" s="5">
        <f>PRODUCT(Sales[[#This Row],[Quantity Sold]],Sales[[#This Row],[Unit Selling Price (CAD)]])</f>
        <v>279.3</v>
      </c>
    </row>
    <row r="878" spans="1:10">
      <c r="A878" t="s">
        <v>1326</v>
      </c>
      <c r="B878" s="2">
        <v>46137</v>
      </c>
      <c r="C878" t="s">
        <v>48</v>
      </c>
      <c r="D878" t="s">
        <v>49</v>
      </c>
      <c r="E878" t="str">
        <f>_xlfn.XLOOKUP(Sales[[#This Row],[Product Name]],Products[Product Name],Products[Category])</f>
        <v>Burgers</v>
      </c>
      <c r="F878" t="s">
        <v>444</v>
      </c>
      <c r="G878" t="s">
        <v>454</v>
      </c>
      <c r="H878">
        <v>72</v>
      </c>
      <c r="I878" s="5">
        <f>_xlfn.XLOOKUP(Sales[[#This Row],[Product Name]],Products[Product Name],Products[Selling Price (CAD)])</f>
        <v>6.49</v>
      </c>
      <c r="J878" s="5">
        <f>PRODUCT(Sales[[#This Row],[Quantity Sold]],Sales[[#This Row],[Unit Selling Price (CAD)]])</f>
        <v>467.28000000000003</v>
      </c>
    </row>
    <row r="879" spans="1:10">
      <c r="A879" t="s">
        <v>1327</v>
      </c>
      <c r="B879" s="2">
        <v>46137</v>
      </c>
      <c r="C879" t="s">
        <v>271</v>
      </c>
      <c r="D879" t="s">
        <v>272</v>
      </c>
      <c r="E879" t="str">
        <f>_xlfn.XLOOKUP(Sales[[#This Row],[Product Name]],Products[Product Name],Products[Category])</f>
        <v>Beverages</v>
      </c>
      <c r="F879" t="s">
        <v>449</v>
      </c>
      <c r="G879" t="s">
        <v>445</v>
      </c>
      <c r="H879">
        <v>56</v>
      </c>
      <c r="I879" s="5">
        <f>_xlfn.XLOOKUP(Sales[[#This Row],[Product Name]],Products[Product Name],Products[Selling Price (CAD)])</f>
        <v>1.99</v>
      </c>
      <c r="J879" s="5">
        <f>PRODUCT(Sales[[#This Row],[Quantity Sold]],Sales[[#This Row],[Unit Selling Price (CAD)]])</f>
        <v>111.44</v>
      </c>
    </row>
    <row r="880" spans="1:10">
      <c r="A880" t="s">
        <v>1328</v>
      </c>
      <c r="B880" s="2">
        <v>46137</v>
      </c>
      <c r="C880" t="s">
        <v>361</v>
      </c>
      <c r="D880" t="s">
        <v>362</v>
      </c>
      <c r="E880" t="str">
        <f>_xlfn.XLOOKUP(Sales[[#This Row],[Product Name]],Products[Product Name],Products[Category])</f>
        <v>Desserts</v>
      </c>
      <c r="F880" t="s">
        <v>444</v>
      </c>
      <c r="G880" t="s">
        <v>450</v>
      </c>
      <c r="H880">
        <v>76</v>
      </c>
      <c r="I880" s="5">
        <f>_xlfn.XLOOKUP(Sales[[#This Row],[Product Name]],Products[Product Name],Products[Selling Price (CAD)])</f>
        <v>5.99</v>
      </c>
      <c r="J880" s="5">
        <f>PRODUCT(Sales[[#This Row],[Quantity Sold]],Sales[[#This Row],[Unit Selling Price (CAD)]])</f>
        <v>455.24</v>
      </c>
    </row>
    <row r="881" spans="1:10">
      <c r="A881" t="s">
        <v>1329</v>
      </c>
      <c r="B881" s="2">
        <v>46138</v>
      </c>
      <c r="C881" t="s">
        <v>40</v>
      </c>
      <c r="D881" t="s">
        <v>41</v>
      </c>
      <c r="E881" t="str">
        <f>_xlfn.XLOOKUP(Sales[[#This Row],[Product Name]],Products[Product Name],Products[Category])</f>
        <v>Burgers</v>
      </c>
      <c r="F881" t="s">
        <v>447</v>
      </c>
      <c r="G881" t="s">
        <v>450</v>
      </c>
      <c r="H881">
        <v>52</v>
      </c>
      <c r="I881" s="5">
        <f>_xlfn.XLOOKUP(Sales[[#This Row],[Product Name]],Products[Product Name],Products[Selling Price (CAD)])</f>
        <v>6.99</v>
      </c>
      <c r="J881" s="5">
        <f>PRODUCT(Sales[[#This Row],[Quantity Sold]],Sales[[#This Row],[Unit Selling Price (CAD)]])</f>
        <v>363.48</v>
      </c>
    </row>
    <row r="882" spans="1:10">
      <c r="A882" t="s">
        <v>1330</v>
      </c>
      <c r="B882" s="2">
        <v>46138</v>
      </c>
      <c r="C882" t="s">
        <v>217</v>
      </c>
      <c r="D882" t="s">
        <v>218</v>
      </c>
      <c r="E882" t="str">
        <f>_xlfn.XLOOKUP(Sales[[#This Row],[Product Name]],Products[Product Name],Products[Category])</f>
        <v>Sides</v>
      </c>
      <c r="F882" t="s">
        <v>444</v>
      </c>
      <c r="G882" t="s">
        <v>450</v>
      </c>
      <c r="H882">
        <v>46</v>
      </c>
      <c r="I882" s="5">
        <f>_xlfn.XLOOKUP(Sales[[#This Row],[Product Name]],Products[Product Name],Products[Selling Price (CAD)])</f>
        <v>3.99</v>
      </c>
      <c r="J882" s="5">
        <f>PRODUCT(Sales[[#This Row],[Quantity Sold]],Sales[[#This Row],[Unit Selling Price (CAD)]])</f>
        <v>183.54000000000002</v>
      </c>
    </row>
    <row r="883" spans="1:10">
      <c r="A883" t="s">
        <v>1331</v>
      </c>
      <c r="B883" s="2">
        <v>46138</v>
      </c>
      <c r="C883" t="s">
        <v>400</v>
      </c>
      <c r="D883" t="s">
        <v>401</v>
      </c>
      <c r="E883" t="str">
        <f>_xlfn.XLOOKUP(Sales[[#This Row],[Product Name]],Products[Product Name],Products[Category])</f>
        <v>Sauces &amp; Add-ons</v>
      </c>
      <c r="F883" t="s">
        <v>449</v>
      </c>
      <c r="G883" t="s">
        <v>452</v>
      </c>
      <c r="H883">
        <v>60</v>
      </c>
      <c r="I883" s="5">
        <f>_xlfn.XLOOKUP(Sales[[#This Row],[Product Name]],Products[Product Name],Products[Selling Price (CAD)])</f>
        <v>1.25</v>
      </c>
      <c r="J883" s="5">
        <f>PRODUCT(Sales[[#This Row],[Quantity Sold]],Sales[[#This Row],[Unit Selling Price (CAD)]])</f>
        <v>75</v>
      </c>
    </row>
    <row r="884" spans="1:10">
      <c r="A884" t="s">
        <v>1332</v>
      </c>
      <c r="B884" s="2">
        <v>46138</v>
      </c>
      <c r="C884" t="s">
        <v>135</v>
      </c>
      <c r="D884" t="s">
        <v>136</v>
      </c>
      <c r="E884" t="str">
        <f>_xlfn.XLOOKUP(Sales[[#This Row],[Product Name]],Products[Product Name],Products[Category])</f>
        <v>Breakfast</v>
      </c>
      <c r="F884" t="s">
        <v>449</v>
      </c>
      <c r="G884" t="s">
        <v>452</v>
      </c>
      <c r="H884">
        <v>60</v>
      </c>
      <c r="I884" s="5">
        <f>_xlfn.XLOOKUP(Sales[[#This Row],[Product Name]],Products[Product Name],Products[Selling Price (CAD)])</f>
        <v>4.99</v>
      </c>
      <c r="J884" s="5">
        <f>PRODUCT(Sales[[#This Row],[Quantity Sold]],Sales[[#This Row],[Unit Selling Price (CAD)]])</f>
        <v>299.40000000000003</v>
      </c>
    </row>
    <row r="885" spans="1:10">
      <c r="A885" t="s">
        <v>1333</v>
      </c>
      <c r="B885" s="2">
        <v>46138</v>
      </c>
      <c r="C885" t="s">
        <v>189</v>
      </c>
      <c r="D885" t="s">
        <v>190</v>
      </c>
      <c r="E885" t="str">
        <f>_xlfn.XLOOKUP(Sales[[#This Row],[Product Name]],Products[Product Name],Products[Category])</f>
        <v>Sides</v>
      </c>
      <c r="F885" t="s">
        <v>449</v>
      </c>
      <c r="G885" t="s">
        <v>450</v>
      </c>
      <c r="H885">
        <v>51</v>
      </c>
      <c r="I885" s="5">
        <f>_xlfn.XLOOKUP(Sales[[#This Row],[Product Name]],Products[Product Name],Products[Selling Price (CAD)])</f>
        <v>2.99</v>
      </c>
      <c r="J885" s="5">
        <f>PRODUCT(Sales[[#This Row],[Quantity Sold]],Sales[[#This Row],[Unit Selling Price (CAD)]])</f>
        <v>152.49</v>
      </c>
    </row>
    <row r="886" spans="1:10">
      <c r="A886" t="s">
        <v>1334</v>
      </c>
      <c r="B886" s="2">
        <v>46138</v>
      </c>
      <c r="C886" t="s">
        <v>66</v>
      </c>
      <c r="D886" t="s">
        <v>67</v>
      </c>
      <c r="E886" t="str">
        <f>_xlfn.XLOOKUP(Sales[[#This Row],[Product Name]],Products[Product Name],Products[Category])</f>
        <v>Burgers</v>
      </c>
      <c r="F886" t="s">
        <v>449</v>
      </c>
      <c r="G886" t="s">
        <v>452</v>
      </c>
      <c r="H886">
        <v>45</v>
      </c>
      <c r="I886" s="5">
        <f>_xlfn.XLOOKUP(Sales[[#This Row],[Product Name]],Products[Product Name],Products[Selling Price (CAD)])</f>
        <v>8.49</v>
      </c>
      <c r="J886" s="5">
        <f>PRODUCT(Sales[[#This Row],[Quantity Sold]],Sales[[#This Row],[Unit Selling Price (CAD)]])</f>
        <v>382.05</v>
      </c>
    </row>
    <row r="887" spans="1:10">
      <c r="A887" t="s">
        <v>1335</v>
      </c>
      <c r="B887" s="2">
        <v>46138</v>
      </c>
      <c r="C887" t="s">
        <v>34</v>
      </c>
      <c r="D887" t="s">
        <v>35</v>
      </c>
      <c r="E887" t="str">
        <f>_xlfn.XLOOKUP(Sales[[#This Row],[Product Name]],Products[Product Name],Products[Category])</f>
        <v>Burgers</v>
      </c>
      <c r="F887" t="s">
        <v>447</v>
      </c>
      <c r="G887" t="s">
        <v>454</v>
      </c>
      <c r="H887">
        <v>42</v>
      </c>
      <c r="I887" s="5">
        <f>_xlfn.XLOOKUP(Sales[[#This Row],[Product Name]],Products[Product Name],Products[Selling Price (CAD)])</f>
        <v>6.99</v>
      </c>
      <c r="J887" s="5">
        <f>PRODUCT(Sales[[#This Row],[Quantity Sold]],Sales[[#This Row],[Unit Selling Price (CAD)]])</f>
        <v>293.58</v>
      </c>
    </row>
    <row r="888" spans="1:10">
      <c r="A888" t="s">
        <v>1336</v>
      </c>
      <c r="B888" s="2">
        <v>46138</v>
      </c>
      <c r="C888" t="s">
        <v>97</v>
      </c>
      <c r="D888" t="s">
        <v>98</v>
      </c>
      <c r="E888" t="str">
        <f>_xlfn.XLOOKUP(Sales[[#This Row],[Product Name]],Products[Product Name],Products[Category])</f>
        <v>Chicken</v>
      </c>
      <c r="F888" t="s">
        <v>444</v>
      </c>
      <c r="G888" t="s">
        <v>450</v>
      </c>
      <c r="H888">
        <v>47</v>
      </c>
      <c r="I888" s="5">
        <f>_xlfn.XLOOKUP(Sales[[#This Row],[Product Name]],Products[Product Name],Products[Selling Price (CAD)])</f>
        <v>6.99</v>
      </c>
      <c r="J888" s="5">
        <f>PRODUCT(Sales[[#This Row],[Quantity Sold]],Sales[[#This Row],[Unit Selling Price (CAD)]])</f>
        <v>328.53000000000003</v>
      </c>
    </row>
    <row r="889" spans="1:10">
      <c r="A889" t="s">
        <v>1337</v>
      </c>
      <c r="B889" s="2">
        <v>46138</v>
      </c>
      <c r="C889" t="s">
        <v>21</v>
      </c>
      <c r="D889" t="s">
        <v>22</v>
      </c>
      <c r="E889" t="str">
        <f>_xlfn.XLOOKUP(Sales[[#This Row],[Product Name]],Products[Product Name],Products[Category])</f>
        <v>Burgers</v>
      </c>
      <c r="F889" t="s">
        <v>444</v>
      </c>
      <c r="G889" t="s">
        <v>450</v>
      </c>
      <c r="H889">
        <v>77</v>
      </c>
      <c r="I889" s="5">
        <f>_xlfn.XLOOKUP(Sales[[#This Row],[Product Name]],Products[Product Name],Products[Selling Price (CAD)])</f>
        <v>9.99</v>
      </c>
      <c r="J889" s="5">
        <f>PRODUCT(Sales[[#This Row],[Quantity Sold]],Sales[[#This Row],[Unit Selling Price (CAD)]])</f>
        <v>769.23</v>
      </c>
    </row>
    <row r="890" spans="1:10">
      <c r="A890" t="s">
        <v>1338</v>
      </c>
      <c r="B890" s="2">
        <v>46138</v>
      </c>
      <c r="C890" t="s">
        <v>295</v>
      </c>
      <c r="D890" t="s">
        <v>296</v>
      </c>
      <c r="E890" t="str">
        <f>_xlfn.XLOOKUP(Sales[[#This Row],[Product Name]],Products[Product Name],Products[Category])</f>
        <v>Beverages</v>
      </c>
      <c r="F890" t="s">
        <v>444</v>
      </c>
      <c r="G890" t="s">
        <v>450</v>
      </c>
      <c r="H890">
        <v>35</v>
      </c>
      <c r="I890" s="5">
        <f>_xlfn.XLOOKUP(Sales[[#This Row],[Product Name]],Products[Product Name],Products[Selling Price (CAD)])</f>
        <v>2.99</v>
      </c>
      <c r="J890" s="5">
        <f>PRODUCT(Sales[[#This Row],[Quantity Sold]],Sales[[#This Row],[Unit Selling Price (CAD)]])</f>
        <v>104.65</v>
      </c>
    </row>
    <row r="891" spans="1:10">
      <c r="A891" t="s">
        <v>1339</v>
      </c>
      <c r="B891" s="2">
        <v>46138</v>
      </c>
      <c r="C891" t="s">
        <v>95</v>
      </c>
      <c r="D891" t="s">
        <v>96</v>
      </c>
      <c r="E891" t="str">
        <f>_xlfn.XLOOKUP(Sales[[#This Row],[Product Name]],Products[Product Name],Products[Category])</f>
        <v>Chicken</v>
      </c>
      <c r="F891" t="s">
        <v>447</v>
      </c>
      <c r="G891" t="s">
        <v>454</v>
      </c>
      <c r="H891">
        <v>51</v>
      </c>
      <c r="I891" s="5">
        <f>_xlfn.XLOOKUP(Sales[[#This Row],[Product Name]],Products[Product Name],Products[Selling Price (CAD)])</f>
        <v>7.49</v>
      </c>
      <c r="J891" s="5">
        <f>PRODUCT(Sales[[#This Row],[Quantity Sold]],Sales[[#This Row],[Unit Selling Price (CAD)]])</f>
        <v>381.99</v>
      </c>
    </row>
    <row r="892" spans="1:10">
      <c r="A892" t="s">
        <v>1340</v>
      </c>
      <c r="B892" s="2">
        <v>46138</v>
      </c>
      <c r="C892" t="s">
        <v>321</v>
      </c>
      <c r="D892" t="s">
        <v>322</v>
      </c>
      <c r="E892" t="str">
        <f>_xlfn.XLOOKUP(Sales[[#This Row],[Product Name]],Products[Product Name],Products[Category])</f>
        <v>Beverages</v>
      </c>
      <c r="F892" t="s">
        <v>447</v>
      </c>
      <c r="G892" t="s">
        <v>445</v>
      </c>
      <c r="H892">
        <v>33</v>
      </c>
      <c r="I892" s="5">
        <f>_xlfn.XLOOKUP(Sales[[#This Row],[Product Name]],Products[Product Name],Products[Selling Price (CAD)])</f>
        <v>2.4900000000000002</v>
      </c>
      <c r="J892" s="5">
        <f>PRODUCT(Sales[[#This Row],[Quantity Sold]],Sales[[#This Row],[Unit Selling Price (CAD)]])</f>
        <v>82.17</v>
      </c>
    </row>
    <row r="893" spans="1:10">
      <c r="A893" t="s">
        <v>1341</v>
      </c>
      <c r="B893" s="2">
        <v>46139</v>
      </c>
      <c r="C893" t="s">
        <v>219</v>
      </c>
      <c r="D893" t="s">
        <v>220</v>
      </c>
      <c r="E893" t="str">
        <f>_xlfn.XLOOKUP(Sales[[#This Row],[Product Name]],Products[Product Name],Products[Category])</f>
        <v>Sides</v>
      </c>
      <c r="F893" t="s">
        <v>444</v>
      </c>
      <c r="G893" t="s">
        <v>454</v>
      </c>
      <c r="H893">
        <v>75</v>
      </c>
      <c r="I893" s="5">
        <f>_xlfn.XLOOKUP(Sales[[#This Row],[Product Name]],Products[Product Name],Products[Selling Price (CAD)])</f>
        <v>3.49</v>
      </c>
      <c r="J893" s="5">
        <f>PRODUCT(Sales[[#This Row],[Quantity Sold]],Sales[[#This Row],[Unit Selling Price (CAD)]])</f>
        <v>261.75</v>
      </c>
    </row>
    <row r="894" spans="1:10">
      <c r="A894" t="s">
        <v>1342</v>
      </c>
      <c r="B894" s="2">
        <v>46139</v>
      </c>
      <c r="C894" t="s">
        <v>235</v>
      </c>
      <c r="D894" t="s">
        <v>236</v>
      </c>
      <c r="E894" t="str">
        <f>_xlfn.XLOOKUP(Sales[[#This Row],[Product Name]],Products[Product Name],Products[Category])</f>
        <v>Salads</v>
      </c>
      <c r="F894" t="s">
        <v>447</v>
      </c>
      <c r="G894" t="s">
        <v>445</v>
      </c>
      <c r="H894">
        <v>70</v>
      </c>
      <c r="I894" s="5">
        <f>_xlfn.XLOOKUP(Sales[[#This Row],[Product Name]],Products[Product Name],Products[Selling Price (CAD)])</f>
        <v>9.49</v>
      </c>
      <c r="J894" s="5">
        <f>PRODUCT(Sales[[#This Row],[Quantity Sold]],Sales[[#This Row],[Unit Selling Price (CAD)]])</f>
        <v>664.30000000000007</v>
      </c>
    </row>
    <row r="895" spans="1:10">
      <c r="A895" t="s">
        <v>1343</v>
      </c>
      <c r="B895" s="2">
        <v>46139</v>
      </c>
      <c r="C895" t="s">
        <v>58</v>
      </c>
      <c r="D895" t="s">
        <v>59</v>
      </c>
      <c r="E895" t="str">
        <f>_xlfn.XLOOKUP(Sales[[#This Row],[Product Name]],Products[Product Name],Products[Category])</f>
        <v>Burgers</v>
      </c>
      <c r="F895" t="s">
        <v>449</v>
      </c>
      <c r="G895" t="s">
        <v>450</v>
      </c>
      <c r="H895">
        <v>32</v>
      </c>
      <c r="I895" s="5">
        <f>_xlfn.XLOOKUP(Sales[[#This Row],[Product Name]],Products[Product Name],Products[Selling Price (CAD)])</f>
        <v>8.49</v>
      </c>
      <c r="J895" s="5">
        <f>PRODUCT(Sales[[#This Row],[Quantity Sold]],Sales[[#This Row],[Unit Selling Price (CAD)]])</f>
        <v>271.68</v>
      </c>
    </row>
    <row r="896" spans="1:10">
      <c r="A896" t="s">
        <v>1344</v>
      </c>
      <c r="B896" s="2">
        <v>46139</v>
      </c>
      <c r="C896" t="s">
        <v>17</v>
      </c>
      <c r="D896" t="s">
        <v>18</v>
      </c>
      <c r="E896" t="str">
        <f>_xlfn.XLOOKUP(Sales[[#This Row],[Product Name]],Products[Product Name],Products[Category])</f>
        <v>Burgers</v>
      </c>
      <c r="F896" t="s">
        <v>447</v>
      </c>
      <c r="G896" t="s">
        <v>454</v>
      </c>
      <c r="H896">
        <v>30</v>
      </c>
      <c r="I896" s="5">
        <f>_xlfn.XLOOKUP(Sales[[#This Row],[Product Name]],Products[Product Name],Products[Selling Price (CAD)])</f>
        <v>7.99</v>
      </c>
      <c r="J896" s="5">
        <f>PRODUCT(Sales[[#This Row],[Quantity Sold]],Sales[[#This Row],[Unit Selling Price (CAD)]])</f>
        <v>239.70000000000002</v>
      </c>
    </row>
    <row r="897" spans="1:10">
      <c r="A897" t="s">
        <v>1345</v>
      </c>
      <c r="B897" s="2">
        <v>46139</v>
      </c>
      <c r="C897" t="s">
        <v>301</v>
      </c>
      <c r="D897" t="s">
        <v>302</v>
      </c>
      <c r="E897" t="str">
        <f>_xlfn.XLOOKUP(Sales[[#This Row],[Product Name]],Products[Product Name],Products[Category])</f>
        <v>Beverages</v>
      </c>
      <c r="F897" t="s">
        <v>447</v>
      </c>
      <c r="G897" t="s">
        <v>450</v>
      </c>
      <c r="H897">
        <v>30</v>
      </c>
      <c r="I897" s="5">
        <f>_xlfn.XLOOKUP(Sales[[#This Row],[Product Name]],Products[Product Name],Products[Selling Price (CAD)])</f>
        <v>1.99</v>
      </c>
      <c r="J897" s="5">
        <f>PRODUCT(Sales[[#This Row],[Quantity Sold]],Sales[[#This Row],[Unit Selling Price (CAD)]])</f>
        <v>59.7</v>
      </c>
    </row>
    <row r="898" spans="1:10">
      <c r="A898" t="s">
        <v>1346</v>
      </c>
      <c r="B898" s="2">
        <v>46140</v>
      </c>
      <c r="C898" t="s">
        <v>72</v>
      </c>
      <c r="D898" t="s">
        <v>73</v>
      </c>
      <c r="E898" t="str">
        <f>_xlfn.XLOOKUP(Sales[[#This Row],[Product Name]],Products[Product Name],Products[Category])</f>
        <v>Burgers</v>
      </c>
      <c r="F898" t="s">
        <v>449</v>
      </c>
      <c r="G898" t="s">
        <v>452</v>
      </c>
      <c r="H898">
        <v>52</v>
      </c>
      <c r="I898" s="5">
        <f>_xlfn.XLOOKUP(Sales[[#This Row],[Product Name]],Products[Product Name],Products[Selling Price (CAD)])</f>
        <v>6.99</v>
      </c>
      <c r="J898" s="5">
        <f>PRODUCT(Sales[[#This Row],[Quantity Sold]],Sales[[#This Row],[Unit Selling Price (CAD)]])</f>
        <v>363.48</v>
      </c>
    </row>
    <row r="899" spans="1:10">
      <c r="A899" t="s">
        <v>1347</v>
      </c>
      <c r="B899" s="2">
        <v>46140</v>
      </c>
      <c r="C899" t="s">
        <v>267</v>
      </c>
      <c r="D899" t="s">
        <v>268</v>
      </c>
      <c r="E899" t="str">
        <f>_xlfn.XLOOKUP(Sales[[#This Row],[Product Name]],Products[Product Name],Products[Category])</f>
        <v>Beverages</v>
      </c>
      <c r="F899" t="s">
        <v>449</v>
      </c>
      <c r="G899" t="s">
        <v>450</v>
      </c>
      <c r="H899">
        <v>71</v>
      </c>
      <c r="I899" s="5">
        <f>_xlfn.XLOOKUP(Sales[[#This Row],[Product Name]],Products[Product Name],Products[Selling Price (CAD)])</f>
        <v>2.99</v>
      </c>
      <c r="J899" s="5">
        <f>PRODUCT(Sales[[#This Row],[Quantity Sold]],Sales[[#This Row],[Unit Selling Price (CAD)]])</f>
        <v>212.29000000000002</v>
      </c>
    </row>
    <row r="900" spans="1:10">
      <c r="A900" t="s">
        <v>1348</v>
      </c>
      <c r="B900" s="2">
        <v>46140</v>
      </c>
      <c r="C900" t="s">
        <v>80</v>
      </c>
      <c r="D900" t="s">
        <v>81</v>
      </c>
      <c r="E900" t="str">
        <f>_xlfn.XLOOKUP(Sales[[#This Row],[Product Name]],Products[Product Name],Products[Category])</f>
        <v>Burgers</v>
      </c>
      <c r="F900" t="s">
        <v>447</v>
      </c>
      <c r="G900" t="s">
        <v>445</v>
      </c>
      <c r="H900">
        <v>80</v>
      </c>
      <c r="I900" s="5">
        <f>_xlfn.XLOOKUP(Sales[[#This Row],[Product Name]],Products[Product Name],Products[Selling Price (CAD)])</f>
        <v>2.99</v>
      </c>
      <c r="J900" s="5">
        <f>PRODUCT(Sales[[#This Row],[Quantity Sold]],Sales[[#This Row],[Unit Selling Price (CAD)]])</f>
        <v>239.20000000000002</v>
      </c>
    </row>
    <row r="901" spans="1:10">
      <c r="A901" t="s">
        <v>1349</v>
      </c>
      <c r="B901" s="2">
        <v>46140</v>
      </c>
      <c r="C901" t="s">
        <v>76</v>
      </c>
      <c r="D901" t="s">
        <v>77</v>
      </c>
      <c r="E901" t="str">
        <f>_xlfn.XLOOKUP(Sales[[#This Row],[Product Name]],Products[Product Name],Products[Category])</f>
        <v>Burgers</v>
      </c>
      <c r="F901" t="s">
        <v>444</v>
      </c>
      <c r="G901" t="s">
        <v>454</v>
      </c>
      <c r="H901">
        <v>67</v>
      </c>
      <c r="I901" s="5">
        <f>_xlfn.XLOOKUP(Sales[[#This Row],[Product Name]],Products[Product Name],Products[Selling Price (CAD)])</f>
        <v>2.99</v>
      </c>
      <c r="J901" s="5">
        <f>PRODUCT(Sales[[#This Row],[Quantity Sold]],Sales[[#This Row],[Unit Selling Price (CAD)]])</f>
        <v>200.33</v>
      </c>
    </row>
    <row r="902" spans="1:10">
      <c r="A902" t="s">
        <v>1350</v>
      </c>
      <c r="B902" s="2">
        <v>46140</v>
      </c>
      <c r="C902" t="s">
        <v>201</v>
      </c>
      <c r="D902" t="s">
        <v>202</v>
      </c>
      <c r="E902" t="str">
        <f>_xlfn.XLOOKUP(Sales[[#This Row],[Product Name]],Products[Product Name],Products[Category])</f>
        <v>Sides</v>
      </c>
      <c r="F902" t="s">
        <v>447</v>
      </c>
      <c r="G902" t="s">
        <v>452</v>
      </c>
      <c r="H902">
        <v>43</v>
      </c>
      <c r="I902" s="5">
        <f>_xlfn.XLOOKUP(Sales[[#This Row],[Product Name]],Products[Product Name],Products[Selling Price (CAD)])</f>
        <v>3.99</v>
      </c>
      <c r="J902" s="5">
        <f>PRODUCT(Sales[[#This Row],[Quantity Sold]],Sales[[#This Row],[Unit Selling Price (CAD)]])</f>
        <v>171.57000000000002</v>
      </c>
    </row>
    <row r="903" spans="1:10">
      <c r="A903" t="s">
        <v>1351</v>
      </c>
      <c r="B903" s="2">
        <v>46140</v>
      </c>
      <c r="C903" t="s">
        <v>255</v>
      </c>
      <c r="D903" t="s">
        <v>256</v>
      </c>
      <c r="E903" t="str">
        <f>_xlfn.XLOOKUP(Sales[[#This Row],[Product Name]],Products[Product Name],Products[Category])</f>
        <v>Beverages</v>
      </c>
      <c r="F903" t="s">
        <v>444</v>
      </c>
      <c r="G903" t="s">
        <v>450</v>
      </c>
      <c r="H903">
        <v>57</v>
      </c>
      <c r="I903" s="5">
        <f>_xlfn.XLOOKUP(Sales[[#This Row],[Product Name]],Products[Product Name],Products[Selling Price (CAD)])</f>
        <v>2.99</v>
      </c>
      <c r="J903" s="5">
        <f>PRODUCT(Sales[[#This Row],[Quantity Sold]],Sales[[#This Row],[Unit Selling Price (CAD)]])</f>
        <v>170.43</v>
      </c>
    </row>
    <row r="904" spans="1:10">
      <c r="A904" t="s">
        <v>1352</v>
      </c>
      <c r="B904" s="2">
        <v>46140</v>
      </c>
      <c r="C904" t="s">
        <v>277</v>
      </c>
      <c r="D904" t="s">
        <v>278</v>
      </c>
      <c r="E904" t="str">
        <f>_xlfn.XLOOKUP(Sales[[#This Row],[Product Name]],Products[Product Name],Products[Category])</f>
        <v>Beverages</v>
      </c>
      <c r="F904" t="s">
        <v>449</v>
      </c>
      <c r="G904" t="s">
        <v>452</v>
      </c>
      <c r="H904">
        <v>37</v>
      </c>
      <c r="I904" s="5">
        <f>_xlfn.XLOOKUP(Sales[[#This Row],[Product Name]],Products[Product Name],Products[Selling Price (CAD)])</f>
        <v>1.99</v>
      </c>
      <c r="J904" s="5">
        <f>PRODUCT(Sales[[#This Row],[Quantity Sold]],Sales[[#This Row],[Unit Selling Price (CAD)]])</f>
        <v>73.63</v>
      </c>
    </row>
    <row r="905" spans="1:10">
      <c r="A905" t="s">
        <v>1353</v>
      </c>
      <c r="B905" s="2">
        <v>46141</v>
      </c>
      <c r="C905" t="s">
        <v>203</v>
      </c>
      <c r="D905" t="s">
        <v>204</v>
      </c>
      <c r="E905" t="str">
        <f>_xlfn.XLOOKUP(Sales[[#This Row],[Product Name]],Products[Product Name],Products[Category])</f>
        <v>Sides</v>
      </c>
      <c r="F905" t="s">
        <v>444</v>
      </c>
      <c r="G905" t="s">
        <v>450</v>
      </c>
      <c r="H905">
        <v>33</v>
      </c>
      <c r="I905" s="5">
        <f>_xlfn.XLOOKUP(Sales[[#This Row],[Product Name]],Products[Product Name],Products[Selling Price (CAD)])</f>
        <v>4.49</v>
      </c>
      <c r="J905" s="5">
        <f>PRODUCT(Sales[[#This Row],[Quantity Sold]],Sales[[#This Row],[Unit Selling Price (CAD)]])</f>
        <v>148.17000000000002</v>
      </c>
    </row>
    <row r="906" spans="1:10">
      <c r="A906" t="s">
        <v>1354</v>
      </c>
      <c r="B906" s="2">
        <v>46141</v>
      </c>
      <c r="C906" t="s">
        <v>34</v>
      </c>
      <c r="D906" t="s">
        <v>35</v>
      </c>
      <c r="E906" t="str">
        <f>_xlfn.XLOOKUP(Sales[[#This Row],[Product Name]],Products[Product Name],Products[Category])</f>
        <v>Burgers</v>
      </c>
      <c r="F906" t="s">
        <v>444</v>
      </c>
      <c r="G906" t="s">
        <v>450</v>
      </c>
      <c r="H906">
        <v>55</v>
      </c>
      <c r="I906" s="5">
        <f>_xlfn.XLOOKUP(Sales[[#This Row],[Product Name]],Products[Product Name],Products[Selling Price (CAD)])</f>
        <v>6.99</v>
      </c>
      <c r="J906" s="5">
        <f>PRODUCT(Sales[[#This Row],[Quantity Sold]],Sales[[#This Row],[Unit Selling Price (CAD)]])</f>
        <v>384.45</v>
      </c>
    </row>
    <row r="907" spans="1:10">
      <c r="A907" t="s">
        <v>1355</v>
      </c>
      <c r="B907" s="2">
        <v>46141</v>
      </c>
      <c r="C907" t="s">
        <v>91</v>
      </c>
      <c r="D907" t="s">
        <v>92</v>
      </c>
      <c r="E907" t="str">
        <f>_xlfn.XLOOKUP(Sales[[#This Row],[Product Name]],Products[Product Name],Products[Category])</f>
        <v>Chicken</v>
      </c>
      <c r="F907" t="s">
        <v>444</v>
      </c>
      <c r="G907" t="s">
        <v>454</v>
      </c>
      <c r="H907">
        <v>63</v>
      </c>
      <c r="I907" s="5">
        <f>_xlfn.XLOOKUP(Sales[[#This Row],[Product Name]],Products[Product Name],Products[Selling Price (CAD)])</f>
        <v>7.49</v>
      </c>
      <c r="J907" s="5">
        <f>PRODUCT(Sales[[#This Row],[Quantity Sold]],Sales[[#This Row],[Unit Selling Price (CAD)]])</f>
        <v>471.87</v>
      </c>
    </row>
    <row r="908" spans="1:10">
      <c r="A908" t="s">
        <v>1356</v>
      </c>
      <c r="B908" s="2">
        <v>46141</v>
      </c>
      <c r="C908" t="s">
        <v>353</v>
      </c>
      <c r="D908" t="s">
        <v>354</v>
      </c>
      <c r="E908" t="str">
        <f>_xlfn.XLOOKUP(Sales[[#This Row],[Product Name]],Products[Product Name],Products[Category])</f>
        <v>Desserts</v>
      </c>
      <c r="F908" t="s">
        <v>447</v>
      </c>
      <c r="G908" t="s">
        <v>452</v>
      </c>
      <c r="H908">
        <v>79</v>
      </c>
      <c r="I908" s="5">
        <f>_xlfn.XLOOKUP(Sales[[#This Row],[Product Name]],Products[Product Name],Products[Selling Price (CAD)])</f>
        <v>4.99</v>
      </c>
      <c r="J908" s="5">
        <f>PRODUCT(Sales[[#This Row],[Quantity Sold]],Sales[[#This Row],[Unit Selling Price (CAD)]])</f>
        <v>394.21000000000004</v>
      </c>
    </row>
    <row r="909" spans="1:10">
      <c r="A909" t="s">
        <v>1357</v>
      </c>
      <c r="B909" s="2">
        <v>46141</v>
      </c>
      <c r="C909" t="s">
        <v>265</v>
      </c>
      <c r="D909" t="s">
        <v>266</v>
      </c>
      <c r="E909" t="str">
        <f>_xlfn.XLOOKUP(Sales[[#This Row],[Product Name]],Products[Product Name],Products[Category])</f>
        <v>Beverages</v>
      </c>
      <c r="F909" t="s">
        <v>444</v>
      </c>
      <c r="G909" t="s">
        <v>454</v>
      </c>
      <c r="H909">
        <v>74</v>
      </c>
      <c r="I909" s="5">
        <f>_xlfn.XLOOKUP(Sales[[#This Row],[Product Name]],Products[Product Name],Products[Selling Price (CAD)])</f>
        <v>1.99</v>
      </c>
      <c r="J909" s="5">
        <f>PRODUCT(Sales[[#This Row],[Quantity Sold]],Sales[[#This Row],[Unit Selling Price (CAD)]])</f>
        <v>147.26</v>
      </c>
    </row>
    <row r="910" spans="1:10">
      <c r="A910" t="s">
        <v>1358</v>
      </c>
      <c r="B910" s="2">
        <v>46141</v>
      </c>
      <c r="C910" t="s">
        <v>70</v>
      </c>
      <c r="D910" t="s">
        <v>71</v>
      </c>
      <c r="E910" t="str">
        <f>_xlfn.XLOOKUP(Sales[[#This Row],[Product Name]],Products[Product Name],Products[Category])</f>
        <v>Burgers</v>
      </c>
      <c r="F910" t="s">
        <v>444</v>
      </c>
      <c r="G910" t="s">
        <v>450</v>
      </c>
      <c r="H910">
        <v>57</v>
      </c>
      <c r="I910" s="5">
        <f>_xlfn.XLOOKUP(Sales[[#This Row],[Product Name]],Products[Product Name],Products[Selling Price (CAD)])</f>
        <v>8.99</v>
      </c>
      <c r="J910" s="5">
        <f>PRODUCT(Sales[[#This Row],[Quantity Sold]],Sales[[#This Row],[Unit Selling Price (CAD)]])</f>
        <v>512.43000000000006</v>
      </c>
    </row>
    <row r="911" spans="1:10">
      <c r="A911" t="s">
        <v>1359</v>
      </c>
      <c r="B911" s="2">
        <v>46141</v>
      </c>
      <c r="C911" t="s">
        <v>321</v>
      </c>
      <c r="D911" t="s">
        <v>322</v>
      </c>
      <c r="E911" t="str">
        <f>_xlfn.XLOOKUP(Sales[[#This Row],[Product Name]],Products[Product Name],Products[Category])</f>
        <v>Beverages</v>
      </c>
      <c r="F911" t="s">
        <v>444</v>
      </c>
      <c r="G911" t="s">
        <v>450</v>
      </c>
      <c r="H911">
        <v>62</v>
      </c>
      <c r="I911" s="5">
        <f>_xlfn.XLOOKUP(Sales[[#This Row],[Product Name]],Products[Product Name],Products[Selling Price (CAD)])</f>
        <v>2.4900000000000002</v>
      </c>
      <c r="J911" s="5">
        <f>PRODUCT(Sales[[#This Row],[Quantity Sold]],Sales[[#This Row],[Unit Selling Price (CAD)]])</f>
        <v>154.38000000000002</v>
      </c>
    </row>
    <row r="912" spans="1:10">
      <c r="A912" t="s">
        <v>1360</v>
      </c>
      <c r="B912" s="2">
        <v>46141</v>
      </c>
      <c r="C912" t="s">
        <v>197</v>
      </c>
      <c r="D912" t="s">
        <v>198</v>
      </c>
      <c r="E912" t="str">
        <f>_xlfn.XLOOKUP(Sales[[#This Row],[Product Name]],Products[Product Name],Products[Category])</f>
        <v>Sides</v>
      </c>
      <c r="F912" t="s">
        <v>447</v>
      </c>
      <c r="G912" t="s">
        <v>452</v>
      </c>
      <c r="H912">
        <v>75</v>
      </c>
      <c r="I912" s="5">
        <f>_xlfn.XLOOKUP(Sales[[#This Row],[Product Name]],Products[Product Name],Products[Selling Price (CAD)])</f>
        <v>4.49</v>
      </c>
      <c r="J912" s="5">
        <f>PRODUCT(Sales[[#This Row],[Quantity Sold]],Sales[[#This Row],[Unit Selling Price (CAD)]])</f>
        <v>336.75</v>
      </c>
    </row>
    <row r="913" spans="1:10">
      <c r="A913" t="s">
        <v>1361</v>
      </c>
      <c r="B913" s="2">
        <v>46141</v>
      </c>
      <c r="C913" t="s">
        <v>117</v>
      </c>
      <c r="D913" t="s">
        <v>118</v>
      </c>
      <c r="E913" t="str">
        <f>_xlfn.XLOOKUP(Sales[[#This Row],[Product Name]],Products[Product Name],Products[Category])</f>
        <v>Chicken</v>
      </c>
      <c r="F913" t="s">
        <v>449</v>
      </c>
      <c r="G913" t="s">
        <v>454</v>
      </c>
      <c r="H913">
        <v>46</v>
      </c>
      <c r="I913" s="5">
        <f>_xlfn.XLOOKUP(Sales[[#This Row],[Product Name]],Products[Product Name],Products[Selling Price (CAD)])</f>
        <v>4.99</v>
      </c>
      <c r="J913" s="5">
        <f>PRODUCT(Sales[[#This Row],[Quantity Sold]],Sales[[#This Row],[Unit Selling Price (CAD)]])</f>
        <v>229.54000000000002</v>
      </c>
    </row>
    <row r="914" spans="1:10">
      <c r="A914" t="s">
        <v>1362</v>
      </c>
      <c r="B914" s="2">
        <v>46141</v>
      </c>
      <c r="C914" t="s">
        <v>313</v>
      </c>
      <c r="D914" t="s">
        <v>314</v>
      </c>
      <c r="E914" t="str">
        <f>_xlfn.XLOOKUP(Sales[[#This Row],[Product Name]],Products[Product Name],Products[Category])</f>
        <v>Beverages</v>
      </c>
      <c r="F914" t="s">
        <v>449</v>
      </c>
      <c r="G914" t="s">
        <v>454</v>
      </c>
      <c r="H914">
        <v>78</v>
      </c>
      <c r="I914" s="5">
        <f>_xlfn.XLOOKUP(Sales[[#This Row],[Product Name]],Products[Product Name],Products[Selling Price (CAD)])</f>
        <v>3.99</v>
      </c>
      <c r="J914" s="5">
        <f>PRODUCT(Sales[[#This Row],[Quantity Sold]],Sales[[#This Row],[Unit Selling Price (CAD)]])</f>
        <v>311.22000000000003</v>
      </c>
    </row>
    <row r="915" spans="1:10">
      <c r="A915" t="s">
        <v>1363</v>
      </c>
      <c r="B915" s="2">
        <v>46141</v>
      </c>
      <c r="C915" t="s">
        <v>203</v>
      </c>
      <c r="D915" t="s">
        <v>204</v>
      </c>
      <c r="E915" t="str">
        <f>_xlfn.XLOOKUP(Sales[[#This Row],[Product Name]],Products[Product Name],Products[Category])</f>
        <v>Sides</v>
      </c>
      <c r="F915" t="s">
        <v>444</v>
      </c>
      <c r="G915" t="s">
        <v>452</v>
      </c>
      <c r="H915">
        <v>30</v>
      </c>
      <c r="I915" s="5">
        <f>_xlfn.XLOOKUP(Sales[[#This Row],[Product Name]],Products[Product Name],Products[Selling Price (CAD)])</f>
        <v>4.49</v>
      </c>
      <c r="J915" s="5">
        <f>PRODUCT(Sales[[#This Row],[Quantity Sold]],Sales[[#This Row],[Unit Selling Price (CAD)]])</f>
        <v>134.70000000000002</v>
      </c>
    </row>
    <row r="916" spans="1:10">
      <c r="A916" t="s">
        <v>1364</v>
      </c>
      <c r="B916" s="2">
        <v>46141</v>
      </c>
      <c r="C916" t="s">
        <v>145</v>
      </c>
      <c r="D916" t="s">
        <v>146</v>
      </c>
      <c r="E916" t="str">
        <f>_xlfn.XLOOKUP(Sales[[#This Row],[Product Name]],Products[Product Name],Products[Category])</f>
        <v>Breakfast</v>
      </c>
      <c r="F916" t="s">
        <v>444</v>
      </c>
      <c r="G916" t="s">
        <v>450</v>
      </c>
      <c r="H916">
        <v>36</v>
      </c>
      <c r="I916" s="5">
        <f>_xlfn.XLOOKUP(Sales[[#This Row],[Product Name]],Products[Product Name],Products[Selling Price (CAD)])</f>
        <v>4.99</v>
      </c>
      <c r="J916" s="5">
        <f>PRODUCT(Sales[[#This Row],[Quantity Sold]],Sales[[#This Row],[Unit Selling Price (CAD)]])</f>
        <v>179.64000000000001</v>
      </c>
    </row>
    <row r="917" spans="1:10">
      <c r="A917" t="s">
        <v>1365</v>
      </c>
      <c r="B917" s="2">
        <v>46142</v>
      </c>
      <c r="C917" t="s">
        <v>25</v>
      </c>
      <c r="D917" t="s">
        <v>26</v>
      </c>
      <c r="E917" t="str">
        <f>_xlfn.XLOOKUP(Sales[[#This Row],[Product Name]],Products[Product Name],Products[Category])</f>
        <v>Burgers</v>
      </c>
      <c r="F917" t="s">
        <v>449</v>
      </c>
      <c r="G917" t="s">
        <v>450</v>
      </c>
      <c r="H917">
        <v>64</v>
      </c>
      <c r="I917" s="5">
        <f>_xlfn.XLOOKUP(Sales[[#This Row],[Product Name]],Products[Product Name],Products[Selling Price (CAD)])</f>
        <v>5.99</v>
      </c>
      <c r="J917" s="5">
        <f>PRODUCT(Sales[[#This Row],[Quantity Sold]],Sales[[#This Row],[Unit Selling Price (CAD)]])</f>
        <v>383.36</v>
      </c>
    </row>
    <row r="918" spans="1:10">
      <c r="A918" t="s">
        <v>1366</v>
      </c>
      <c r="B918" s="2">
        <v>46142</v>
      </c>
      <c r="C918" t="s">
        <v>199</v>
      </c>
      <c r="D918" t="s">
        <v>200</v>
      </c>
      <c r="E918" t="str">
        <f>_xlfn.XLOOKUP(Sales[[#This Row],[Product Name]],Products[Product Name],Products[Category])</f>
        <v>Sides</v>
      </c>
      <c r="F918" t="s">
        <v>449</v>
      </c>
      <c r="G918" t="s">
        <v>452</v>
      </c>
      <c r="H918">
        <v>56</v>
      </c>
      <c r="I918" s="5">
        <f>_xlfn.XLOOKUP(Sales[[#This Row],[Product Name]],Products[Product Name],Products[Selling Price (CAD)])</f>
        <v>4.99</v>
      </c>
      <c r="J918" s="5">
        <f>PRODUCT(Sales[[#This Row],[Quantity Sold]],Sales[[#This Row],[Unit Selling Price (CAD)]])</f>
        <v>279.44</v>
      </c>
    </row>
    <row r="919" spans="1:10">
      <c r="A919" t="s">
        <v>1367</v>
      </c>
      <c r="B919" s="2">
        <v>46142</v>
      </c>
      <c r="C919" t="s">
        <v>93</v>
      </c>
      <c r="D919" t="s">
        <v>94</v>
      </c>
      <c r="E919" t="str">
        <f>_xlfn.XLOOKUP(Sales[[#This Row],[Product Name]],Products[Product Name],Products[Category])</f>
        <v>Chicken</v>
      </c>
      <c r="F919" t="s">
        <v>444</v>
      </c>
      <c r="G919" t="s">
        <v>450</v>
      </c>
      <c r="H919">
        <v>59</v>
      </c>
      <c r="I919" s="5">
        <f>_xlfn.XLOOKUP(Sales[[#This Row],[Product Name]],Products[Product Name],Products[Selling Price (CAD)])</f>
        <v>7.49</v>
      </c>
      <c r="J919" s="5">
        <f>PRODUCT(Sales[[#This Row],[Quantity Sold]],Sales[[#This Row],[Unit Selling Price (CAD)]])</f>
        <v>441.91</v>
      </c>
    </row>
    <row r="920" spans="1:10">
      <c r="A920" t="s">
        <v>1368</v>
      </c>
      <c r="B920" s="2">
        <v>46143</v>
      </c>
      <c r="C920" t="s">
        <v>331</v>
      </c>
      <c r="D920" t="s">
        <v>332</v>
      </c>
      <c r="E920" t="str">
        <f>_xlfn.XLOOKUP(Sales[[#This Row],[Product Name]],Products[Product Name],Products[Category])</f>
        <v>Desserts</v>
      </c>
      <c r="F920" t="s">
        <v>449</v>
      </c>
      <c r="G920" t="s">
        <v>452</v>
      </c>
      <c r="H920">
        <v>71</v>
      </c>
      <c r="I920" s="5">
        <f>_xlfn.XLOOKUP(Sales[[#This Row],[Product Name]],Products[Product Name],Products[Selling Price (CAD)])</f>
        <v>3.49</v>
      </c>
      <c r="J920" s="5">
        <f>PRODUCT(Sales[[#This Row],[Quantity Sold]],Sales[[#This Row],[Unit Selling Price (CAD)]])</f>
        <v>247.79000000000002</v>
      </c>
    </row>
    <row r="921" spans="1:10">
      <c r="A921" t="s">
        <v>1369</v>
      </c>
      <c r="B921" s="2">
        <v>46143</v>
      </c>
      <c r="C921" t="s">
        <v>82</v>
      </c>
      <c r="D921" t="s">
        <v>83</v>
      </c>
      <c r="E921" t="str">
        <f>_xlfn.XLOOKUP(Sales[[#This Row],[Product Name]],Products[Product Name],Products[Category])</f>
        <v>Chicken</v>
      </c>
      <c r="F921" t="s">
        <v>449</v>
      </c>
      <c r="G921" t="s">
        <v>452</v>
      </c>
      <c r="H921">
        <v>76</v>
      </c>
      <c r="I921" s="5">
        <f>_xlfn.XLOOKUP(Sales[[#This Row],[Product Name]],Products[Product Name],Products[Selling Price (CAD)])</f>
        <v>6.99</v>
      </c>
      <c r="J921" s="5">
        <f>PRODUCT(Sales[[#This Row],[Quantity Sold]],Sales[[#This Row],[Unit Selling Price (CAD)]])</f>
        <v>531.24</v>
      </c>
    </row>
    <row r="922" spans="1:10">
      <c r="A922" t="s">
        <v>1370</v>
      </c>
      <c r="B922" s="2">
        <v>46143</v>
      </c>
      <c r="C922" t="s">
        <v>70</v>
      </c>
      <c r="D922" t="s">
        <v>71</v>
      </c>
      <c r="E922" t="str">
        <f>_xlfn.XLOOKUP(Sales[[#This Row],[Product Name]],Products[Product Name],Products[Category])</f>
        <v>Burgers</v>
      </c>
      <c r="F922" t="s">
        <v>444</v>
      </c>
      <c r="G922" t="s">
        <v>450</v>
      </c>
      <c r="H922">
        <v>44</v>
      </c>
      <c r="I922" s="5">
        <f>_xlfn.XLOOKUP(Sales[[#This Row],[Product Name]],Products[Product Name],Products[Selling Price (CAD)])</f>
        <v>8.99</v>
      </c>
      <c r="J922" s="5">
        <f>PRODUCT(Sales[[#This Row],[Quantity Sold]],Sales[[#This Row],[Unit Selling Price (CAD)]])</f>
        <v>395.56</v>
      </c>
    </row>
    <row r="923" spans="1:10">
      <c r="A923" t="s">
        <v>1371</v>
      </c>
      <c r="B923" s="2">
        <v>46143</v>
      </c>
      <c r="C923" t="s">
        <v>119</v>
      </c>
      <c r="D923" t="s">
        <v>120</v>
      </c>
      <c r="E923" t="str">
        <f>_xlfn.XLOOKUP(Sales[[#This Row],[Product Name]],Products[Product Name],Products[Category])</f>
        <v>Chicken</v>
      </c>
      <c r="F923" t="s">
        <v>449</v>
      </c>
      <c r="G923" t="s">
        <v>450</v>
      </c>
      <c r="H923">
        <v>38</v>
      </c>
      <c r="I923" s="5">
        <f>_xlfn.XLOOKUP(Sales[[#This Row],[Product Name]],Products[Product Name],Products[Selling Price (CAD)])</f>
        <v>6.99</v>
      </c>
      <c r="J923" s="5">
        <f>PRODUCT(Sales[[#This Row],[Quantity Sold]],Sales[[#This Row],[Unit Selling Price (CAD)]])</f>
        <v>265.62</v>
      </c>
    </row>
    <row r="924" spans="1:10">
      <c r="A924" t="s">
        <v>1372</v>
      </c>
      <c r="B924" s="2">
        <v>46144</v>
      </c>
      <c r="C924" t="s">
        <v>113</v>
      </c>
      <c r="D924" t="s">
        <v>114</v>
      </c>
      <c r="E924" t="str">
        <f>_xlfn.XLOOKUP(Sales[[#This Row],[Product Name]],Products[Product Name],Products[Category])</f>
        <v>Chicken</v>
      </c>
      <c r="F924" t="s">
        <v>444</v>
      </c>
      <c r="G924" t="s">
        <v>445</v>
      </c>
      <c r="H924">
        <v>80</v>
      </c>
      <c r="I924" s="5">
        <f>_xlfn.XLOOKUP(Sales[[#This Row],[Product Name]],Products[Product Name],Products[Selling Price (CAD)])</f>
        <v>5.99</v>
      </c>
      <c r="J924" s="5">
        <f>PRODUCT(Sales[[#This Row],[Quantity Sold]],Sales[[#This Row],[Unit Selling Price (CAD)]])</f>
        <v>479.20000000000005</v>
      </c>
    </row>
    <row r="925" spans="1:10">
      <c r="A925" t="s">
        <v>1373</v>
      </c>
      <c r="B925" s="2">
        <v>46144</v>
      </c>
      <c r="C925" t="s">
        <v>337</v>
      </c>
      <c r="D925" t="s">
        <v>338</v>
      </c>
      <c r="E925" t="str">
        <f>_xlfn.XLOOKUP(Sales[[#This Row],[Product Name]],Products[Product Name],Products[Category])</f>
        <v>Desserts</v>
      </c>
      <c r="F925" t="s">
        <v>444</v>
      </c>
      <c r="G925" t="s">
        <v>452</v>
      </c>
      <c r="H925">
        <v>58</v>
      </c>
      <c r="I925" s="5">
        <f>_xlfn.XLOOKUP(Sales[[#This Row],[Product Name]],Products[Product Name],Products[Selling Price (CAD)])</f>
        <v>1.49</v>
      </c>
      <c r="J925" s="5">
        <f>PRODUCT(Sales[[#This Row],[Quantity Sold]],Sales[[#This Row],[Unit Selling Price (CAD)]])</f>
        <v>86.42</v>
      </c>
    </row>
    <row r="926" spans="1:10">
      <c r="A926" t="s">
        <v>1374</v>
      </c>
      <c r="B926" s="2">
        <v>46144</v>
      </c>
      <c r="C926" t="s">
        <v>323</v>
      </c>
      <c r="D926" t="s">
        <v>324</v>
      </c>
      <c r="E926" t="str">
        <f>_xlfn.XLOOKUP(Sales[[#This Row],[Product Name]],Products[Product Name],Products[Category])</f>
        <v>Desserts</v>
      </c>
      <c r="F926" t="s">
        <v>444</v>
      </c>
      <c r="G926" t="s">
        <v>452</v>
      </c>
      <c r="H926">
        <v>35</v>
      </c>
      <c r="I926" s="5">
        <f>_xlfn.XLOOKUP(Sales[[#This Row],[Product Name]],Products[Product Name],Products[Selling Price (CAD)])</f>
        <v>2.99</v>
      </c>
      <c r="J926" s="5">
        <f>PRODUCT(Sales[[#This Row],[Quantity Sold]],Sales[[#This Row],[Unit Selling Price (CAD)]])</f>
        <v>104.65</v>
      </c>
    </row>
    <row r="927" spans="1:10">
      <c r="A927" t="s">
        <v>1375</v>
      </c>
      <c r="B927" s="2">
        <v>46144</v>
      </c>
      <c r="C927" t="s">
        <v>307</v>
      </c>
      <c r="D927" t="s">
        <v>308</v>
      </c>
      <c r="E927" t="str">
        <f>_xlfn.XLOOKUP(Sales[[#This Row],[Product Name]],Products[Product Name],Products[Category])</f>
        <v>Beverages</v>
      </c>
      <c r="F927" t="s">
        <v>449</v>
      </c>
      <c r="G927" t="s">
        <v>450</v>
      </c>
      <c r="H927">
        <v>59</v>
      </c>
      <c r="I927" s="5">
        <f>_xlfn.XLOOKUP(Sales[[#This Row],[Product Name]],Products[Product Name],Products[Selling Price (CAD)])</f>
        <v>2.99</v>
      </c>
      <c r="J927" s="5">
        <f>PRODUCT(Sales[[#This Row],[Quantity Sold]],Sales[[#This Row],[Unit Selling Price (CAD)]])</f>
        <v>176.41000000000003</v>
      </c>
    </row>
    <row r="928" spans="1:10">
      <c r="A928" t="s">
        <v>1376</v>
      </c>
      <c r="B928" s="2">
        <v>46144</v>
      </c>
      <c r="C928" t="s">
        <v>58</v>
      </c>
      <c r="D928" t="s">
        <v>59</v>
      </c>
      <c r="E928" t="str">
        <f>_xlfn.XLOOKUP(Sales[[#This Row],[Product Name]],Products[Product Name],Products[Category])</f>
        <v>Burgers</v>
      </c>
      <c r="F928" t="s">
        <v>449</v>
      </c>
      <c r="G928" t="s">
        <v>452</v>
      </c>
      <c r="H928">
        <v>73</v>
      </c>
      <c r="I928" s="5">
        <f>_xlfn.XLOOKUP(Sales[[#This Row],[Product Name]],Products[Product Name],Products[Selling Price (CAD)])</f>
        <v>8.49</v>
      </c>
      <c r="J928" s="5">
        <f>PRODUCT(Sales[[#This Row],[Quantity Sold]],Sales[[#This Row],[Unit Selling Price (CAD)]])</f>
        <v>619.77</v>
      </c>
    </row>
    <row r="929" spans="1:10">
      <c r="A929" t="s">
        <v>1377</v>
      </c>
      <c r="B929" s="2">
        <v>46144</v>
      </c>
      <c r="C929" t="s">
        <v>145</v>
      </c>
      <c r="D929" t="s">
        <v>146</v>
      </c>
      <c r="E929" t="str">
        <f>_xlfn.XLOOKUP(Sales[[#This Row],[Product Name]],Products[Product Name],Products[Category])</f>
        <v>Breakfast</v>
      </c>
      <c r="F929" t="s">
        <v>444</v>
      </c>
      <c r="G929" t="s">
        <v>445</v>
      </c>
      <c r="H929">
        <v>59</v>
      </c>
      <c r="I929" s="5">
        <f>_xlfn.XLOOKUP(Sales[[#This Row],[Product Name]],Products[Product Name],Products[Selling Price (CAD)])</f>
        <v>4.99</v>
      </c>
      <c r="J929" s="5">
        <f>PRODUCT(Sales[[#This Row],[Quantity Sold]],Sales[[#This Row],[Unit Selling Price (CAD)]])</f>
        <v>294.41000000000003</v>
      </c>
    </row>
    <row r="930" spans="1:10">
      <c r="A930" t="s">
        <v>1378</v>
      </c>
      <c r="B930" s="2">
        <v>46144</v>
      </c>
      <c r="C930" t="s">
        <v>279</v>
      </c>
      <c r="D930" t="s">
        <v>280</v>
      </c>
      <c r="E930" t="str">
        <f>_xlfn.XLOOKUP(Sales[[#This Row],[Product Name]],Products[Product Name],Products[Category])</f>
        <v>Beverages</v>
      </c>
      <c r="F930" t="s">
        <v>449</v>
      </c>
      <c r="G930" t="s">
        <v>450</v>
      </c>
      <c r="H930">
        <v>65</v>
      </c>
      <c r="I930" s="5">
        <f>_xlfn.XLOOKUP(Sales[[#This Row],[Product Name]],Products[Product Name],Products[Selling Price (CAD)])</f>
        <v>2.99</v>
      </c>
      <c r="J930" s="5">
        <f>PRODUCT(Sales[[#This Row],[Quantity Sold]],Sales[[#This Row],[Unit Selling Price (CAD)]])</f>
        <v>194.35000000000002</v>
      </c>
    </row>
    <row r="931" spans="1:10">
      <c r="A931" t="s">
        <v>1379</v>
      </c>
      <c r="B931" s="2">
        <v>46145</v>
      </c>
      <c r="C931" t="s">
        <v>275</v>
      </c>
      <c r="D931" t="s">
        <v>276</v>
      </c>
      <c r="E931" t="str">
        <f>_xlfn.XLOOKUP(Sales[[#This Row],[Product Name]],Products[Product Name],Products[Category])</f>
        <v>Beverages</v>
      </c>
      <c r="F931" t="s">
        <v>449</v>
      </c>
      <c r="G931" t="s">
        <v>452</v>
      </c>
      <c r="H931">
        <v>70</v>
      </c>
      <c r="I931" s="5">
        <f>_xlfn.XLOOKUP(Sales[[#This Row],[Product Name]],Products[Product Name],Products[Selling Price (CAD)])</f>
        <v>2.99</v>
      </c>
      <c r="J931" s="5">
        <f>PRODUCT(Sales[[#This Row],[Quantity Sold]],Sales[[#This Row],[Unit Selling Price (CAD)]])</f>
        <v>209.3</v>
      </c>
    </row>
    <row r="932" spans="1:10">
      <c r="A932" t="s">
        <v>1380</v>
      </c>
      <c r="B932" s="2">
        <v>46145</v>
      </c>
      <c r="C932" t="s">
        <v>297</v>
      </c>
      <c r="D932" t="s">
        <v>298</v>
      </c>
      <c r="E932" t="str">
        <f>_xlfn.XLOOKUP(Sales[[#This Row],[Product Name]],Products[Product Name],Products[Category])</f>
        <v>Beverages</v>
      </c>
      <c r="F932" t="s">
        <v>444</v>
      </c>
      <c r="G932" t="s">
        <v>454</v>
      </c>
      <c r="H932">
        <v>79</v>
      </c>
      <c r="I932" s="5">
        <f>_xlfn.XLOOKUP(Sales[[#This Row],[Product Name]],Products[Product Name],Products[Selling Price (CAD)])</f>
        <v>2.99</v>
      </c>
      <c r="J932" s="5">
        <f>PRODUCT(Sales[[#This Row],[Quantity Sold]],Sales[[#This Row],[Unit Selling Price (CAD)]])</f>
        <v>236.21</v>
      </c>
    </row>
    <row r="933" spans="1:10">
      <c r="A933" t="s">
        <v>1381</v>
      </c>
      <c r="B933" s="2">
        <v>46145</v>
      </c>
      <c r="C933" t="s">
        <v>42</v>
      </c>
      <c r="D933" t="s">
        <v>43</v>
      </c>
      <c r="E933" t="str">
        <f>_xlfn.XLOOKUP(Sales[[#This Row],[Product Name]],Products[Product Name],Products[Category])</f>
        <v>Burgers</v>
      </c>
      <c r="F933" t="s">
        <v>444</v>
      </c>
      <c r="G933" t="s">
        <v>452</v>
      </c>
      <c r="H933">
        <v>31</v>
      </c>
      <c r="I933" s="5">
        <f>_xlfn.XLOOKUP(Sales[[#This Row],[Product Name]],Products[Product Name],Products[Selling Price (CAD)])</f>
        <v>8.99</v>
      </c>
      <c r="J933" s="5">
        <f>PRODUCT(Sales[[#This Row],[Quantity Sold]],Sales[[#This Row],[Unit Selling Price (CAD)]])</f>
        <v>278.69</v>
      </c>
    </row>
    <row r="934" spans="1:10">
      <c r="A934" t="s">
        <v>1382</v>
      </c>
      <c r="B934" s="2">
        <v>46145</v>
      </c>
      <c r="C934" t="s">
        <v>97</v>
      </c>
      <c r="D934" t="s">
        <v>98</v>
      </c>
      <c r="E934" t="str">
        <f>_xlfn.XLOOKUP(Sales[[#This Row],[Product Name]],Products[Product Name],Products[Category])</f>
        <v>Chicken</v>
      </c>
      <c r="F934" t="s">
        <v>444</v>
      </c>
      <c r="G934" t="s">
        <v>450</v>
      </c>
      <c r="H934">
        <v>41</v>
      </c>
      <c r="I934" s="5">
        <f>_xlfn.XLOOKUP(Sales[[#This Row],[Product Name]],Products[Product Name],Products[Selling Price (CAD)])</f>
        <v>6.99</v>
      </c>
      <c r="J934" s="5">
        <f>PRODUCT(Sales[[#This Row],[Quantity Sold]],Sales[[#This Row],[Unit Selling Price (CAD)]])</f>
        <v>286.59000000000003</v>
      </c>
    </row>
    <row r="935" spans="1:10">
      <c r="A935" t="s">
        <v>1383</v>
      </c>
      <c r="B935" s="2">
        <v>46145</v>
      </c>
      <c r="C935" t="s">
        <v>390</v>
      </c>
      <c r="D935" t="s">
        <v>391</v>
      </c>
      <c r="E935" t="str">
        <f>_xlfn.XLOOKUP(Sales[[#This Row],[Product Name]],Products[Product Name],Products[Category])</f>
        <v>Sauces &amp; Add-ons</v>
      </c>
      <c r="F935" t="s">
        <v>449</v>
      </c>
      <c r="G935" t="s">
        <v>450</v>
      </c>
      <c r="H935">
        <v>57</v>
      </c>
      <c r="I935" s="5">
        <f>_xlfn.XLOOKUP(Sales[[#This Row],[Product Name]],Products[Product Name],Products[Selling Price (CAD)])</f>
        <v>0.5</v>
      </c>
      <c r="J935" s="5">
        <f>PRODUCT(Sales[[#This Row],[Quantity Sold]],Sales[[#This Row],[Unit Selling Price (CAD)]])</f>
        <v>28.5</v>
      </c>
    </row>
    <row r="936" spans="1:10">
      <c r="A936" t="s">
        <v>1384</v>
      </c>
      <c r="B936" s="2">
        <v>46145</v>
      </c>
      <c r="C936" t="s">
        <v>321</v>
      </c>
      <c r="D936" t="s">
        <v>322</v>
      </c>
      <c r="E936" t="str">
        <f>_xlfn.XLOOKUP(Sales[[#This Row],[Product Name]],Products[Product Name],Products[Category])</f>
        <v>Beverages</v>
      </c>
      <c r="F936" t="s">
        <v>447</v>
      </c>
      <c r="G936" t="s">
        <v>452</v>
      </c>
      <c r="H936">
        <v>69</v>
      </c>
      <c r="I936" s="5">
        <f>_xlfn.XLOOKUP(Sales[[#This Row],[Product Name]],Products[Product Name],Products[Selling Price (CAD)])</f>
        <v>2.4900000000000002</v>
      </c>
      <c r="J936" s="5">
        <f>PRODUCT(Sales[[#This Row],[Quantity Sold]],Sales[[#This Row],[Unit Selling Price (CAD)]])</f>
        <v>171.81</v>
      </c>
    </row>
    <row r="937" spans="1:10">
      <c r="A937" t="s">
        <v>1385</v>
      </c>
      <c r="B937" s="2">
        <v>46145</v>
      </c>
      <c r="C937" t="s">
        <v>347</v>
      </c>
      <c r="D937" t="s">
        <v>348</v>
      </c>
      <c r="E937" t="str">
        <f>_xlfn.XLOOKUP(Sales[[#This Row],[Product Name]],Products[Product Name],Products[Category])</f>
        <v>Desserts</v>
      </c>
      <c r="F937" t="s">
        <v>449</v>
      </c>
      <c r="G937" t="s">
        <v>450</v>
      </c>
      <c r="H937">
        <v>39</v>
      </c>
      <c r="I937" s="5">
        <f>_xlfn.XLOOKUP(Sales[[#This Row],[Product Name]],Products[Product Name],Products[Selling Price (CAD)])</f>
        <v>4.99</v>
      </c>
      <c r="J937" s="5">
        <f>PRODUCT(Sales[[#This Row],[Quantity Sold]],Sales[[#This Row],[Unit Selling Price (CAD)]])</f>
        <v>194.61</v>
      </c>
    </row>
    <row r="938" spans="1:10">
      <c r="A938" t="s">
        <v>1386</v>
      </c>
      <c r="B938" s="2">
        <v>46146</v>
      </c>
      <c r="C938" t="s">
        <v>139</v>
      </c>
      <c r="D938" t="s">
        <v>140</v>
      </c>
      <c r="E938" t="str">
        <f>_xlfn.XLOOKUP(Sales[[#This Row],[Product Name]],Products[Product Name],Products[Category])</f>
        <v>Breakfast</v>
      </c>
      <c r="F938" t="s">
        <v>447</v>
      </c>
      <c r="G938" t="s">
        <v>454</v>
      </c>
      <c r="H938">
        <v>38</v>
      </c>
      <c r="I938" s="5">
        <f>_xlfn.XLOOKUP(Sales[[#This Row],[Product Name]],Products[Product Name],Products[Selling Price (CAD)])</f>
        <v>4.99</v>
      </c>
      <c r="J938" s="5">
        <f>PRODUCT(Sales[[#This Row],[Quantity Sold]],Sales[[#This Row],[Unit Selling Price (CAD)]])</f>
        <v>189.62</v>
      </c>
    </row>
    <row r="939" spans="1:10">
      <c r="A939" t="s">
        <v>1387</v>
      </c>
      <c r="B939" s="2">
        <v>46146</v>
      </c>
      <c r="C939" t="s">
        <v>187</v>
      </c>
      <c r="D939" t="s">
        <v>188</v>
      </c>
      <c r="E939" t="str">
        <f>_xlfn.XLOOKUP(Sales[[#This Row],[Product Name]],Products[Product Name],Products[Category])</f>
        <v>Sides</v>
      </c>
      <c r="F939" t="s">
        <v>449</v>
      </c>
      <c r="G939" t="s">
        <v>450</v>
      </c>
      <c r="H939">
        <v>56</v>
      </c>
      <c r="I939" s="5">
        <f>_xlfn.XLOOKUP(Sales[[#This Row],[Product Name]],Products[Product Name],Products[Selling Price (CAD)])</f>
        <v>4.49</v>
      </c>
      <c r="J939" s="5">
        <f>PRODUCT(Sales[[#This Row],[Quantity Sold]],Sales[[#This Row],[Unit Selling Price (CAD)]])</f>
        <v>251.44</v>
      </c>
    </row>
    <row r="940" spans="1:10">
      <c r="A940" t="s">
        <v>1388</v>
      </c>
      <c r="B940" s="2">
        <v>46146</v>
      </c>
      <c r="C940" t="s">
        <v>109</v>
      </c>
      <c r="D940" t="s">
        <v>110</v>
      </c>
      <c r="E940" t="str">
        <f>_xlfn.XLOOKUP(Sales[[#This Row],[Product Name]],Products[Product Name],Products[Category])</f>
        <v>Chicken</v>
      </c>
      <c r="F940" t="s">
        <v>449</v>
      </c>
      <c r="G940" t="s">
        <v>454</v>
      </c>
      <c r="H940">
        <v>69</v>
      </c>
      <c r="I940" s="5">
        <f>_xlfn.XLOOKUP(Sales[[#This Row],[Product Name]],Products[Product Name],Products[Selling Price (CAD)])</f>
        <v>5.99</v>
      </c>
      <c r="J940" s="5">
        <f>PRODUCT(Sales[[#This Row],[Quantity Sold]],Sales[[#This Row],[Unit Selling Price (CAD)]])</f>
        <v>413.31</v>
      </c>
    </row>
    <row r="941" spans="1:10">
      <c r="A941" t="s">
        <v>1389</v>
      </c>
      <c r="B941" s="2">
        <v>46146</v>
      </c>
      <c r="C941" t="s">
        <v>87</v>
      </c>
      <c r="D941" t="s">
        <v>88</v>
      </c>
      <c r="E941" t="str">
        <f>_xlfn.XLOOKUP(Sales[[#This Row],[Product Name]],Products[Product Name],Products[Category])</f>
        <v>Chicken</v>
      </c>
      <c r="F941" t="s">
        <v>444</v>
      </c>
      <c r="G941" t="s">
        <v>452</v>
      </c>
      <c r="H941">
        <v>31</v>
      </c>
      <c r="I941" s="5">
        <f>_xlfn.XLOOKUP(Sales[[#This Row],[Product Name]],Products[Product Name],Products[Selling Price (CAD)])</f>
        <v>6.99</v>
      </c>
      <c r="J941" s="5">
        <f>PRODUCT(Sales[[#This Row],[Quantity Sold]],Sales[[#This Row],[Unit Selling Price (CAD)]])</f>
        <v>216.69</v>
      </c>
    </row>
    <row r="942" spans="1:10">
      <c r="A942" t="s">
        <v>1390</v>
      </c>
      <c r="B942" s="2">
        <v>46147</v>
      </c>
      <c r="C942" t="s">
        <v>85</v>
      </c>
      <c r="D942" t="s">
        <v>86</v>
      </c>
      <c r="E942" t="str">
        <f>_xlfn.XLOOKUP(Sales[[#This Row],[Product Name]],Products[Product Name],Products[Category])</f>
        <v>Chicken</v>
      </c>
      <c r="F942" t="s">
        <v>447</v>
      </c>
      <c r="G942" t="s">
        <v>450</v>
      </c>
      <c r="H942">
        <v>57</v>
      </c>
      <c r="I942" s="5">
        <f>_xlfn.XLOOKUP(Sales[[#This Row],[Product Name]],Products[Product Name],Products[Selling Price (CAD)])</f>
        <v>6.99</v>
      </c>
      <c r="J942" s="5">
        <f>PRODUCT(Sales[[#This Row],[Quantity Sold]],Sales[[#This Row],[Unit Selling Price (CAD)]])</f>
        <v>398.43</v>
      </c>
    </row>
    <row r="943" spans="1:10">
      <c r="A943" t="s">
        <v>1391</v>
      </c>
      <c r="B943" s="2">
        <v>46147</v>
      </c>
      <c r="C943" t="s">
        <v>56</v>
      </c>
      <c r="D943" t="s">
        <v>57</v>
      </c>
      <c r="E943" t="str">
        <f>_xlfn.XLOOKUP(Sales[[#This Row],[Product Name]],Products[Product Name],Products[Category])</f>
        <v>Burgers</v>
      </c>
      <c r="F943" t="s">
        <v>447</v>
      </c>
      <c r="G943" t="s">
        <v>450</v>
      </c>
      <c r="H943">
        <v>76</v>
      </c>
      <c r="I943" s="5">
        <f>_xlfn.XLOOKUP(Sales[[#This Row],[Product Name]],Products[Product Name],Products[Selling Price (CAD)])</f>
        <v>6.49</v>
      </c>
      <c r="J943" s="5">
        <f>PRODUCT(Sales[[#This Row],[Quantity Sold]],Sales[[#This Row],[Unit Selling Price (CAD)]])</f>
        <v>493.24</v>
      </c>
    </row>
    <row r="944" spans="1:10">
      <c r="A944" t="s">
        <v>1392</v>
      </c>
      <c r="B944" s="2">
        <v>46147</v>
      </c>
      <c r="C944" t="s">
        <v>291</v>
      </c>
      <c r="D944" t="s">
        <v>292</v>
      </c>
      <c r="E944" t="str">
        <f>_xlfn.XLOOKUP(Sales[[#This Row],[Product Name]],Products[Product Name],Products[Category])</f>
        <v>Beverages</v>
      </c>
      <c r="F944" t="s">
        <v>444</v>
      </c>
      <c r="G944" t="s">
        <v>450</v>
      </c>
      <c r="H944">
        <v>54</v>
      </c>
      <c r="I944" s="5">
        <f>_xlfn.XLOOKUP(Sales[[#This Row],[Product Name]],Products[Product Name],Products[Selling Price (CAD)])</f>
        <v>3.99</v>
      </c>
      <c r="J944" s="5">
        <f>PRODUCT(Sales[[#This Row],[Quantity Sold]],Sales[[#This Row],[Unit Selling Price (CAD)]])</f>
        <v>215.46</v>
      </c>
    </row>
    <row r="945" spans="1:10">
      <c r="A945" t="s">
        <v>1393</v>
      </c>
      <c r="B945" s="2">
        <v>46147</v>
      </c>
      <c r="C945" t="s">
        <v>309</v>
      </c>
      <c r="D945" t="s">
        <v>310</v>
      </c>
      <c r="E945" t="str">
        <f>_xlfn.XLOOKUP(Sales[[#This Row],[Product Name]],Products[Product Name],Products[Category])</f>
        <v>Beverages</v>
      </c>
      <c r="F945" t="s">
        <v>444</v>
      </c>
      <c r="G945" t="s">
        <v>452</v>
      </c>
      <c r="H945">
        <v>62</v>
      </c>
      <c r="I945" s="5">
        <f>_xlfn.XLOOKUP(Sales[[#This Row],[Product Name]],Products[Product Name],Products[Selling Price (CAD)])</f>
        <v>2.99</v>
      </c>
      <c r="J945" s="5">
        <f>PRODUCT(Sales[[#This Row],[Quantity Sold]],Sales[[#This Row],[Unit Selling Price (CAD)]])</f>
        <v>185.38000000000002</v>
      </c>
    </row>
    <row r="946" spans="1:10">
      <c r="A946" t="s">
        <v>1394</v>
      </c>
      <c r="B946" s="2">
        <v>46147</v>
      </c>
      <c r="C946" t="s">
        <v>293</v>
      </c>
      <c r="D946" t="s">
        <v>294</v>
      </c>
      <c r="E946" t="str">
        <f>_xlfn.XLOOKUP(Sales[[#This Row],[Product Name]],Products[Product Name],Products[Category])</f>
        <v>Beverages</v>
      </c>
      <c r="F946" t="s">
        <v>449</v>
      </c>
      <c r="G946" t="s">
        <v>450</v>
      </c>
      <c r="H946">
        <v>43</v>
      </c>
      <c r="I946" s="5">
        <f>_xlfn.XLOOKUP(Sales[[#This Row],[Product Name]],Products[Product Name],Products[Selling Price (CAD)])</f>
        <v>3.99</v>
      </c>
      <c r="J946" s="5">
        <f>PRODUCT(Sales[[#This Row],[Quantity Sold]],Sales[[#This Row],[Unit Selling Price (CAD)]])</f>
        <v>171.57000000000002</v>
      </c>
    </row>
    <row r="947" spans="1:10">
      <c r="A947" t="s">
        <v>1395</v>
      </c>
      <c r="B947" s="2">
        <v>46148</v>
      </c>
      <c r="C947" t="s">
        <v>259</v>
      </c>
      <c r="D947" t="s">
        <v>260</v>
      </c>
      <c r="E947" t="str">
        <f>_xlfn.XLOOKUP(Sales[[#This Row],[Product Name]],Products[Product Name],Products[Category])</f>
        <v>Beverages</v>
      </c>
      <c r="F947" t="s">
        <v>449</v>
      </c>
      <c r="G947" t="s">
        <v>450</v>
      </c>
      <c r="H947">
        <v>36</v>
      </c>
      <c r="I947" s="5">
        <f>_xlfn.XLOOKUP(Sales[[#This Row],[Product Name]],Products[Product Name],Products[Selling Price (CAD)])</f>
        <v>1.99</v>
      </c>
      <c r="J947" s="5">
        <f>PRODUCT(Sales[[#This Row],[Quantity Sold]],Sales[[#This Row],[Unit Selling Price (CAD)]])</f>
        <v>71.64</v>
      </c>
    </row>
    <row r="948" spans="1:10">
      <c r="A948" t="s">
        <v>1396</v>
      </c>
      <c r="B948" s="2">
        <v>46148</v>
      </c>
      <c r="C948" t="s">
        <v>93</v>
      </c>
      <c r="D948" t="s">
        <v>94</v>
      </c>
      <c r="E948" t="str">
        <f>_xlfn.XLOOKUP(Sales[[#This Row],[Product Name]],Products[Product Name],Products[Category])</f>
        <v>Chicken</v>
      </c>
      <c r="F948" t="s">
        <v>449</v>
      </c>
      <c r="G948" t="s">
        <v>452</v>
      </c>
      <c r="H948">
        <v>33</v>
      </c>
      <c r="I948" s="5">
        <f>_xlfn.XLOOKUP(Sales[[#This Row],[Product Name]],Products[Product Name],Products[Selling Price (CAD)])</f>
        <v>7.49</v>
      </c>
      <c r="J948" s="5">
        <f>PRODUCT(Sales[[#This Row],[Quantity Sold]],Sales[[#This Row],[Unit Selling Price (CAD)]])</f>
        <v>247.17000000000002</v>
      </c>
    </row>
    <row r="949" spans="1:10">
      <c r="A949" t="s">
        <v>1397</v>
      </c>
      <c r="B949" s="2">
        <v>46148</v>
      </c>
      <c r="C949" t="s">
        <v>135</v>
      </c>
      <c r="D949" t="s">
        <v>136</v>
      </c>
      <c r="E949" t="str">
        <f>_xlfn.XLOOKUP(Sales[[#This Row],[Product Name]],Products[Product Name],Products[Category])</f>
        <v>Breakfast</v>
      </c>
      <c r="F949" t="s">
        <v>444</v>
      </c>
      <c r="G949" t="s">
        <v>450</v>
      </c>
      <c r="H949">
        <v>74</v>
      </c>
      <c r="I949" s="5">
        <f>_xlfn.XLOOKUP(Sales[[#This Row],[Product Name]],Products[Product Name],Products[Selling Price (CAD)])</f>
        <v>4.99</v>
      </c>
      <c r="J949" s="5">
        <f>PRODUCT(Sales[[#This Row],[Quantity Sold]],Sales[[#This Row],[Unit Selling Price (CAD)]])</f>
        <v>369.26</v>
      </c>
    </row>
    <row r="950" spans="1:10">
      <c r="A950" t="s">
        <v>1398</v>
      </c>
      <c r="B950" s="2">
        <v>46148</v>
      </c>
      <c r="C950" t="s">
        <v>103</v>
      </c>
      <c r="D950" t="s">
        <v>104</v>
      </c>
      <c r="E950" t="str">
        <f>_xlfn.XLOOKUP(Sales[[#This Row],[Product Name]],Products[Product Name],Products[Category])</f>
        <v>Chicken</v>
      </c>
      <c r="F950" t="s">
        <v>444</v>
      </c>
      <c r="G950" t="s">
        <v>454</v>
      </c>
      <c r="H950">
        <v>67</v>
      </c>
      <c r="I950" s="5">
        <f>_xlfn.XLOOKUP(Sales[[#This Row],[Product Name]],Products[Product Name],Products[Selling Price (CAD)])</f>
        <v>7.99</v>
      </c>
      <c r="J950" s="5">
        <f>PRODUCT(Sales[[#This Row],[Quantity Sold]],Sales[[#This Row],[Unit Selling Price (CAD)]])</f>
        <v>535.33000000000004</v>
      </c>
    </row>
    <row r="951" spans="1:10">
      <c r="A951" t="s">
        <v>1399</v>
      </c>
      <c r="B951" s="2">
        <v>46148</v>
      </c>
      <c r="C951" t="s">
        <v>241</v>
      </c>
      <c r="D951" t="s">
        <v>242</v>
      </c>
      <c r="E951" t="str">
        <f>_xlfn.XLOOKUP(Sales[[#This Row],[Product Name]],Products[Product Name],Products[Category])</f>
        <v>Salads</v>
      </c>
      <c r="F951" t="s">
        <v>444</v>
      </c>
      <c r="G951" t="s">
        <v>454</v>
      </c>
      <c r="H951">
        <v>74</v>
      </c>
      <c r="I951" s="5">
        <f>_xlfn.XLOOKUP(Sales[[#This Row],[Product Name]],Products[Product Name],Products[Selling Price (CAD)])</f>
        <v>9.49</v>
      </c>
      <c r="J951" s="5">
        <f>PRODUCT(Sales[[#This Row],[Quantity Sold]],Sales[[#This Row],[Unit Selling Price (CAD)]])</f>
        <v>702.26</v>
      </c>
    </row>
    <row r="952" spans="1:10">
      <c r="A952" t="s">
        <v>1400</v>
      </c>
      <c r="B952" s="2">
        <v>46148</v>
      </c>
      <c r="C952" t="s">
        <v>203</v>
      </c>
      <c r="D952" t="s">
        <v>204</v>
      </c>
      <c r="E952" t="str">
        <f>_xlfn.XLOOKUP(Sales[[#This Row],[Product Name]],Products[Product Name],Products[Category])</f>
        <v>Sides</v>
      </c>
      <c r="F952" t="s">
        <v>449</v>
      </c>
      <c r="G952" t="s">
        <v>445</v>
      </c>
      <c r="H952">
        <v>74</v>
      </c>
      <c r="I952" s="5">
        <f>_xlfn.XLOOKUP(Sales[[#This Row],[Product Name]],Products[Product Name],Products[Selling Price (CAD)])</f>
        <v>4.49</v>
      </c>
      <c r="J952" s="5">
        <f>PRODUCT(Sales[[#This Row],[Quantity Sold]],Sales[[#This Row],[Unit Selling Price (CAD)]])</f>
        <v>332.26</v>
      </c>
    </row>
    <row r="953" spans="1:10">
      <c r="A953" t="s">
        <v>1401</v>
      </c>
      <c r="B953" s="2">
        <v>46148</v>
      </c>
      <c r="C953" t="s">
        <v>413</v>
      </c>
      <c r="D953" t="s">
        <v>414</v>
      </c>
      <c r="E953" t="str">
        <f>_xlfn.XLOOKUP(Sales[[#This Row],[Product Name]],Products[Product Name],Products[Category])</f>
        <v>Combo Meals</v>
      </c>
      <c r="F953" t="s">
        <v>444</v>
      </c>
      <c r="G953" t="s">
        <v>450</v>
      </c>
      <c r="H953">
        <v>33</v>
      </c>
      <c r="I953" s="5">
        <f>_xlfn.XLOOKUP(Sales[[#This Row],[Product Name]],Products[Product Name],Products[Selling Price (CAD)])</f>
        <v>10.99</v>
      </c>
      <c r="J953" s="5">
        <f>PRODUCT(Sales[[#This Row],[Quantity Sold]],Sales[[#This Row],[Unit Selling Price (CAD)]])</f>
        <v>362.67</v>
      </c>
    </row>
    <row r="954" spans="1:10">
      <c r="A954" t="s">
        <v>1402</v>
      </c>
      <c r="B954" s="2">
        <v>46149</v>
      </c>
      <c r="C954" t="s">
        <v>295</v>
      </c>
      <c r="D954" t="s">
        <v>296</v>
      </c>
      <c r="E954" t="str">
        <f>_xlfn.XLOOKUP(Sales[[#This Row],[Product Name]],Products[Product Name],Products[Category])</f>
        <v>Beverages</v>
      </c>
      <c r="F954" t="s">
        <v>449</v>
      </c>
      <c r="G954" t="s">
        <v>452</v>
      </c>
      <c r="H954">
        <v>55</v>
      </c>
      <c r="I954" s="5">
        <f>_xlfn.XLOOKUP(Sales[[#This Row],[Product Name]],Products[Product Name],Products[Selling Price (CAD)])</f>
        <v>2.99</v>
      </c>
      <c r="J954" s="5">
        <f>PRODUCT(Sales[[#This Row],[Quantity Sold]],Sales[[#This Row],[Unit Selling Price (CAD)]])</f>
        <v>164.45000000000002</v>
      </c>
    </row>
    <row r="955" spans="1:10">
      <c r="A955" t="s">
        <v>1403</v>
      </c>
      <c r="B955" s="2">
        <v>46149</v>
      </c>
      <c r="C955" t="s">
        <v>34</v>
      </c>
      <c r="D955" t="s">
        <v>35</v>
      </c>
      <c r="E955" t="str">
        <f>_xlfn.XLOOKUP(Sales[[#This Row],[Product Name]],Products[Product Name],Products[Category])</f>
        <v>Burgers</v>
      </c>
      <c r="F955" t="s">
        <v>449</v>
      </c>
      <c r="G955" t="s">
        <v>445</v>
      </c>
      <c r="H955">
        <v>32</v>
      </c>
      <c r="I955" s="5">
        <f>_xlfn.XLOOKUP(Sales[[#This Row],[Product Name]],Products[Product Name],Products[Selling Price (CAD)])</f>
        <v>6.99</v>
      </c>
      <c r="J955" s="5">
        <f>PRODUCT(Sales[[#This Row],[Quantity Sold]],Sales[[#This Row],[Unit Selling Price (CAD)]])</f>
        <v>223.68</v>
      </c>
    </row>
    <row r="956" spans="1:10">
      <c r="A956" t="s">
        <v>1404</v>
      </c>
      <c r="B956" s="2">
        <v>46149</v>
      </c>
      <c r="C956" t="s">
        <v>159</v>
      </c>
      <c r="D956" t="s">
        <v>160</v>
      </c>
      <c r="E956" t="str">
        <f>_xlfn.XLOOKUP(Sales[[#This Row],[Product Name]],Products[Product Name],Products[Category])</f>
        <v>Breakfast</v>
      </c>
      <c r="F956" t="s">
        <v>444</v>
      </c>
      <c r="G956" t="s">
        <v>452</v>
      </c>
      <c r="H956">
        <v>33</v>
      </c>
      <c r="I956" s="5">
        <f>_xlfn.XLOOKUP(Sales[[#This Row],[Product Name]],Products[Product Name],Products[Selling Price (CAD)])</f>
        <v>2.4900000000000002</v>
      </c>
      <c r="J956" s="5">
        <f>PRODUCT(Sales[[#This Row],[Quantity Sold]],Sales[[#This Row],[Unit Selling Price (CAD)]])</f>
        <v>82.17</v>
      </c>
    </row>
    <row r="957" spans="1:10">
      <c r="A957" t="s">
        <v>1405</v>
      </c>
      <c r="B957" s="2">
        <v>46149</v>
      </c>
      <c r="C957" t="s">
        <v>317</v>
      </c>
      <c r="D957" t="s">
        <v>318</v>
      </c>
      <c r="E957" t="str">
        <f>_xlfn.XLOOKUP(Sales[[#This Row],[Product Name]],Products[Product Name],Products[Category])</f>
        <v>Beverages</v>
      </c>
      <c r="F957" t="s">
        <v>444</v>
      </c>
      <c r="G957" t="s">
        <v>450</v>
      </c>
      <c r="H957">
        <v>53</v>
      </c>
      <c r="I957" s="5">
        <f>_xlfn.XLOOKUP(Sales[[#This Row],[Product Name]],Products[Product Name],Products[Selling Price (CAD)])</f>
        <v>3.99</v>
      </c>
      <c r="J957" s="5">
        <f>PRODUCT(Sales[[#This Row],[Quantity Sold]],Sales[[#This Row],[Unit Selling Price (CAD)]])</f>
        <v>211.47</v>
      </c>
    </row>
    <row r="958" spans="1:10">
      <c r="A958" t="s">
        <v>1406</v>
      </c>
      <c r="B958" s="2">
        <v>46150</v>
      </c>
      <c r="C958" t="s">
        <v>121</v>
      </c>
      <c r="D958" t="s">
        <v>122</v>
      </c>
      <c r="E958" t="str">
        <f>_xlfn.XLOOKUP(Sales[[#This Row],[Product Name]],Products[Product Name],Products[Category])</f>
        <v>Chicken</v>
      </c>
      <c r="F958" t="s">
        <v>449</v>
      </c>
      <c r="G958" t="s">
        <v>450</v>
      </c>
      <c r="H958">
        <v>44</v>
      </c>
      <c r="I958" s="5">
        <f>_xlfn.XLOOKUP(Sales[[#This Row],[Product Name]],Products[Product Name],Products[Selling Price (CAD)])</f>
        <v>11.99</v>
      </c>
      <c r="J958" s="5">
        <f>PRODUCT(Sales[[#This Row],[Quantity Sold]],Sales[[#This Row],[Unit Selling Price (CAD)]])</f>
        <v>527.56000000000006</v>
      </c>
    </row>
    <row r="959" spans="1:10">
      <c r="A959" t="s">
        <v>1407</v>
      </c>
      <c r="B959" s="2">
        <v>46150</v>
      </c>
      <c r="C959" t="s">
        <v>409</v>
      </c>
      <c r="D959" t="s">
        <v>410</v>
      </c>
      <c r="E959" t="str">
        <f>_xlfn.XLOOKUP(Sales[[#This Row],[Product Name]],Products[Product Name],Products[Category])</f>
        <v>Combo Meals</v>
      </c>
      <c r="F959" t="s">
        <v>449</v>
      </c>
      <c r="G959" t="s">
        <v>454</v>
      </c>
      <c r="H959">
        <v>55</v>
      </c>
      <c r="I959" s="5">
        <f>_xlfn.XLOOKUP(Sales[[#This Row],[Product Name]],Products[Product Name],Products[Selling Price (CAD)])</f>
        <v>11.99</v>
      </c>
      <c r="J959" s="5">
        <f>PRODUCT(Sales[[#This Row],[Quantity Sold]],Sales[[#This Row],[Unit Selling Price (CAD)]])</f>
        <v>659.45</v>
      </c>
    </row>
    <row r="960" spans="1:10">
      <c r="A960" t="s">
        <v>1408</v>
      </c>
      <c r="B960" s="2">
        <v>46150</v>
      </c>
      <c r="C960" t="s">
        <v>267</v>
      </c>
      <c r="D960" t="s">
        <v>268</v>
      </c>
      <c r="E960" t="str">
        <f>_xlfn.XLOOKUP(Sales[[#This Row],[Product Name]],Products[Product Name],Products[Category])</f>
        <v>Beverages</v>
      </c>
      <c r="F960" t="s">
        <v>444</v>
      </c>
      <c r="G960" t="s">
        <v>454</v>
      </c>
      <c r="H960">
        <v>34</v>
      </c>
      <c r="I960" s="5">
        <f>_xlfn.XLOOKUP(Sales[[#This Row],[Product Name]],Products[Product Name],Products[Selling Price (CAD)])</f>
        <v>2.99</v>
      </c>
      <c r="J960" s="5">
        <f>PRODUCT(Sales[[#This Row],[Quantity Sold]],Sales[[#This Row],[Unit Selling Price (CAD)]])</f>
        <v>101.66000000000001</v>
      </c>
    </row>
    <row r="961" spans="1:10">
      <c r="A961" t="s">
        <v>1409</v>
      </c>
      <c r="B961" s="2">
        <v>46150</v>
      </c>
      <c r="C961" t="s">
        <v>213</v>
      </c>
      <c r="D961" t="s">
        <v>214</v>
      </c>
      <c r="E961" t="str">
        <f>_xlfn.XLOOKUP(Sales[[#This Row],[Product Name]],Products[Product Name],Products[Category])</f>
        <v>Sides</v>
      </c>
      <c r="F961" t="s">
        <v>447</v>
      </c>
      <c r="G961" t="s">
        <v>445</v>
      </c>
      <c r="H961">
        <v>63</v>
      </c>
      <c r="I961" s="5">
        <f>_xlfn.XLOOKUP(Sales[[#This Row],[Product Name]],Products[Product Name],Products[Selling Price (CAD)])</f>
        <v>4.99</v>
      </c>
      <c r="J961" s="5">
        <f>PRODUCT(Sales[[#This Row],[Quantity Sold]],Sales[[#This Row],[Unit Selling Price (CAD)]])</f>
        <v>314.37</v>
      </c>
    </row>
    <row r="962" spans="1:10">
      <c r="A962" t="s">
        <v>1410</v>
      </c>
      <c r="B962" s="2">
        <v>46150</v>
      </c>
      <c r="C962" t="s">
        <v>82</v>
      </c>
      <c r="D962" t="s">
        <v>83</v>
      </c>
      <c r="E962" t="str">
        <f>_xlfn.XLOOKUP(Sales[[#This Row],[Product Name]],Products[Product Name],Products[Category])</f>
        <v>Chicken</v>
      </c>
      <c r="F962" t="s">
        <v>449</v>
      </c>
      <c r="G962" t="s">
        <v>450</v>
      </c>
      <c r="H962">
        <v>47</v>
      </c>
      <c r="I962" s="5">
        <f>_xlfn.XLOOKUP(Sales[[#This Row],[Product Name]],Products[Product Name],Products[Selling Price (CAD)])</f>
        <v>6.99</v>
      </c>
      <c r="J962" s="5">
        <f>PRODUCT(Sales[[#This Row],[Quantity Sold]],Sales[[#This Row],[Unit Selling Price (CAD)]])</f>
        <v>328.53000000000003</v>
      </c>
    </row>
    <row r="963" spans="1:10">
      <c r="A963" t="s">
        <v>1411</v>
      </c>
      <c r="B963" s="2">
        <v>46150</v>
      </c>
      <c r="C963" t="s">
        <v>76</v>
      </c>
      <c r="D963" t="s">
        <v>77</v>
      </c>
      <c r="E963" t="str">
        <f>_xlfn.XLOOKUP(Sales[[#This Row],[Product Name]],Products[Product Name],Products[Category])</f>
        <v>Burgers</v>
      </c>
      <c r="F963" t="s">
        <v>444</v>
      </c>
      <c r="G963" t="s">
        <v>450</v>
      </c>
      <c r="H963">
        <v>45</v>
      </c>
      <c r="I963" s="5">
        <f>_xlfn.XLOOKUP(Sales[[#This Row],[Product Name]],Products[Product Name],Products[Selling Price (CAD)])</f>
        <v>2.99</v>
      </c>
      <c r="J963" s="5">
        <f>PRODUCT(Sales[[#This Row],[Quantity Sold]],Sales[[#This Row],[Unit Selling Price (CAD)]])</f>
        <v>134.55000000000001</v>
      </c>
    </row>
    <row r="964" spans="1:10">
      <c r="A964" t="s">
        <v>1412</v>
      </c>
      <c r="B964" s="2">
        <v>46150</v>
      </c>
      <c r="C964" t="s">
        <v>243</v>
      </c>
      <c r="D964" t="s">
        <v>244</v>
      </c>
      <c r="E964" t="str">
        <f>_xlfn.XLOOKUP(Sales[[#This Row],[Product Name]],Products[Product Name],Products[Category])</f>
        <v>Salads</v>
      </c>
      <c r="F964" t="s">
        <v>444</v>
      </c>
      <c r="G964" t="s">
        <v>450</v>
      </c>
      <c r="H964">
        <v>66</v>
      </c>
      <c r="I964" s="5">
        <f>_xlfn.XLOOKUP(Sales[[#This Row],[Product Name]],Products[Product Name],Products[Selling Price (CAD)])</f>
        <v>6.99</v>
      </c>
      <c r="J964" s="5">
        <f>PRODUCT(Sales[[#This Row],[Quantity Sold]],Sales[[#This Row],[Unit Selling Price (CAD)]])</f>
        <v>461.34000000000003</v>
      </c>
    </row>
    <row r="965" spans="1:10">
      <c r="A965" t="s">
        <v>1413</v>
      </c>
      <c r="B965" s="2">
        <v>46150</v>
      </c>
      <c r="C965" t="s">
        <v>40</v>
      </c>
      <c r="D965" t="s">
        <v>41</v>
      </c>
      <c r="E965" t="str">
        <f>_xlfn.XLOOKUP(Sales[[#This Row],[Product Name]],Products[Product Name],Products[Category])</f>
        <v>Burgers</v>
      </c>
      <c r="F965" t="s">
        <v>447</v>
      </c>
      <c r="G965" t="s">
        <v>450</v>
      </c>
      <c r="H965">
        <v>53</v>
      </c>
      <c r="I965" s="5">
        <f>_xlfn.XLOOKUP(Sales[[#This Row],[Product Name]],Products[Product Name],Products[Selling Price (CAD)])</f>
        <v>6.99</v>
      </c>
      <c r="J965" s="5">
        <f>PRODUCT(Sales[[#This Row],[Quantity Sold]],Sales[[#This Row],[Unit Selling Price (CAD)]])</f>
        <v>370.47</v>
      </c>
    </row>
    <row r="966" spans="1:10">
      <c r="A966" t="s">
        <v>1414</v>
      </c>
      <c r="B966" s="2">
        <v>46151</v>
      </c>
      <c r="C966" t="s">
        <v>225</v>
      </c>
      <c r="D966" t="s">
        <v>226</v>
      </c>
      <c r="E966" t="str">
        <f>_xlfn.XLOOKUP(Sales[[#This Row],[Product Name]],Products[Product Name],Products[Category])</f>
        <v>Salads</v>
      </c>
      <c r="F966" t="s">
        <v>449</v>
      </c>
      <c r="G966" t="s">
        <v>450</v>
      </c>
      <c r="H966">
        <v>76</v>
      </c>
      <c r="I966" s="5">
        <f>_xlfn.XLOOKUP(Sales[[#This Row],[Product Name]],Products[Product Name],Products[Selling Price (CAD)])</f>
        <v>8.99</v>
      </c>
      <c r="J966" s="5">
        <f>PRODUCT(Sales[[#This Row],[Quantity Sold]],Sales[[#This Row],[Unit Selling Price (CAD)]])</f>
        <v>683.24</v>
      </c>
    </row>
    <row r="967" spans="1:10">
      <c r="A967" t="s">
        <v>1415</v>
      </c>
      <c r="B967" s="2">
        <v>46151</v>
      </c>
      <c r="C967" t="s">
        <v>307</v>
      </c>
      <c r="D967" t="s">
        <v>308</v>
      </c>
      <c r="E967" t="str">
        <f>_xlfn.XLOOKUP(Sales[[#This Row],[Product Name]],Products[Product Name],Products[Category])</f>
        <v>Beverages</v>
      </c>
      <c r="F967" t="s">
        <v>449</v>
      </c>
      <c r="G967" t="s">
        <v>454</v>
      </c>
      <c r="H967">
        <v>48</v>
      </c>
      <c r="I967" s="5">
        <f>_xlfn.XLOOKUP(Sales[[#This Row],[Product Name]],Products[Product Name],Products[Selling Price (CAD)])</f>
        <v>2.99</v>
      </c>
      <c r="J967" s="5">
        <f>PRODUCT(Sales[[#This Row],[Quantity Sold]],Sales[[#This Row],[Unit Selling Price (CAD)]])</f>
        <v>143.52000000000001</v>
      </c>
    </row>
    <row r="968" spans="1:10">
      <c r="A968" t="s">
        <v>1416</v>
      </c>
      <c r="B968" s="2">
        <v>46151</v>
      </c>
      <c r="C968" t="s">
        <v>417</v>
      </c>
      <c r="D968" t="s">
        <v>418</v>
      </c>
      <c r="E968" t="str">
        <f>_xlfn.XLOOKUP(Sales[[#This Row],[Product Name]],Products[Product Name],Products[Category])</f>
        <v>Combo Meals</v>
      </c>
      <c r="F968" t="s">
        <v>449</v>
      </c>
      <c r="G968" t="s">
        <v>450</v>
      </c>
      <c r="H968">
        <v>30</v>
      </c>
      <c r="I968" s="5">
        <f>_xlfn.XLOOKUP(Sales[[#This Row],[Product Name]],Products[Product Name],Products[Selling Price (CAD)])</f>
        <v>9.99</v>
      </c>
      <c r="J968" s="5">
        <f>PRODUCT(Sales[[#This Row],[Quantity Sold]],Sales[[#This Row],[Unit Selling Price (CAD)]])</f>
        <v>299.7</v>
      </c>
    </row>
    <row r="969" spans="1:10">
      <c r="A969" t="s">
        <v>1417</v>
      </c>
      <c r="B969" s="2">
        <v>46151</v>
      </c>
      <c r="C969" t="s">
        <v>261</v>
      </c>
      <c r="D969" t="s">
        <v>262</v>
      </c>
      <c r="E969" t="str">
        <f>_xlfn.XLOOKUP(Sales[[#This Row],[Product Name]],Products[Product Name],Products[Category])</f>
        <v>Beverages</v>
      </c>
      <c r="F969" t="s">
        <v>444</v>
      </c>
      <c r="G969" t="s">
        <v>452</v>
      </c>
      <c r="H969">
        <v>42</v>
      </c>
      <c r="I969" s="5">
        <f>_xlfn.XLOOKUP(Sales[[#This Row],[Product Name]],Products[Product Name],Products[Selling Price (CAD)])</f>
        <v>2.99</v>
      </c>
      <c r="J969" s="5">
        <f>PRODUCT(Sales[[#This Row],[Quantity Sold]],Sales[[#This Row],[Unit Selling Price (CAD)]])</f>
        <v>125.58000000000001</v>
      </c>
    </row>
    <row r="970" spans="1:10">
      <c r="A970" t="s">
        <v>1418</v>
      </c>
      <c r="B970" s="2">
        <v>46151</v>
      </c>
      <c r="C970" t="s">
        <v>396</v>
      </c>
      <c r="D970" t="s">
        <v>397</v>
      </c>
      <c r="E970" t="str">
        <f>_xlfn.XLOOKUP(Sales[[#This Row],[Product Name]],Products[Product Name],Products[Category])</f>
        <v>Sauces &amp; Add-ons</v>
      </c>
      <c r="F970" t="s">
        <v>444</v>
      </c>
      <c r="G970" t="s">
        <v>445</v>
      </c>
      <c r="H970">
        <v>67</v>
      </c>
      <c r="I970" s="5">
        <f>_xlfn.XLOOKUP(Sales[[#This Row],[Product Name]],Products[Product Name],Products[Selling Price (CAD)])</f>
        <v>0.5</v>
      </c>
      <c r="J970" s="5">
        <f>PRODUCT(Sales[[#This Row],[Quantity Sold]],Sales[[#This Row],[Unit Selling Price (CAD)]])</f>
        <v>33.5</v>
      </c>
    </row>
    <row r="971" spans="1:10">
      <c r="A971" t="s">
        <v>1419</v>
      </c>
      <c r="B971" s="2">
        <v>46151</v>
      </c>
      <c r="C971" t="s">
        <v>301</v>
      </c>
      <c r="D971" t="s">
        <v>302</v>
      </c>
      <c r="E971" t="str">
        <f>_xlfn.XLOOKUP(Sales[[#This Row],[Product Name]],Products[Product Name],Products[Category])</f>
        <v>Beverages</v>
      </c>
      <c r="F971" t="s">
        <v>447</v>
      </c>
      <c r="G971" t="s">
        <v>452</v>
      </c>
      <c r="H971">
        <v>30</v>
      </c>
      <c r="I971" s="5">
        <f>_xlfn.XLOOKUP(Sales[[#This Row],[Product Name]],Products[Product Name],Products[Selling Price (CAD)])</f>
        <v>1.99</v>
      </c>
      <c r="J971" s="5">
        <f>PRODUCT(Sales[[#This Row],[Quantity Sold]],Sales[[#This Row],[Unit Selling Price (CAD)]])</f>
        <v>59.7</v>
      </c>
    </row>
    <row r="972" spans="1:10">
      <c r="A972" t="s">
        <v>1420</v>
      </c>
      <c r="B972" s="2">
        <v>46151</v>
      </c>
      <c r="C972" t="s">
        <v>199</v>
      </c>
      <c r="D972" t="s">
        <v>200</v>
      </c>
      <c r="E972" t="str">
        <f>_xlfn.XLOOKUP(Sales[[#This Row],[Product Name]],Products[Product Name],Products[Category])</f>
        <v>Sides</v>
      </c>
      <c r="F972" t="s">
        <v>444</v>
      </c>
      <c r="G972" t="s">
        <v>445</v>
      </c>
      <c r="H972">
        <v>50</v>
      </c>
      <c r="I972" s="5">
        <f>_xlfn.XLOOKUP(Sales[[#This Row],[Product Name]],Products[Product Name],Products[Selling Price (CAD)])</f>
        <v>4.99</v>
      </c>
      <c r="J972" s="5">
        <f>PRODUCT(Sales[[#This Row],[Quantity Sold]],Sales[[#This Row],[Unit Selling Price (CAD)]])</f>
        <v>249.5</v>
      </c>
    </row>
    <row r="973" spans="1:10">
      <c r="A973" t="s">
        <v>1421</v>
      </c>
      <c r="B973" s="2">
        <v>46151</v>
      </c>
      <c r="C973" t="s">
        <v>301</v>
      </c>
      <c r="D973" t="s">
        <v>302</v>
      </c>
      <c r="E973" t="str">
        <f>_xlfn.XLOOKUP(Sales[[#This Row],[Product Name]],Products[Product Name],Products[Category])</f>
        <v>Beverages</v>
      </c>
      <c r="F973" t="s">
        <v>449</v>
      </c>
      <c r="G973" t="s">
        <v>450</v>
      </c>
      <c r="H973">
        <v>33</v>
      </c>
      <c r="I973" s="5">
        <f>_xlfn.XLOOKUP(Sales[[#This Row],[Product Name]],Products[Product Name],Products[Selling Price (CAD)])</f>
        <v>1.99</v>
      </c>
      <c r="J973" s="5">
        <f>PRODUCT(Sales[[#This Row],[Quantity Sold]],Sales[[#This Row],[Unit Selling Price (CAD)]])</f>
        <v>65.67</v>
      </c>
    </row>
    <row r="974" spans="1:10">
      <c r="A974" t="s">
        <v>1422</v>
      </c>
      <c r="B974" s="2">
        <v>46151</v>
      </c>
      <c r="C974" t="s">
        <v>267</v>
      </c>
      <c r="D974" t="s">
        <v>268</v>
      </c>
      <c r="E974" t="str">
        <f>_xlfn.XLOOKUP(Sales[[#This Row],[Product Name]],Products[Product Name],Products[Category])</f>
        <v>Beverages</v>
      </c>
      <c r="F974" t="s">
        <v>444</v>
      </c>
      <c r="G974" t="s">
        <v>454</v>
      </c>
      <c r="H974">
        <v>76</v>
      </c>
      <c r="I974" s="5">
        <f>_xlfn.XLOOKUP(Sales[[#This Row],[Product Name]],Products[Product Name],Products[Selling Price (CAD)])</f>
        <v>2.99</v>
      </c>
      <c r="J974" s="5">
        <f>PRODUCT(Sales[[#This Row],[Quantity Sold]],Sales[[#This Row],[Unit Selling Price (CAD)]])</f>
        <v>227.24</v>
      </c>
    </row>
    <row r="975" spans="1:10">
      <c r="A975" t="s">
        <v>1423</v>
      </c>
      <c r="B975" s="2">
        <v>46151</v>
      </c>
      <c r="C975" t="s">
        <v>303</v>
      </c>
      <c r="D975" t="s">
        <v>304</v>
      </c>
      <c r="E975" t="str">
        <f>_xlfn.XLOOKUP(Sales[[#This Row],[Product Name]],Products[Product Name],Products[Category])</f>
        <v>Beverages</v>
      </c>
      <c r="F975" t="s">
        <v>447</v>
      </c>
      <c r="G975" t="s">
        <v>445</v>
      </c>
      <c r="H975">
        <v>73</v>
      </c>
      <c r="I975" s="5">
        <f>_xlfn.XLOOKUP(Sales[[#This Row],[Product Name]],Products[Product Name],Products[Selling Price (CAD)])</f>
        <v>2.4900000000000002</v>
      </c>
      <c r="J975" s="5">
        <f>PRODUCT(Sales[[#This Row],[Quantity Sold]],Sales[[#This Row],[Unit Selling Price (CAD)]])</f>
        <v>181.77</v>
      </c>
    </row>
    <row r="976" spans="1:10">
      <c r="A976" t="s">
        <v>1424</v>
      </c>
      <c r="B976" s="2">
        <v>46151</v>
      </c>
      <c r="C976" t="s">
        <v>253</v>
      </c>
      <c r="D976" t="s">
        <v>254</v>
      </c>
      <c r="E976" t="str">
        <f>_xlfn.XLOOKUP(Sales[[#This Row],[Product Name]],Products[Product Name],Products[Category])</f>
        <v>Beverages</v>
      </c>
      <c r="F976" t="s">
        <v>444</v>
      </c>
      <c r="G976" t="s">
        <v>452</v>
      </c>
      <c r="H976">
        <v>37</v>
      </c>
      <c r="I976" s="5">
        <f>_xlfn.XLOOKUP(Sales[[#This Row],[Product Name]],Products[Product Name],Products[Selling Price (CAD)])</f>
        <v>1.99</v>
      </c>
      <c r="J976" s="5">
        <f>PRODUCT(Sales[[#This Row],[Quantity Sold]],Sales[[#This Row],[Unit Selling Price (CAD)]])</f>
        <v>73.63</v>
      </c>
    </row>
    <row r="977" spans="1:10">
      <c r="A977" t="s">
        <v>1425</v>
      </c>
      <c r="B977" s="2">
        <v>46151</v>
      </c>
      <c r="C977" t="s">
        <v>361</v>
      </c>
      <c r="D977" t="s">
        <v>362</v>
      </c>
      <c r="E977" t="str">
        <f>_xlfn.XLOOKUP(Sales[[#This Row],[Product Name]],Products[Product Name],Products[Category])</f>
        <v>Desserts</v>
      </c>
      <c r="F977" t="s">
        <v>444</v>
      </c>
      <c r="G977" t="s">
        <v>454</v>
      </c>
      <c r="H977">
        <v>24</v>
      </c>
      <c r="I977" s="5">
        <f>_xlfn.XLOOKUP(Sales[[#This Row],[Product Name]],Products[Product Name],Products[Selling Price (CAD)])</f>
        <v>5.99</v>
      </c>
      <c r="J977" s="5">
        <f>PRODUCT(Sales[[#This Row],[Quantity Sold]],Sales[[#This Row],[Unit Selling Price (CAD)]])</f>
        <v>143.76</v>
      </c>
    </row>
    <row r="978" spans="1:10">
      <c r="A978" t="s">
        <v>1426</v>
      </c>
      <c r="B978" s="2">
        <v>46151</v>
      </c>
      <c r="C978" t="s">
        <v>283</v>
      </c>
      <c r="D978" t="s">
        <v>284</v>
      </c>
      <c r="E978" t="str">
        <f>_xlfn.XLOOKUP(Sales[[#This Row],[Product Name]],Products[Product Name],Products[Category])</f>
        <v>Beverages</v>
      </c>
      <c r="F978" t="s">
        <v>449</v>
      </c>
      <c r="G978" t="s">
        <v>450</v>
      </c>
      <c r="H978">
        <v>49</v>
      </c>
      <c r="I978" s="5">
        <f>_xlfn.XLOOKUP(Sales[[#This Row],[Product Name]],Products[Product Name],Products[Selling Price (CAD)])</f>
        <v>2.99</v>
      </c>
      <c r="J978" s="5">
        <f>PRODUCT(Sales[[#This Row],[Quantity Sold]],Sales[[#This Row],[Unit Selling Price (CAD)]])</f>
        <v>146.51000000000002</v>
      </c>
    </row>
    <row r="979" spans="1:10">
      <c r="A979" t="s">
        <v>1427</v>
      </c>
      <c r="B979" s="2">
        <v>46152</v>
      </c>
      <c r="C979" t="s">
        <v>161</v>
      </c>
      <c r="D979" t="s">
        <v>162</v>
      </c>
      <c r="E979" t="str">
        <f>_xlfn.XLOOKUP(Sales[[#This Row],[Product Name]],Products[Product Name],Products[Category])</f>
        <v>Breakfast</v>
      </c>
      <c r="F979" t="s">
        <v>447</v>
      </c>
      <c r="G979" t="s">
        <v>454</v>
      </c>
      <c r="H979">
        <v>59</v>
      </c>
      <c r="I979" s="5">
        <f>_xlfn.XLOOKUP(Sales[[#This Row],[Product Name]],Products[Product Name],Products[Selling Price (CAD)])</f>
        <v>2.99</v>
      </c>
      <c r="J979" s="5">
        <f>PRODUCT(Sales[[#This Row],[Quantity Sold]],Sales[[#This Row],[Unit Selling Price (CAD)]])</f>
        <v>176.41000000000003</v>
      </c>
    </row>
    <row r="980" spans="1:10">
      <c r="A980" t="s">
        <v>1428</v>
      </c>
      <c r="B980" s="2">
        <v>46152</v>
      </c>
      <c r="C980" t="s">
        <v>125</v>
      </c>
      <c r="D980" t="s">
        <v>126</v>
      </c>
      <c r="E980" t="str">
        <f>_xlfn.XLOOKUP(Sales[[#This Row],[Product Name]],Products[Product Name],Products[Category])</f>
        <v>Chicken</v>
      </c>
      <c r="F980" t="s">
        <v>447</v>
      </c>
      <c r="G980" t="s">
        <v>454</v>
      </c>
      <c r="H980">
        <v>31</v>
      </c>
      <c r="I980" s="5">
        <f>_xlfn.XLOOKUP(Sales[[#This Row],[Product Name]],Products[Product Name],Products[Selling Price (CAD)])</f>
        <v>4.99</v>
      </c>
      <c r="J980" s="5">
        <f>PRODUCT(Sales[[#This Row],[Quantity Sold]],Sales[[#This Row],[Unit Selling Price (CAD)]])</f>
        <v>154.69</v>
      </c>
    </row>
    <row r="981" spans="1:10">
      <c r="A981" t="s">
        <v>1429</v>
      </c>
      <c r="B981" s="2">
        <v>46152</v>
      </c>
      <c r="C981" t="s">
        <v>40</v>
      </c>
      <c r="D981" t="s">
        <v>41</v>
      </c>
      <c r="E981" t="str">
        <f>_xlfn.XLOOKUP(Sales[[#This Row],[Product Name]],Products[Product Name],Products[Category])</f>
        <v>Burgers</v>
      </c>
      <c r="F981" t="s">
        <v>444</v>
      </c>
      <c r="G981" t="s">
        <v>445</v>
      </c>
      <c r="H981">
        <v>56</v>
      </c>
      <c r="I981" s="5">
        <f>_xlfn.XLOOKUP(Sales[[#This Row],[Product Name]],Products[Product Name],Products[Selling Price (CAD)])</f>
        <v>6.99</v>
      </c>
      <c r="J981" s="5">
        <f>PRODUCT(Sales[[#This Row],[Quantity Sold]],Sales[[#This Row],[Unit Selling Price (CAD)]])</f>
        <v>391.44</v>
      </c>
    </row>
    <row r="982" spans="1:10">
      <c r="A982" t="s">
        <v>1430</v>
      </c>
      <c r="B982" s="2">
        <v>46152</v>
      </c>
      <c r="C982" t="s">
        <v>129</v>
      </c>
      <c r="D982" t="s">
        <v>130</v>
      </c>
      <c r="E982" t="str">
        <f>_xlfn.XLOOKUP(Sales[[#This Row],[Product Name]],Products[Product Name],Products[Category])</f>
        <v>Chicken</v>
      </c>
      <c r="F982" t="s">
        <v>449</v>
      </c>
      <c r="G982" t="s">
        <v>445</v>
      </c>
      <c r="H982">
        <v>52</v>
      </c>
      <c r="I982" s="5">
        <f>_xlfn.XLOOKUP(Sales[[#This Row],[Product Name]],Products[Product Name],Products[Selling Price (CAD)])</f>
        <v>11.99</v>
      </c>
      <c r="J982" s="5">
        <f>PRODUCT(Sales[[#This Row],[Quantity Sold]],Sales[[#This Row],[Unit Selling Price (CAD)]])</f>
        <v>623.48</v>
      </c>
    </row>
    <row r="983" spans="1:10">
      <c r="A983" t="s">
        <v>1431</v>
      </c>
      <c r="B983" s="2">
        <v>46152</v>
      </c>
      <c r="C983" t="s">
        <v>207</v>
      </c>
      <c r="D983" t="s">
        <v>208</v>
      </c>
      <c r="E983" t="str">
        <f>_xlfn.XLOOKUP(Sales[[#This Row],[Product Name]],Products[Product Name],Products[Category])</f>
        <v>Sides</v>
      </c>
      <c r="F983" t="s">
        <v>449</v>
      </c>
      <c r="G983" t="s">
        <v>452</v>
      </c>
      <c r="H983">
        <v>20</v>
      </c>
      <c r="I983" s="5">
        <f>_xlfn.XLOOKUP(Sales[[#This Row],[Product Name]],Products[Product Name],Products[Selling Price (CAD)])</f>
        <v>3.99</v>
      </c>
      <c r="J983" s="5">
        <f>PRODUCT(Sales[[#This Row],[Quantity Sold]],Sales[[#This Row],[Unit Selling Price (CAD)]])</f>
        <v>79.800000000000011</v>
      </c>
    </row>
    <row r="984" spans="1:10">
      <c r="A984" t="s">
        <v>1432</v>
      </c>
      <c r="B984" s="2">
        <v>46152</v>
      </c>
      <c r="C984" t="s">
        <v>125</v>
      </c>
      <c r="D984" t="s">
        <v>126</v>
      </c>
      <c r="E984" t="str">
        <f>_xlfn.XLOOKUP(Sales[[#This Row],[Product Name]],Products[Product Name],Products[Category])</f>
        <v>Chicken</v>
      </c>
      <c r="F984" t="s">
        <v>449</v>
      </c>
      <c r="G984" t="s">
        <v>450</v>
      </c>
      <c r="H984">
        <v>33</v>
      </c>
      <c r="I984" s="5">
        <f>_xlfn.XLOOKUP(Sales[[#This Row],[Product Name]],Products[Product Name],Products[Selling Price (CAD)])</f>
        <v>4.99</v>
      </c>
      <c r="J984" s="5">
        <f>PRODUCT(Sales[[#This Row],[Quantity Sold]],Sales[[#This Row],[Unit Selling Price (CAD)]])</f>
        <v>164.67000000000002</v>
      </c>
    </row>
    <row r="985" spans="1:10">
      <c r="A985" t="s">
        <v>1433</v>
      </c>
      <c r="B985" s="2">
        <v>46152</v>
      </c>
      <c r="C985" t="s">
        <v>323</v>
      </c>
      <c r="D985" t="s">
        <v>324</v>
      </c>
      <c r="E985" t="str">
        <f>_xlfn.XLOOKUP(Sales[[#This Row],[Product Name]],Products[Product Name],Products[Category])</f>
        <v>Desserts</v>
      </c>
      <c r="F985" t="s">
        <v>444</v>
      </c>
      <c r="G985" t="s">
        <v>452</v>
      </c>
      <c r="H985">
        <v>77</v>
      </c>
      <c r="I985" s="5">
        <f>_xlfn.XLOOKUP(Sales[[#This Row],[Product Name]],Products[Product Name],Products[Selling Price (CAD)])</f>
        <v>2.99</v>
      </c>
      <c r="J985" s="5">
        <f>PRODUCT(Sales[[#This Row],[Quantity Sold]],Sales[[#This Row],[Unit Selling Price (CAD)]])</f>
        <v>230.23000000000002</v>
      </c>
    </row>
    <row r="986" spans="1:10">
      <c r="A986" t="s">
        <v>1434</v>
      </c>
      <c r="B986" s="2">
        <v>46152</v>
      </c>
      <c r="C986" t="s">
        <v>149</v>
      </c>
      <c r="D986" t="s">
        <v>150</v>
      </c>
      <c r="E986" t="str">
        <f>_xlfn.XLOOKUP(Sales[[#This Row],[Product Name]],Products[Product Name],Products[Category])</f>
        <v>Breakfast</v>
      </c>
      <c r="F986" t="s">
        <v>447</v>
      </c>
      <c r="G986" t="s">
        <v>452</v>
      </c>
      <c r="H986">
        <v>53</v>
      </c>
      <c r="I986" s="5">
        <f>_xlfn.XLOOKUP(Sales[[#This Row],[Product Name]],Products[Product Name],Products[Selling Price (CAD)])</f>
        <v>5.99</v>
      </c>
      <c r="J986" s="5">
        <f>PRODUCT(Sales[[#This Row],[Quantity Sold]],Sales[[#This Row],[Unit Selling Price (CAD)]])</f>
        <v>317.47000000000003</v>
      </c>
    </row>
    <row r="987" spans="1:10">
      <c r="A987" t="s">
        <v>1435</v>
      </c>
      <c r="B987" s="2">
        <v>46153</v>
      </c>
      <c r="C987" t="s">
        <v>93</v>
      </c>
      <c r="D987" t="s">
        <v>94</v>
      </c>
      <c r="E987" t="str">
        <f>_xlfn.XLOOKUP(Sales[[#This Row],[Product Name]],Products[Product Name],Products[Category])</f>
        <v>Chicken</v>
      </c>
      <c r="F987" t="s">
        <v>449</v>
      </c>
      <c r="G987" t="s">
        <v>450</v>
      </c>
      <c r="H987">
        <v>55</v>
      </c>
      <c r="I987" s="5">
        <f>_xlfn.XLOOKUP(Sales[[#This Row],[Product Name]],Products[Product Name],Products[Selling Price (CAD)])</f>
        <v>7.49</v>
      </c>
      <c r="J987" s="5">
        <f>PRODUCT(Sales[[#This Row],[Quantity Sold]],Sales[[#This Row],[Unit Selling Price (CAD)]])</f>
        <v>411.95</v>
      </c>
    </row>
    <row r="988" spans="1:10">
      <c r="A988" t="s">
        <v>1436</v>
      </c>
      <c r="B988" s="2">
        <v>46153</v>
      </c>
      <c r="C988" t="s">
        <v>301</v>
      </c>
      <c r="D988" t="s">
        <v>302</v>
      </c>
      <c r="E988" t="str">
        <f>_xlfn.XLOOKUP(Sales[[#This Row],[Product Name]],Products[Product Name],Products[Category])</f>
        <v>Beverages</v>
      </c>
      <c r="F988" t="s">
        <v>444</v>
      </c>
      <c r="G988" t="s">
        <v>450</v>
      </c>
      <c r="H988">
        <v>15</v>
      </c>
      <c r="I988" s="5">
        <f>_xlfn.XLOOKUP(Sales[[#This Row],[Product Name]],Products[Product Name],Products[Selling Price (CAD)])</f>
        <v>1.99</v>
      </c>
      <c r="J988" s="5">
        <f>PRODUCT(Sales[[#This Row],[Quantity Sold]],Sales[[#This Row],[Unit Selling Price (CAD)]])</f>
        <v>29.85</v>
      </c>
    </row>
    <row r="989" spans="1:10">
      <c r="A989" t="s">
        <v>1437</v>
      </c>
      <c r="B989" s="2">
        <v>46153</v>
      </c>
      <c r="C989" t="s">
        <v>32</v>
      </c>
      <c r="D989" t="s">
        <v>33</v>
      </c>
      <c r="E989" t="str">
        <f>_xlfn.XLOOKUP(Sales[[#This Row],[Product Name]],Products[Product Name],Products[Category])</f>
        <v>Burgers</v>
      </c>
      <c r="F989" t="s">
        <v>444</v>
      </c>
      <c r="G989" t="s">
        <v>450</v>
      </c>
      <c r="H989">
        <v>65</v>
      </c>
      <c r="I989" s="5">
        <f>_xlfn.XLOOKUP(Sales[[#This Row],[Product Name]],Products[Product Name],Products[Selling Price (CAD)])</f>
        <v>9.99</v>
      </c>
      <c r="J989" s="5">
        <f>PRODUCT(Sales[[#This Row],[Quantity Sold]],Sales[[#This Row],[Unit Selling Price (CAD)]])</f>
        <v>649.35</v>
      </c>
    </row>
    <row r="990" spans="1:10">
      <c r="A990" t="s">
        <v>1438</v>
      </c>
      <c r="B990" s="2">
        <v>46153</v>
      </c>
      <c r="C990" t="s">
        <v>62</v>
      </c>
      <c r="D990" t="s">
        <v>63</v>
      </c>
      <c r="E990" t="str">
        <f>_xlfn.XLOOKUP(Sales[[#This Row],[Product Name]],Products[Product Name],Products[Category])</f>
        <v>Burgers</v>
      </c>
      <c r="F990" t="s">
        <v>444</v>
      </c>
      <c r="G990" t="s">
        <v>452</v>
      </c>
      <c r="H990">
        <v>48</v>
      </c>
      <c r="I990" s="5">
        <f>_xlfn.XLOOKUP(Sales[[#This Row],[Product Name]],Products[Product Name],Products[Selling Price (CAD)])</f>
        <v>8.99</v>
      </c>
      <c r="J990" s="5">
        <f>PRODUCT(Sales[[#This Row],[Quantity Sold]],Sales[[#This Row],[Unit Selling Price (CAD)]])</f>
        <v>431.52</v>
      </c>
    </row>
    <row r="991" spans="1:10">
      <c r="A991" t="s">
        <v>1439</v>
      </c>
      <c r="B991" s="2">
        <v>46153</v>
      </c>
      <c r="C991" t="s">
        <v>193</v>
      </c>
      <c r="D991" t="s">
        <v>194</v>
      </c>
      <c r="E991" t="str">
        <f>_xlfn.XLOOKUP(Sales[[#This Row],[Product Name]],Products[Product Name],Products[Category])</f>
        <v>Sides</v>
      </c>
      <c r="F991" t="s">
        <v>449</v>
      </c>
      <c r="G991" t="s">
        <v>445</v>
      </c>
      <c r="H991">
        <v>41</v>
      </c>
      <c r="I991" s="5">
        <f>_xlfn.XLOOKUP(Sales[[#This Row],[Product Name]],Products[Product Name],Products[Selling Price (CAD)])</f>
        <v>4.99</v>
      </c>
      <c r="J991" s="5">
        <f>PRODUCT(Sales[[#This Row],[Quantity Sold]],Sales[[#This Row],[Unit Selling Price (CAD)]])</f>
        <v>204.59</v>
      </c>
    </row>
    <row r="992" spans="1:10">
      <c r="A992" t="s">
        <v>1440</v>
      </c>
      <c r="B992" s="2">
        <v>46154</v>
      </c>
      <c r="C992" t="s">
        <v>28</v>
      </c>
      <c r="D992" t="s">
        <v>29</v>
      </c>
      <c r="E992" t="str">
        <f>_xlfn.XLOOKUP(Sales[[#This Row],[Product Name]],Products[Product Name],Products[Category])</f>
        <v>Burgers</v>
      </c>
      <c r="F992" t="s">
        <v>447</v>
      </c>
      <c r="G992" t="s">
        <v>450</v>
      </c>
      <c r="H992">
        <v>33</v>
      </c>
      <c r="I992" s="5">
        <f>_xlfn.XLOOKUP(Sales[[#This Row],[Product Name]],Products[Product Name],Products[Selling Price (CAD)])</f>
        <v>7.99</v>
      </c>
      <c r="J992" s="5">
        <f>PRODUCT(Sales[[#This Row],[Quantity Sold]],Sales[[#This Row],[Unit Selling Price (CAD)]])</f>
        <v>263.67</v>
      </c>
    </row>
    <row r="993" spans="1:10">
      <c r="A993" t="s">
        <v>1441</v>
      </c>
      <c r="B993" s="2">
        <v>46154</v>
      </c>
      <c r="C993" t="s">
        <v>423</v>
      </c>
      <c r="D993" t="s">
        <v>424</v>
      </c>
      <c r="E993" t="str">
        <f>_xlfn.XLOOKUP(Sales[[#This Row],[Product Name]],Products[Product Name],Products[Category])</f>
        <v>Combo Meals</v>
      </c>
      <c r="F993" t="s">
        <v>444</v>
      </c>
      <c r="G993" t="s">
        <v>454</v>
      </c>
      <c r="H993">
        <v>10</v>
      </c>
      <c r="I993" s="5">
        <f>_xlfn.XLOOKUP(Sales[[#This Row],[Product Name]],Products[Product Name],Products[Selling Price (CAD)])</f>
        <v>12.99</v>
      </c>
      <c r="J993" s="5">
        <f>PRODUCT(Sales[[#This Row],[Quantity Sold]],Sales[[#This Row],[Unit Selling Price (CAD)]])</f>
        <v>129.9</v>
      </c>
    </row>
    <row r="994" spans="1:10">
      <c r="A994" t="s">
        <v>1442</v>
      </c>
      <c r="B994" s="2">
        <v>46154</v>
      </c>
      <c r="C994" t="s">
        <v>151</v>
      </c>
      <c r="D994" t="s">
        <v>152</v>
      </c>
      <c r="E994" t="str">
        <f>_xlfn.XLOOKUP(Sales[[#This Row],[Product Name]],Products[Product Name],Products[Category])</f>
        <v>Breakfast</v>
      </c>
      <c r="F994" t="s">
        <v>449</v>
      </c>
      <c r="G994" t="s">
        <v>450</v>
      </c>
      <c r="H994">
        <v>68</v>
      </c>
      <c r="I994" s="5">
        <f>_xlfn.XLOOKUP(Sales[[#This Row],[Product Name]],Products[Product Name],Products[Selling Price (CAD)])</f>
        <v>5.99</v>
      </c>
      <c r="J994" s="5">
        <f>PRODUCT(Sales[[#This Row],[Quantity Sold]],Sales[[#This Row],[Unit Selling Price (CAD)]])</f>
        <v>407.32</v>
      </c>
    </row>
    <row r="995" spans="1:10">
      <c r="A995" t="s">
        <v>1443</v>
      </c>
      <c r="B995" s="2">
        <v>46154</v>
      </c>
      <c r="C995" t="s">
        <v>187</v>
      </c>
      <c r="D995" t="s">
        <v>188</v>
      </c>
      <c r="E995" t="str">
        <f>_xlfn.XLOOKUP(Sales[[#This Row],[Product Name]],Products[Product Name],Products[Category])</f>
        <v>Sides</v>
      </c>
      <c r="F995" t="s">
        <v>449</v>
      </c>
      <c r="G995" t="s">
        <v>454</v>
      </c>
      <c r="H995">
        <v>78</v>
      </c>
      <c r="I995" s="5">
        <f>_xlfn.XLOOKUP(Sales[[#This Row],[Product Name]],Products[Product Name],Products[Selling Price (CAD)])</f>
        <v>4.49</v>
      </c>
      <c r="J995" s="5">
        <f>PRODUCT(Sales[[#This Row],[Quantity Sold]],Sales[[#This Row],[Unit Selling Price (CAD)]])</f>
        <v>350.22</v>
      </c>
    </row>
    <row r="996" spans="1:10">
      <c r="A996" t="s">
        <v>1444</v>
      </c>
      <c r="B996" s="2">
        <v>46154</v>
      </c>
      <c r="C996" t="s">
        <v>374</v>
      </c>
      <c r="D996" t="s">
        <v>375</v>
      </c>
      <c r="E996" t="str">
        <f>_xlfn.XLOOKUP(Sales[[#This Row],[Product Name]],Products[Product Name],Products[Category])</f>
        <v>Kids Meals</v>
      </c>
      <c r="F996" t="s">
        <v>449</v>
      </c>
      <c r="G996" t="s">
        <v>450</v>
      </c>
      <c r="H996">
        <v>71</v>
      </c>
      <c r="I996" s="5">
        <f>_xlfn.XLOOKUP(Sales[[#This Row],[Product Name]],Products[Product Name],Products[Selling Price (CAD)])</f>
        <v>6.49</v>
      </c>
      <c r="J996" s="5">
        <f>PRODUCT(Sales[[#This Row],[Quantity Sold]],Sales[[#This Row],[Unit Selling Price (CAD)]])</f>
        <v>460.79</v>
      </c>
    </row>
    <row r="997" spans="1:10">
      <c r="A997" t="s">
        <v>1445</v>
      </c>
      <c r="B997" s="2">
        <v>46154</v>
      </c>
      <c r="C997" t="s">
        <v>366</v>
      </c>
      <c r="D997" t="s">
        <v>367</v>
      </c>
      <c r="E997" t="str">
        <f>_xlfn.XLOOKUP(Sales[[#This Row],[Product Name]],Products[Product Name],Products[Category])</f>
        <v>Kids Meals</v>
      </c>
      <c r="F997" t="s">
        <v>449</v>
      </c>
      <c r="G997" t="s">
        <v>454</v>
      </c>
      <c r="H997">
        <v>51</v>
      </c>
      <c r="I997" s="5">
        <f>_xlfn.XLOOKUP(Sales[[#This Row],[Product Name]],Products[Product Name],Products[Selling Price (CAD)])</f>
        <v>5.99</v>
      </c>
      <c r="J997" s="5">
        <f>PRODUCT(Sales[[#This Row],[Quantity Sold]],Sales[[#This Row],[Unit Selling Price (CAD)]])</f>
        <v>305.49</v>
      </c>
    </row>
    <row r="998" spans="1:10">
      <c r="A998" t="s">
        <v>1446</v>
      </c>
      <c r="B998" s="2">
        <v>46154</v>
      </c>
      <c r="C998" t="s">
        <v>171</v>
      </c>
      <c r="D998" t="s">
        <v>172</v>
      </c>
      <c r="E998" t="str">
        <f>_xlfn.XLOOKUP(Sales[[#This Row],[Product Name]],Products[Product Name],Products[Category])</f>
        <v>Breakfast</v>
      </c>
      <c r="F998" t="s">
        <v>444</v>
      </c>
      <c r="G998" t="s">
        <v>450</v>
      </c>
      <c r="H998">
        <v>79</v>
      </c>
      <c r="I998" s="5">
        <f>_xlfn.XLOOKUP(Sales[[#This Row],[Product Name]],Products[Product Name],Products[Selling Price (CAD)])</f>
        <v>3.99</v>
      </c>
      <c r="J998" s="5">
        <f>PRODUCT(Sales[[#This Row],[Quantity Sold]],Sales[[#This Row],[Unit Selling Price (CAD)]])</f>
        <v>315.21000000000004</v>
      </c>
    </row>
    <row r="999" spans="1:10">
      <c r="A999" t="s">
        <v>1447</v>
      </c>
      <c r="B999" s="2">
        <v>46154</v>
      </c>
      <c r="C999" t="s">
        <v>93</v>
      </c>
      <c r="D999" t="s">
        <v>94</v>
      </c>
      <c r="E999" t="str">
        <f>_xlfn.XLOOKUP(Sales[[#This Row],[Product Name]],Products[Product Name],Products[Category])</f>
        <v>Chicken</v>
      </c>
      <c r="F999" t="s">
        <v>449</v>
      </c>
      <c r="G999" t="s">
        <v>450</v>
      </c>
      <c r="H999">
        <v>77</v>
      </c>
      <c r="I999" s="5">
        <f>_xlfn.XLOOKUP(Sales[[#This Row],[Product Name]],Products[Product Name],Products[Selling Price (CAD)])</f>
        <v>7.49</v>
      </c>
      <c r="J999" s="5">
        <f>PRODUCT(Sales[[#This Row],[Quantity Sold]],Sales[[#This Row],[Unit Selling Price (CAD)]])</f>
        <v>576.73</v>
      </c>
    </row>
    <row r="1000" spans="1:10">
      <c r="A1000" t="s">
        <v>1448</v>
      </c>
      <c r="B1000" s="2">
        <v>46154</v>
      </c>
      <c r="C1000" t="s">
        <v>17</v>
      </c>
      <c r="D1000" t="s">
        <v>18</v>
      </c>
      <c r="E1000" t="str">
        <f>_xlfn.XLOOKUP(Sales[[#This Row],[Product Name]],Products[Product Name],Products[Category])</f>
        <v>Burgers</v>
      </c>
      <c r="F1000" t="s">
        <v>449</v>
      </c>
      <c r="G1000" t="s">
        <v>445</v>
      </c>
      <c r="H1000">
        <v>49</v>
      </c>
      <c r="I1000" s="5">
        <f>_xlfn.XLOOKUP(Sales[[#This Row],[Product Name]],Products[Product Name],Products[Selling Price (CAD)])</f>
        <v>7.99</v>
      </c>
      <c r="J1000" s="5">
        <f>PRODUCT(Sales[[#This Row],[Quantity Sold]],Sales[[#This Row],[Unit Selling Price (CAD)]])</f>
        <v>391.51</v>
      </c>
    </row>
    <row r="1001" spans="1:10">
      <c r="A1001" t="s">
        <v>1449</v>
      </c>
      <c r="B1001" s="2">
        <v>46155</v>
      </c>
      <c r="C1001" t="s">
        <v>34</v>
      </c>
      <c r="D1001" t="s">
        <v>35</v>
      </c>
      <c r="E1001" t="str">
        <f>_xlfn.XLOOKUP(Sales[[#This Row],[Product Name]],Products[Product Name],Products[Category])</f>
        <v>Burgers</v>
      </c>
      <c r="F1001" t="s">
        <v>444</v>
      </c>
      <c r="G1001" t="s">
        <v>454</v>
      </c>
      <c r="H1001">
        <v>78</v>
      </c>
      <c r="I1001" s="5">
        <f>_xlfn.XLOOKUP(Sales[[#This Row],[Product Name]],Products[Product Name],Products[Selling Price (CAD)])</f>
        <v>6.99</v>
      </c>
      <c r="J1001" s="5">
        <f>PRODUCT(Sales[[#This Row],[Quantity Sold]],Sales[[#This Row],[Unit Selling Price (CAD)]])</f>
        <v>545.22</v>
      </c>
    </row>
    <row r="1002" spans="1:10">
      <c r="A1002" t="s">
        <v>1450</v>
      </c>
      <c r="B1002" s="2">
        <v>46155</v>
      </c>
      <c r="C1002" t="s">
        <v>211</v>
      </c>
      <c r="D1002" t="s">
        <v>212</v>
      </c>
      <c r="E1002" t="str">
        <f>_xlfn.XLOOKUP(Sales[[#This Row],[Product Name]],Products[Product Name],Products[Category])</f>
        <v>Sides</v>
      </c>
      <c r="F1002" t="s">
        <v>449</v>
      </c>
      <c r="G1002" t="s">
        <v>450</v>
      </c>
      <c r="H1002">
        <v>79</v>
      </c>
      <c r="I1002" s="5">
        <f>_xlfn.XLOOKUP(Sales[[#This Row],[Product Name]],Products[Product Name],Products[Selling Price (CAD)])</f>
        <v>3.99</v>
      </c>
      <c r="J1002" s="5">
        <f>PRODUCT(Sales[[#This Row],[Quantity Sold]],Sales[[#This Row],[Unit Selling Price (CAD)]])</f>
        <v>315.21000000000004</v>
      </c>
    </row>
    <row r="1003" spans="1:10">
      <c r="A1003" t="s">
        <v>1451</v>
      </c>
      <c r="B1003" s="2">
        <v>46155</v>
      </c>
      <c r="C1003" t="s">
        <v>243</v>
      </c>
      <c r="D1003" t="s">
        <v>244</v>
      </c>
      <c r="E1003" t="str">
        <f>_xlfn.XLOOKUP(Sales[[#This Row],[Product Name]],Products[Product Name],Products[Category])</f>
        <v>Salads</v>
      </c>
      <c r="F1003" t="s">
        <v>449</v>
      </c>
      <c r="G1003" t="s">
        <v>450</v>
      </c>
      <c r="H1003">
        <v>52</v>
      </c>
      <c r="I1003" s="5">
        <f>_xlfn.XLOOKUP(Sales[[#This Row],[Product Name]],Products[Product Name],Products[Selling Price (CAD)])</f>
        <v>6.99</v>
      </c>
      <c r="J1003" s="5">
        <f>PRODUCT(Sales[[#This Row],[Quantity Sold]],Sales[[#This Row],[Unit Selling Price (CAD)]])</f>
        <v>363.48</v>
      </c>
    </row>
    <row r="1004" spans="1:10">
      <c r="A1004" t="s">
        <v>1452</v>
      </c>
      <c r="B1004" s="2">
        <v>46155</v>
      </c>
      <c r="C1004" t="s">
        <v>97</v>
      </c>
      <c r="D1004" t="s">
        <v>98</v>
      </c>
      <c r="E1004" t="str">
        <f>_xlfn.XLOOKUP(Sales[[#This Row],[Product Name]],Products[Product Name],Products[Category])</f>
        <v>Chicken</v>
      </c>
      <c r="F1004" t="s">
        <v>444</v>
      </c>
      <c r="G1004" t="s">
        <v>450</v>
      </c>
      <c r="H1004">
        <v>41</v>
      </c>
      <c r="I1004" s="5">
        <f>_xlfn.XLOOKUP(Sales[[#This Row],[Product Name]],Products[Product Name],Products[Selling Price (CAD)])</f>
        <v>6.99</v>
      </c>
      <c r="J1004" s="5">
        <f>PRODUCT(Sales[[#This Row],[Quantity Sold]],Sales[[#This Row],[Unit Selling Price (CAD)]])</f>
        <v>286.59000000000003</v>
      </c>
    </row>
    <row r="1005" spans="1:10">
      <c r="A1005" t="s">
        <v>1453</v>
      </c>
      <c r="B1005" s="2">
        <v>46155</v>
      </c>
      <c r="C1005" t="s">
        <v>201</v>
      </c>
      <c r="D1005" t="s">
        <v>202</v>
      </c>
      <c r="E1005" t="str">
        <f>_xlfn.XLOOKUP(Sales[[#This Row],[Product Name]],Products[Product Name],Products[Category])</f>
        <v>Sides</v>
      </c>
      <c r="F1005" t="s">
        <v>449</v>
      </c>
      <c r="G1005" t="s">
        <v>445</v>
      </c>
      <c r="H1005">
        <v>35</v>
      </c>
      <c r="I1005" s="5">
        <f>_xlfn.XLOOKUP(Sales[[#This Row],[Product Name]],Products[Product Name],Products[Selling Price (CAD)])</f>
        <v>3.99</v>
      </c>
      <c r="J1005" s="5">
        <f>PRODUCT(Sales[[#This Row],[Quantity Sold]],Sales[[#This Row],[Unit Selling Price (CAD)]])</f>
        <v>139.65</v>
      </c>
    </row>
    <row r="1006" spans="1:10">
      <c r="A1006" t="s">
        <v>1454</v>
      </c>
      <c r="B1006" s="2">
        <v>46155</v>
      </c>
      <c r="C1006" t="s">
        <v>241</v>
      </c>
      <c r="D1006" t="s">
        <v>242</v>
      </c>
      <c r="E1006" t="str">
        <f>_xlfn.XLOOKUP(Sales[[#This Row],[Product Name]],Products[Product Name],Products[Category])</f>
        <v>Salads</v>
      </c>
      <c r="F1006" t="s">
        <v>444</v>
      </c>
      <c r="G1006" t="s">
        <v>450</v>
      </c>
      <c r="H1006">
        <v>49</v>
      </c>
      <c r="I1006" s="5">
        <f>_xlfn.XLOOKUP(Sales[[#This Row],[Product Name]],Products[Product Name],Products[Selling Price (CAD)])</f>
        <v>9.49</v>
      </c>
      <c r="J1006" s="5">
        <f>PRODUCT(Sales[[#This Row],[Quantity Sold]],Sales[[#This Row],[Unit Selling Price (CAD)]])</f>
        <v>465.01</v>
      </c>
    </row>
    <row r="1007" spans="1:10">
      <c r="A1007" t="s">
        <v>1455</v>
      </c>
      <c r="B1007" s="2">
        <v>46155</v>
      </c>
      <c r="C1007" t="s">
        <v>211</v>
      </c>
      <c r="D1007" t="s">
        <v>212</v>
      </c>
      <c r="E1007" t="str">
        <f>_xlfn.XLOOKUP(Sales[[#This Row],[Product Name]],Products[Product Name],Products[Category])</f>
        <v>Sides</v>
      </c>
      <c r="F1007" t="s">
        <v>449</v>
      </c>
      <c r="G1007" t="s">
        <v>454</v>
      </c>
      <c r="H1007">
        <v>57</v>
      </c>
      <c r="I1007" s="5">
        <f>_xlfn.XLOOKUP(Sales[[#This Row],[Product Name]],Products[Product Name],Products[Selling Price (CAD)])</f>
        <v>3.99</v>
      </c>
      <c r="J1007" s="5">
        <f>PRODUCT(Sales[[#This Row],[Quantity Sold]],Sales[[#This Row],[Unit Selling Price (CAD)]])</f>
        <v>227.43</v>
      </c>
    </row>
    <row r="1008" spans="1:10">
      <c r="A1008" t="s">
        <v>1456</v>
      </c>
      <c r="B1008" s="2">
        <v>46156</v>
      </c>
      <c r="C1008" t="s">
        <v>317</v>
      </c>
      <c r="D1008" t="s">
        <v>318</v>
      </c>
      <c r="E1008" t="str">
        <f>_xlfn.XLOOKUP(Sales[[#This Row],[Product Name]],Products[Product Name],Products[Category])</f>
        <v>Beverages</v>
      </c>
      <c r="F1008" t="s">
        <v>447</v>
      </c>
      <c r="G1008" t="s">
        <v>445</v>
      </c>
      <c r="H1008">
        <v>45</v>
      </c>
      <c r="I1008" s="5">
        <f>_xlfn.XLOOKUP(Sales[[#This Row],[Product Name]],Products[Product Name],Products[Selling Price (CAD)])</f>
        <v>3.99</v>
      </c>
      <c r="J1008" s="5">
        <f>PRODUCT(Sales[[#This Row],[Quantity Sold]],Sales[[#This Row],[Unit Selling Price (CAD)]])</f>
        <v>179.55</v>
      </c>
    </row>
    <row r="1009" spans="1:10">
      <c r="A1009" t="s">
        <v>1457</v>
      </c>
      <c r="B1009" s="2">
        <v>46156</v>
      </c>
      <c r="C1009" t="s">
        <v>388</v>
      </c>
      <c r="D1009" t="s">
        <v>389</v>
      </c>
      <c r="E1009" t="str">
        <f>_xlfn.XLOOKUP(Sales[[#This Row],[Product Name]],Products[Product Name],Products[Category])</f>
        <v>Sauces &amp; Add-ons</v>
      </c>
      <c r="F1009" t="s">
        <v>449</v>
      </c>
      <c r="G1009" t="s">
        <v>452</v>
      </c>
      <c r="H1009">
        <v>25</v>
      </c>
      <c r="I1009" s="5">
        <f>_xlfn.XLOOKUP(Sales[[#This Row],[Product Name]],Products[Product Name],Products[Selling Price (CAD)])</f>
        <v>0.25</v>
      </c>
      <c r="J1009" s="5">
        <f>PRODUCT(Sales[[#This Row],[Quantity Sold]],Sales[[#This Row],[Unit Selling Price (CAD)]])</f>
        <v>6.25</v>
      </c>
    </row>
    <row r="1010" spans="1:10">
      <c r="A1010" t="s">
        <v>1458</v>
      </c>
      <c r="B1010" s="2">
        <v>46156</v>
      </c>
      <c r="C1010" t="s">
        <v>265</v>
      </c>
      <c r="D1010" t="s">
        <v>266</v>
      </c>
      <c r="E1010" t="str">
        <f>_xlfn.XLOOKUP(Sales[[#This Row],[Product Name]],Products[Product Name],Products[Category])</f>
        <v>Beverages</v>
      </c>
      <c r="F1010" t="s">
        <v>449</v>
      </c>
      <c r="G1010" t="s">
        <v>452</v>
      </c>
      <c r="H1010">
        <v>50</v>
      </c>
      <c r="I1010" s="5">
        <f>_xlfn.XLOOKUP(Sales[[#This Row],[Product Name]],Products[Product Name],Products[Selling Price (CAD)])</f>
        <v>1.99</v>
      </c>
      <c r="J1010" s="5">
        <f>PRODUCT(Sales[[#This Row],[Quantity Sold]],Sales[[#This Row],[Unit Selling Price (CAD)]])</f>
        <v>99.5</v>
      </c>
    </row>
    <row r="1011" spans="1:10">
      <c r="A1011" t="s">
        <v>1459</v>
      </c>
      <c r="B1011" s="2">
        <v>46156</v>
      </c>
      <c r="C1011" t="s">
        <v>155</v>
      </c>
      <c r="D1011" t="s">
        <v>156</v>
      </c>
      <c r="E1011" t="str">
        <f>_xlfn.XLOOKUP(Sales[[#This Row],[Product Name]],Products[Product Name],Products[Category])</f>
        <v>Breakfast</v>
      </c>
      <c r="F1011" t="s">
        <v>447</v>
      </c>
      <c r="G1011" t="s">
        <v>452</v>
      </c>
      <c r="H1011">
        <v>25</v>
      </c>
      <c r="I1011" s="5">
        <f>_xlfn.XLOOKUP(Sales[[#This Row],[Product Name]],Products[Product Name],Products[Selling Price (CAD)])</f>
        <v>4.99</v>
      </c>
      <c r="J1011" s="5">
        <f>PRODUCT(Sales[[#This Row],[Quantity Sold]],Sales[[#This Row],[Unit Selling Price (CAD)]])</f>
        <v>124.75</v>
      </c>
    </row>
    <row r="1012" spans="1:10">
      <c r="A1012" t="s">
        <v>1460</v>
      </c>
      <c r="B1012" s="2">
        <v>46156</v>
      </c>
      <c r="C1012" t="s">
        <v>12</v>
      </c>
      <c r="D1012" t="s">
        <v>13</v>
      </c>
      <c r="E1012" t="str">
        <f>_xlfn.XLOOKUP(Sales[[#This Row],[Product Name]],Products[Product Name],Products[Category])</f>
        <v>Burgers</v>
      </c>
      <c r="F1012" t="s">
        <v>449</v>
      </c>
      <c r="G1012" t="s">
        <v>450</v>
      </c>
      <c r="H1012">
        <v>38</v>
      </c>
      <c r="I1012" s="5">
        <f>_xlfn.XLOOKUP(Sales[[#This Row],[Product Name]],Products[Product Name],Products[Selling Price (CAD)])</f>
        <v>5.99</v>
      </c>
      <c r="J1012" s="5">
        <f>PRODUCT(Sales[[#This Row],[Quantity Sold]],Sales[[#This Row],[Unit Selling Price (CAD)]])</f>
        <v>227.62</v>
      </c>
    </row>
    <row r="1013" spans="1:10">
      <c r="A1013" t="s">
        <v>1461</v>
      </c>
      <c r="B1013" s="2">
        <v>46156</v>
      </c>
      <c r="C1013" t="s">
        <v>28</v>
      </c>
      <c r="D1013" t="s">
        <v>29</v>
      </c>
      <c r="E1013" t="str">
        <f>_xlfn.XLOOKUP(Sales[[#This Row],[Product Name]],Products[Product Name],Products[Category])</f>
        <v>Burgers</v>
      </c>
      <c r="F1013" t="s">
        <v>444</v>
      </c>
      <c r="G1013" t="s">
        <v>452</v>
      </c>
      <c r="H1013">
        <v>10</v>
      </c>
      <c r="I1013" s="5">
        <f>_xlfn.XLOOKUP(Sales[[#This Row],[Product Name]],Products[Product Name],Products[Selling Price (CAD)])</f>
        <v>7.99</v>
      </c>
      <c r="J1013" s="5">
        <f>PRODUCT(Sales[[#This Row],[Quantity Sold]],Sales[[#This Row],[Unit Selling Price (CAD)]])</f>
        <v>79.900000000000006</v>
      </c>
    </row>
    <row r="1014" spans="1:10">
      <c r="A1014" t="s">
        <v>1462</v>
      </c>
      <c r="B1014" s="2">
        <v>46156</v>
      </c>
      <c r="C1014" t="s">
        <v>169</v>
      </c>
      <c r="D1014" t="s">
        <v>170</v>
      </c>
      <c r="E1014" t="str">
        <f>_xlfn.XLOOKUP(Sales[[#This Row],[Product Name]],Products[Product Name],Products[Category])</f>
        <v>Breakfast</v>
      </c>
      <c r="F1014" t="s">
        <v>449</v>
      </c>
      <c r="G1014" t="s">
        <v>450</v>
      </c>
      <c r="H1014">
        <v>30</v>
      </c>
      <c r="I1014" s="5">
        <f>_xlfn.XLOOKUP(Sales[[#This Row],[Product Name]],Products[Product Name],Products[Selling Price (CAD)])</f>
        <v>2.99</v>
      </c>
      <c r="J1014" s="5">
        <f>PRODUCT(Sales[[#This Row],[Quantity Sold]],Sales[[#This Row],[Unit Selling Price (CAD)]])</f>
        <v>89.7</v>
      </c>
    </row>
    <row r="1015" spans="1:10">
      <c r="A1015" t="s">
        <v>1463</v>
      </c>
      <c r="B1015" s="2">
        <v>46156</v>
      </c>
      <c r="C1015" t="s">
        <v>411</v>
      </c>
      <c r="D1015" t="s">
        <v>412</v>
      </c>
      <c r="E1015" t="str">
        <f>_xlfn.XLOOKUP(Sales[[#This Row],[Product Name]],Products[Product Name],Products[Category])</f>
        <v>Combo Meals</v>
      </c>
      <c r="F1015" t="s">
        <v>444</v>
      </c>
      <c r="G1015" t="s">
        <v>450</v>
      </c>
      <c r="H1015">
        <v>64</v>
      </c>
      <c r="I1015" s="5">
        <f>_xlfn.XLOOKUP(Sales[[#This Row],[Product Name]],Products[Product Name],Products[Selling Price (CAD)])</f>
        <v>10.99</v>
      </c>
      <c r="J1015" s="5">
        <f>PRODUCT(Sales[[#This Row],[Quantity Sold]],Sales[[#This Row],[Unit Selling Price (CAD)]])</f>
        <v>703.36</v>
      </c>
    </row>
    <row r="1016" spans="1:10">
      <c r="A1016" t="s">
        <v>1464</v>
      </c>
      <c r="B1016" s="2">
        <v>46157</v>
      </c>
      <c r="C1016" t="s">
        <v>277</v>
      </c>
      <c r="D1016" t="s">
        <v>278</v>
      </c>
      <c r="E1016" t="str">
        <f>_xlfn.XLOOKUP(Sales[[#This Row],[Product Name]],Products[Product Name],Products[Category])</f>
        <v>Beverages</v>
      </c>
      <c r="F1016" t="s">
        <v>447</v>
      </c>
      <c r="G1016" t="s">
        <v>452</v>
      </c>
      <c r="H1016">
        <v>38</v>
      </c>
      <c r="I1016" s="5">
        <f>_xlfn.XLOOKUP(Sales[[#This Row],[Product Name]],Products[Product Name],Products[Selling Price (CAD)])</f>
        <v>1.99</v>
      </c>
      <c r="J1016" s="5">
        <f>PRODUCT(Sales[[#This Row],[Quantity Sold]],Sales[[#This Row],[Unit Selling Price (CAD)]])</f>
        <v>75.62</v>
      </c>
    </row>
    <row r="1017" spans="1:10">
      <c r="A1017" t="s">
        <v>1465</v>
      </c>
      <c r="B1017" s="2">
        <v>46157</v>
      </c>
      <c r="C1017" t="s">
        <v>413</v>
      </c>
      <c r="D1017" t="s">
        <v>414</v>
      </c>
      <c r="E1017" t="str">
        <f>_xlfn.XLOOKUP(Sales[[#This Row],[Product Name]],Products[Product Name],Products[Category])</f>
        <v>Combo Meals</v>
      </c>
      <c r="F1017" t="s">
        <v>444</v>
      </c>
      <c r="G1017" t="s">
        <v>450</v>
      </c>
      <c r="H1017">
        <v>64</v>
      </c>
      <c r="I1017" s="5">
        <f>_xlfn.XLOOKUP(Sales[[#This Row],[Product Name]],Products[Product Name],Products[Selling Price (CAD)])</f>
        <v>10.99</v>
      </c>
      <c r="J1017" s="5">
        <f>PRODUCT(Sales[[#This Row],[Quantity Sold]],Sales[[#This Row],[Unit Selling Price (CAD)]])</f>
        <v>703.36</v>
      </c>
    </row>
    <row r="1018" spans="1:10">
      <c r="A1018" t="s">
        <v>1466</v>
      </c>
      <c r="B1018" s="2">
        <v>46157</v>
      </c>
      <c r="C1018" t="s">
        <v>421</v>
      </c>
      <c r="D1018" t="s">
        <v>422</v>
      </c>
      <c r="E1018" t="str">
        <f>_xlfn.XLOOKUP(Sales[[#This Row],[Product Name]],Products[Product Name],Products[Category])</f>
        <v>Combo Meals</v>
      </c>
      <c r="F1018" t="s">
        <v>444</v>
      </c>
      <c r="G1018" t="s">
        <v>450</v>
      </c>
      <c r="H1018">
        <v>79</v>
      </c>
      <c r="I1018" s="5">
        <f>_xlfn.XLOOKUP(Sales[[#This Row],[Product Name]],Products[Product Name],Products[Selling Price (CAD)])</f>
        <v>8.99</v>
      </c>
      <c r="J1018" s="5">
        <f>PRODUCT(Sales[[#This Row],[Quantity Sold]],Sales[[#This Row],[Unit Selling Price (CAD)]])</f>
        <v>710.21</v>
      </c>
    </row>
    <row r="1019" spans="1:10">
      <c r="A1019" t="s">
        <v>1467</v>
      </c>
      <c r="B1019" s="2">
        <v>46157</v>
      </c>
      <c r="C1019" t="s">
        <v>319</v>
      </c>
      <c r="D1019" t="s">
        <v>320</v>
      </c>
      <c r="E1019" t="str">
        <f>_xlfn.XLOOKUP(Sales[[#This Row],[Product Name]],Products[Product Name],Products[Category])</f>
        <v>Beverages</v>
      </c>
      <c r="F1019" t="s">
        <v>447</v>
      </c>
      <c r="G1019" t="s">
        <v>450</v>
      </c>
      <c r="H1019">
        <v>36</v>
      </c>
      <c r="I1019" s="5">
        <f>_xlfn.XLOOKUP(Sales[[#This Row],[Product Name]],Products[Product Name],Products[Selling Price (CAD)])</f>
        <v>2.4900000000000002</v>
      </c>
      <c r="J1019" s="5">
        <f>PRODUCT(Sales[[#This Row],[Quantity Sold]],Sales[[#This Row],[Unit Selling Price (CAD)]])</f>
        <v>89.640000000000015</v>
      </c>
    </row>
    <row r="1020" spans="1:10">
      <c r="A1020" t="s">
        <v>1468</v>
      </c>
      <c r="B1020" s="2">
        <v>46157</v>
      </c>
      <c r="C1020" t="s">
        <v>345</v>
      </c>
      <c r="D1020" t="s">
        <v>346</v>
      </c>
      <c r="E1020" t="str">
        <f>_xlfn.XLOOKUP(Sales[[#This Row],[Product Name]],Products[Product Name],Products[Category])</f>
        <v>Desserts</v>
      </c>
      <c r="F1020" t="s">
        <v>447</v>
      </c>
      <c r="G1020" t="s">
        <v>450</v>
      </c>
      <c r="H1020">
        <v>33</v>
      </c>
      <c r="I1020" s="5">
        <f>_xlfn.XLOOKUP(Sales[[#This Row],[Product Name]],Products[Product Name],Products[Selling Price (CAD)])</f>
        <v>5.99</v>
      </c>
      <c r="J1020" s="5">
        <f>PRODUCT(Sales[[#This Row],[Quantity Sold]],Sales[[#This Row],[Unit Selling Price (CAD)]])</f>
        <v>197.67000000000002</v>
      </c>
    </row>
    <row r="1021" spans="1:10">
      <c r="A1021" t="s">
        <v>1469</v>
      </c>
      <c r="B1021" s="2">
        <v>46157</v>
      </c>
      <c r="C1021" t="s">
        <v>263</v>
      </c>
      <c r="D1021" t="s">
        <v>264</v>
      </c>
      <c r="E1021" t="str">
        <f>_xlfn.XLOOKUP(Sales[[#This Row],[Product Name]],Products[Product Name],Products[Category])</f>
        <v>Beverages</v>
      </c>
      <c r="F1021" t="s">
        <v>447</v>
      </c>
      <c r="G1021" t="s">
        <v>454</v>
      </c>
      <c r="H1021">
        <v>38</v>
      </c>
      <c r="I1021" s="5">
        <f>_xlfn.XLOOKUP(Sales[[#This Row],[Product Name]],Products[Product Name],Products[Selling Price (CAD)])</f>
        <v>2.99</v>
      </c>
      <c r="J1021" s="5">
        <f>PRODUCT(Sales[[#This Row],[Quantity Sold]],Sales[[#This Row],[Unit Selling Price (CAD)]])</f>
        <v>113.62</v>
      </c>
    </row>
    <row r="1022" spans="1:10">
      <c r="A1022" t="s">
        <v>1470</v>
      </c>
      <c r="B1022" s="2">
        <v>46158</v>
      </c>
      <c r="C1022" t="s">
        <v>376</v>
      </c>
      <c r="D1022" t="s">
        <v>377</v>
      </c>
      <c r="E1022" t="str">
        <f>_xlfn.XLOOKUP(Sales[[#This Row],[Product Name]],Products[Product Name],Products[Category])</f>
        <v>Kids Meals</v>
      </c>
      <c r="F1022" t="s">
        <v>449</v>
      </c>
      <c r="G1022" t="s">
        <v>450</v>
      </c>
      <c r="H1022">
        <v>12</v>
      </c>
      <c r="I1022" s="5">
        <f>_xlfn.XLOOKUP(Sales[[#This Row],[Product Name]],Products[Product Name],Products[Selling Price (CAD)])</f>
        <v>5.99</v>
      </c>
      <c r="J1022" s="5">
        <f>PRODUCT(Sales[[#This Row],[Quantity Sold]],Sales[[#This Row],[Unit Selling Price (CAD)]])</f>
        <v>71.88</v>
      </c>
    </row>
    <row r="1023" spans="1:10">
      <c r="A1023" t="s">
        <v>1471</v>
      </c>
      <c r="B1023" s="2">
        <v>46158</v>
      </c>
      <c r="C1023" t="s">
        <v>325</v>
      </c>
      <c r="D1023" t="s">
        <v>326</v>
      </c>
      <c r="E1023" t="str">
        <f>_xlfn.XLOOKUP(Sales[[#This Row],[Product Name]],Products[Product Name],Products[Category])</f>
        <v>Desserts</v>
      </c>
      <c r="F1023" t="s">
        <v>444</v>
      </c>
      <c r="G1023" t="s">
        <v>454</v>
      </c>
      <c r="H1023">
        <v>6</v>
      </c>
      <c r="I1023" s="5">
        <f>_xlfn.XLOOKUP(Sales[[#This Row],[Product Name]],Products[Product Name],Products[Selling Price (CAD)])</f>
        <v>3.49</v>
      </c>
      <c r="J1023" s="5">
        <f>PRODUCT(Sales[[#This Row],[Quantity Sold]],Sales[[#This Row],[Unit Selling Price (CAD)]])</f>
        <v>20.94</v>
      </c>
    </row>
    <row r="1024" spans="1:10">
      <c r="A1024" t="s">
        <v>1472</v>
      </c>
      <c r="B1024" s="2">
        <v>46158</v>
      </c>
      <c r="C1024" t="s">
        <v>243</v>
      </c>
      <c r="D1024" t="s">
        <v>244</v>
      </c>
      <c r="E1024" t="str">
        <f>_xlfn.XLOOKUP(Sales[[#This Row],[Product Name]],Products[Product Name],Products[Category])</f>
        <v>Salads</v>
      </c>
      <c r="F1024" t="s">
        <v>449</v>
      </c>
      <c r="G1024" t="s">
        <v>450</v>
      </c>
      <c r="H1024">
        <v>74</v>
      </c>
      <c r="I1024" s="5">
        <f>_xlfn.XLOOKUP(Sales[[#This Row],[Product Name]],Products[Product Name],Products[Selling Price (CAD)])</f>
        <v>6.99</v>
      </c>
      <c r="J1024" s="5">
        <f>PRODUCT(Sales[[#This Row],[Quantity Sold]],Sales[[#This Row],[Unit Selling Price (CAD)]])</f>
        <v>517.26</v>
      </c>
    </row>
    <row r="1025" spans="1:10">
      <c r="A1025" t="s">
        <v>1473</v>
      </c>
      <c r="B1025" s="2">
        <v>46158</v>
      </c>
      <c r="C1025" t="s">
        <v>85</v>
      </c>
      <c r="D1025" t="s">
        <v>86</v>
      </c>
      <c r="E1025" t="str">
        <f>_xlfn.XLOOKUP(Sales[[#This Row],[Product Name]],Products[Product Name],Products[Category])</f>
        <v>Chicken</v>
      </c>
      <c r="F1025" t="s">
        <v>444</v>
      </c>
      <c r="G1025" t="s">
        <v>454</v>
      </c>
      <c r="H1025">
        <v>30</v>
      </c>
      <c r="I1025" s="5">
        <f>_xlfn.XLOOKUP(Sales[[#This Row],[Product Name]],Products[Product Name],Products[Selling Price (CAD)])</f>
        <v>6.99</v>
      </c>
      <c r="J1025" s="5">
        <f>PRODUCT(Sales[[#This Row],[Quantity Sold]],Sales[[#This Row],[Unit Selling Price (CAD)]])</f>
        <v>209.70000000000002</v>
      </c>
    </row>
    <row r="1026" spans="1:10">
      <c r="A1026" t="s">
        <v>1474</v>
      </c>
      <c r="B1026" s="2">
        <v>46158</v>
      </c>
      <c r="C1026" t="s">
        <v>291</v>
      </c>
      <c r="D1026" t="s">
        <v>292</v>
      </c>
      <c r="E1026" t="str">
        <f>_xlfn.XLOOKUP(Sales[[#This Row],[Product Name]],Products[Product Name],Products[Category])</f>
        <v>Beverages</v>
      </c>
      <c r="F1026" t="s">
        <v>449</v>
      </c>
      <c r="G1026" t="s">
        <v>445</v>
      </c>
      <c r="H1026">
        <v>53</v>
      </c>
      <c r="I1026" s="5">
        <f>_xlfn.XLOOKUP(Sales[[#This Row],[Product Name]],Products[Product Name],Products[Selling Price (CAD)])</f>
        <v>3.99</v>
      </c>
      <c r="J1026" s="5">
        <f>PRODUCT(Sales[[#This Row],[Quantity Sold]],Sales[[#This Row],[Unit Selling Price (CAD)]])</f>
        <v>211.47</v>
      </c>
    </row>
    <row r="1027" spans="1:10">
      <c r="A1027" t="s">
        <v>1475</v>
      </c>
      <c r="B1027" s="2">
        <v>46159</v>
      </c>
      <c r="C1027" t="s">
        <v>299</v>
      </c>
      <c r="D1027" t="s">
        <v>300</v>
      </c>
      <c r="E1027" t="str">
        <f>_xlfn.XLOOKUP(Sales[[#This Row],[Product Name]],Products[Product Name],Products[Category])</f>
        <v>Beverages</v>
      </c>
      <c r="F1027" t="s">
        <v>444</v>
      </c>
      <c r="G1027" t="s">
        <v>450</v>
      </c>
      <c r="H1027">
        <v>45</v>
      </c>
      <c r="I1027" s="5">
        <f>_xlfn.XLOOKUP(Sales[[#This Row],[Product Name]],Products[Product Name],Products[Selling Price (CAD)])</f>
        <v>2.4900000000000002</v>
      </c>
      <c r="J1027" s="5">
        <f>PRODUCT(Sales[[#This Row],[Quantity Sold]],Sales[[#This Row],[Unit Selling Price (CAD)]])</f>
        <v>112.05000000000001</v>
      </c>
    </row>
    <row r="1028" spans="1:10">
      <c r="A1028" t="s">
        <v>1476</v>
      </c>
      <c r="B1028" s="2">
        <v>46159</v>
      </c>
      <c r="C1028" t="s">
        <v>417</v>
      </c>
      <c r="D1028" t="s">
        <v>418</v>
      </c>
      <c r="E1028" t="str">
        <f>_xlfn.XLOOKUP(Sales[[#This Row],[Product Name]],Products[Product Name],Products[Category])</f>
        <v>Combo Meals</v>
      </c>
      <c r="F1028" t="s">
        <v>449</v>
      </c>
      <c r="G1028" t="s">
        <v>450</v>
      </c>
      <c r="H1028">
        <v>67</v>
      </c>
      <c r="I1028" s="5">
        <f>_xlfn.XLOOKUP(Sales[[#This Row],[Product Name]],Products[Product Name],Products[Selling Price (CAD)])</f>
        <v>9.99</v>
      </c>
      <c r="J1028" s="5">
        <f>PRODUCT(Sales[[#This Row],[Quantity Sold]],Sales[[#This Row],[Unit Selling Price (CAD)]])</f>
        <v>669.33</v>
      </c>
    </row>
    <row r="1029" spans="1:10">
      <c r="A1029" t="s">
        <v>1477</v>
      </c>
      <c r="B1029" s="2">
        <v>46159</v>
      </c>
      <c r="C1029" t="s">
        <v>125</v>
      </c>
      <c r="D1029" t="s">
        <v>126</v>
      </c>
      <c r="E1029" t="str">
        <f>_xlfn.XLOOKUP(Sales[[#This Row],[Product Name]],Products[Product Name],Products[Category])</f>
        <v>Chicken</v>
      </c>
      <c r="F1029" t="s">
        <v>444</v>
      </c>
      <c r="G1029" t="s">
        <v>450</v>
      </c>
      <c r="H1029">
        <v>64</v>
      </c>
      <c r="I1029" s="5">
        <f>_xlfn.XLOOKUP(Sales[[#This Row],[Product Name]],Products[Product Name],Products[Selling Price (CAD)])</f>
        <v>4.99</v>
      </c>
      <c r="J1029" s="5">
        <f>PRODUCT(Sales[[#This Row],[Quantity Sold]],Sales[[#This Row],[Unit Selling Price (CAD)]])</f>
        <v>319.36</v>
      </c>
    </row>
    <row r="1030" spans="1:10">
      <c r="A1030" t="s">
        <v>1478</v>
      </c>
      <c r="B1030" s="2">
        <v>46159</v>
      </c>
      <c r="C1030" t="s">
        <v>299</v>
      </c>
      <c r="D1030" t="s">
        <v>300</v>
      </c>
      <c r="E1030" t="str">
        <f>_xlfn.XLOOKUP(Sales[[#This Row],[Product Name]],Products[Product Name],Products[Category])</f>
        <v>Beverages</v>
      </c>
      <c r="F1030" t="s">
        <v>449</v>
      </c>
      <c r="G1030" t="s">
        <v>454</v>
      </c>
      <c r="H1030">
        <v>20</v>
      </c>
      <c r="I1030" s="5">
        <f>_xlfn.XLOOKUP(Sales[[#This Row],[Product Name]],Products[Product Name],Products[Selling Price (CAD)])</f>
        <v>2.4900000000000002</v>
      </c>
      <c r="J1030" s="5">
        <f>PRODUCT(Sales[[#This Row],[Quantity Sold]],Sales[[#This Row],[Unit Selling Price (CAD)]])</f>
        <v>49.800000000000004</v>
      </c>
    </row>
    <row r="1031" spans="1:10">
      <c r="A1031" t="s">
        <v>1479</v>
      </c>
      <c r="B1031" s="2">
        <v>46159</v>
      </c>
      <c r="C1031" t="s">
        <v>62</v>
      </c>
      <c r="D1031" t="s">
        <v>63</v>
      </c>
      <c r="E1031" t="str">
        <f>_xlfn.XLOOKUP(Sales[[#This Row],[Product Name]],Products[Product Name],Products[Category])</f>
        <v>Burgers</v>
      </c>
      <c r="F1031" t="s">
        <v>444</v>
      </c>
      <c r="G1031" t="s">
        <v>450</v>
      </c>
      <c r="H1031">
        <v>42</v>
      </c>
      <c r="I1031" s="5">
        <f>_xlfn.XLOOKUP(Sales[[#This Row],[Product Name]],Products[Product Name],Products[Selling Price (CAD)])</f>
        <v>8.99</v>
      </c>
      <c r="J1031" s="5">
        <f>PRODUCT(Sales[[#This Row],[Quantity Sold]],Sales[[#This Row],[Unit Selling Price (CAD)]])</f>
        <v>377.58</v>
      </c>
    </row>
    <row r="1032" spans="1:10">
      <c r="A1032" t="s">
        <v>1480</v>
      </c>
      <c r="B1032" s="2">
        <v>46159</v>
      </c>
      <c r="C1032" t="s">
        <v>337</v>
      </c>
      <c r="D1032" t="s">
        <v>338</v>
      </c>
      <c r="E1032" t="str">
        <f>_xlfn.XLOOKUP(Sales[[#This Row],[Product Name]],Products[Product Name],Products[Category])</f>
        <v>Desserts</v>
      </c>
      <c r="F1032" t="s">
        <v>444</v>
      </c>
      <c r="G1032" t="s">
        <v>454</v>
      </c>
      <c r="H1032">
        <v>15</v>
      </c>
      <c r="I1032" s="5">
        <f>_xlfn.XLOOKUP(Sales[[#This Row],[Product Name]],Products[Product Name],Products[Selling Price (CAD)])</f>
        <v>1.49</v>
      </c>
      <c r="J1032" s="5">
        <f>PRODUCT(Sales[[#This Row],[Quantity Sold]],Sales[[#This Row],[Unit Selling Price (CAD)]])</f>
        <v>22.35</v>
      </c>
    </row>
    <row r="1033" spans="1:10">
      <c r="A1033" t="s">
        <v>1481</v>
      </c>
      <c r="B1033" s="2">
        <v>46159</v>
      </c>
      <c r="C1033" t="s">
        <v>317</v>
      </c>
      <c r="D1033" t="s">
        <v>318</v>
      </c>
      <c r="E1033" t="str">
        <f>_xlfn.XLOOKUP(Sales[[#This Row],[Product Name]],Products[Product Name],Products[Category])</f>
        <v>Beverages</v>
      </c>
      <c r="F1033" t="s">
        <v>447</v>
      </c>
      <c r="G1033" t="s">
        <v>450</v>
      </c>
      <c r="H1033">
        <v>49</v>
      </c>
      <c r="I1033" s="5">
        <f>_xlfn.XLOOKUP(Sales[[#This Row],[Product Name]],Products[Product Name],Products[Selling Price (CAD)])</f>
        <v>3.99</v>
      </c>
      <c r="J1033" s="5">
        <f>PRODUCT(Sales[[#This Row],[Quantity Sold]],Sales[[#This Row],[Unit Selling Price (CAD)]])</f>
        <v>195.51000000000002</v>
      </c>
    </row>
    <row r="1034" spans="1:10">
      <c r="A1034" t="s">
        <v>1482</v>
      </c>
      <c r="B1034" s="2">
        <v>46159</v>
      </c>
      <c r="C1034" t="s">
        <v>191</v>
      </c>
      <c r="D1034" t="s">
        <v>192</v>
      </c>
      <c r="E1034" t="str">
        <f>_xlfn.XLOOKUP(Sales[[#This Row],[Product Name]],Products[Product Name],Products[Category])</f>
        <v>Sides</v>
      </c>
      <c r="F1034" t="s">
        <v>449</v>
      </c>
      <c r="G1034" t="s">
        <v>450</v>
      </c>
      <c r="H1034">
        <v>55</v>
      </c>
      <c r="I1034" s="5">
        <f>_xlfn.XLOOKUP(Sales[[#This Row],[Product Name]],Products[Product Name],Products[Selling Price (CAD)])</f>
        <v>3.99</v>
      </c>
      <c r="J1034" s="5">
        <f>PRODUCT(Sales[[#This Row],[Quantity Sold]],Sales[[#This Row],[Unit Selling Price (CAD)]])</f>
        <v>219.45000000000002</v>
      </c>
    </row>
    <row r="1035" spans="1:10">
      <c r="A1035" t="s">
        <v>1483</v>
      </c>
      <c r="B1035" s="2">
        <v>46159</v>
      </c>
      <c r="C1035" t="s">
        <v>191</v>
      </c>
      <c r="D1035" t="s">
        <v>192</v>
      </c>
      <c r="E1035" t="str">
        <f>_xlfn.XLOOKUP(Sales[[#This Row],[Product Name]],Products[Product Name],Products[Category])</f>
        <v>Sides</v>
      </c>
      <c r="F1035" t="s">
        <v>449</v>
      </c>
      <c r="G1035" t="s">
        <v>445</v>
      </c>
      <c r="H1035">
        <v>58</v>
      </c>
      <c r="I1035" s="5">
        <f>_xlfn.XLOOKUP(Sales[[#This Row],[Product Name]],Products[Product Name],Products[Selling Price (CAD)])</f>
        <v>3.99</v>
      </c>
      <c r="J1035" s="5">
        <f>PRODUCT(Sales[[#This Row],[Quantity Sold]],Sales[[#This Row],[Unit Selling Price (CAD)]])</f>
        <v>231.42000000000002</v>
      </c>
    </row>
    <row r="1036" spans="1:10">
      <c r="A1036" t="s">
        <v>1484</v>
      </c>
      <c r="B1036" s="2">
        <v>46160</v>
      </c>
      <c r="C1036" t="s">
        <v>247</v>
      </c>
      <c r="D1036" t="s">
        <v>248</v>
      </c>
      <c r="E1036" t="str">
        <f>_xlfn.XLOOKUP(Sales[[#This Row],[Product Name]],Products[Product Name],Products[Category])</f>
        <v>Salads</v>
      </c>
      <c r="F1036" t="s">
        <v>444</v>
      </c>
      <c r="G1036" t="s">
        <v>450</v>
      </c>
      <c r="H1036">
        <v>51</v>
      </c>
      <c r="I1036" s="5">
        <f>_xlfn.XLOOKUP(Sales[[#This Row],[Product Name]],Products[Product Name],Products[Selling Price (CAD)])</f>
        <v>6.99</v>
      </c>
      <c r="J1036" s="5">
        <f>PRODUCT(Sales[[#This Row],[Quantity Sold]],Sales[[#This Row],[Unit Selling Price (CAD)]])</f>
        <v>356.49</v>
      </c>
    </row>
    <row r="1037" spans="1:10">
      <c r="A1037" t="s">
        <v>1485</v>
      </c>
      <c r="B1037" s="2">
        <v>46160</v>
      </c>
      <c r="C1037" t="s">
        <v>157</v>
      </c>
      <c r="D1037" t="s">
        <v>158</v>
      </c>
      <c r="E1037" t="str">
        <f>_xlfn.XLOOKUP(Sales[[#This Row],[Product Name]],Products[Product Name],Products[Category])</f>
        <v>Breakfast</v>
      </c>
      <c r="F1037" t="s">
        <v>444</v>
      </c>
      <c r="G1037" t="s">
        <v>445</v>
      </c>
      <c r="H1037">
        <v>45</v>
      </c>
      <c r="I1037" s="5">
        <f>_xlfn.XLOOKUP(Sales[[#This Row],[Product Name]],Products[Product Name],Products[Selling Price (CAD)])</f>
        <v>4.99</v>
      </c>
      <c r="J1037" s="5">
        <f>PRODUCT(Sales[[#This Row],[Quantity Sold]],Sales[[#This Row],[Unit Selling Price (CAD)]])</f>
        <v>224.55</v>
      </c>
    </row>
    <row r="1038" spans="1:10">
      <c r="A1038" t="s">
        <v>1486</v>
      </c>
      <c r="B1038" s="2">
        <v>46160</v>
      </c>
      <c r="C1038" t="s">
        <v>21</v>
      </c>
      <c r="D1038" t="s">
        <v>22</v>
      </c>
      <c r="E1038" t="str">
        <f>_xlfn.XLOOKUP(Sales[[#This Row],[Product Name]],Products[Product Name],Products[Category])</f>
        <v>Burgers</v>
      </c>
      <c r="F1038" t="s">
        <v>447</v>
      </c>
      <c r="G1038" t="s">
        <v>450</v>
      </c>
      <c r="H1038">
        <v>64</v>
      </c>
      <c r="I1038" s="5">
        <f>_xlfn.XLOOKUP(Sales[[#This Row],[Product Name]],Products[Product Name],Products[Selling Price (CAD)])</f>
        <v>9.99</v>
      </c>
      <c r="J1038" s="5">
        <f>PRODUCT(Sales[[#This Row],[Quantity Sold]],Sales[[#This Row],[Unit Selling Price (CAD)]])</f>
        <v>639.36</v>
      </c>
    </row>
    <row r="1039" spans="1:10">
      <c r="A1039" t="s">
        <v>1487</v>
      </c>
      <c r="B1039" s="2">
        <v>46160</v>
      </c>
      <c r="C1039" t="s">
        <v>265</v>
      </c>
      <c r="D1039" t="s">
        <v>266</v>
      </c>
      <c r="E1039" t="str">
        <f>_xlfn.XLOOKUP(Sales[[#This Row],[Product Name]],Products[Product Name],Products[Category])</f>
        <v>Beverages</v>
      </c>
      <c r="F1039" t="s">
        <v>449</v>
      </c>
      <c r="G1039" t="s">
        <v>452</v>
      </c>
      <c r="H1039">
        <v>39</v>
      </c>
      <c r="I1039" s="5">
        <f>_xlfn.XLOOKUP(Sales[[#This Row],[Product Name]],Products[Product Name],Products[Selling Price (CAD)])</f>
        <v>1.99</v>
      </c>
      <c r="J1039" s="5">
        <f>PRODUCT(Sales[[#This Row],[Quantity Sold]],Sales[[#This Row],[Unit Selling Price (CAD)]])</f>
        <v>77.61</v>
      </c>
    </row>
    <row r="1040" spans="1:10">
      <c r="A1040" t="s">
        <v>1488</v>
      </c>
      <c r="B1040" s="2">
        <v>46160</v>
      </c>
      <c r="C1040" t="s">
        <v>76</v>
      </c>
      <c r="D1040" t="s">
        <v>77</v>
      </c>
      <c r="E1040" t="str">
        <f>_xlfn.XLOOKUP(Sales[[#This Row],[Product Name]],Products[Product Name],Products[Category])</f>
        <v>Burgers</v>
      </c>
      <c r="F1040" t="s">
        <v>449</v>
      </c>
      <c r="G1040" t="s">
        <v>450</v>
      </c>
      <c r="H1040">
        <v>78</v>
      </c>
      <c r="I1040" s="5">
        <f>_xlfn.XLOOKUP(Sales[[#This Row],[Product Name]],Products[Product Name],Products[Selling Price (CAD)])</f>
        <v>2.99</v>
      </c>
      <c r="J1040" s="5">
        <f>PRODUCT(Sales[[#This Row],[Quantity Sold]],Sales[[#This Row],[Unit Selling Price (CAD)]])</f>
        <v>233.22000000000003</v>
      </c>
    </row>
    <row r="1041" spans="1:10">
      <c r="A1041" t="s">
        <v>1489</v>
      </c>
      <c r="B1041" s="2">
        <v>46160</v>
      </c>
      <c r="C1041" t="s">
        <v>135</v>
      </c>
      <c r="D1041" t="s">
        <v>136</v>
      </c>
      <c r="E1041" t="str">
        <f>_xlfn.XLOOKUP(Sales[[#This Row],[Product Name]],Products[Product Name],Products[Category])</f>
        <v>Breakfast</v>
      </c>
      <c r="F1041" t="s">
        <v>449</v>
      </c>
      <c r="G1041" t="s">
        <v>454</v>
      </c>
      <c r="H1041">
        <v>66</v>
      </c>
      <c r="I1041" s="5">
        <f>_xlfn.XLOOKUP(Sales[[#This Row],[Product Name]],Products[Product Name],Products[Selling Price (CAD)])</f>
        <v>4.99</v>
      </c>
      <c r="J1041" s="5">
        <f>PRODUCT(Sales[[#This Row],[Quantity Sold]],Sales[[#This Row],[Unit Selling Price (CAD)]])</f>
        <v>329.34000000000003</v>
      </c>
    </row>
    <row r="1042" spans="1:10">
      <c r="A1042" t="s">
        <v>1490</v>
      </c>
      <c r="B1042" s="2">
        <v>46160</v>
      </c>
      <c r="C1042" t="s">
        <v>70</v>
      </c>
      <c r="D1042" t="s">
        <v>71</v>
      </c>
      <c r="E1042" t="str">
        <f>_xlfn.XLOOKUP(Sales[[#This Row],[Product Name]],Products[Product Name],Products[Category])</f>
        <v>Burgers</v>
      </c>
      <c r="F1042" t="s">
        <v>444</v>
      </c>
      <c r="G1042" t="s">
        <v>445</v>
      </c>
      <c r="H1042">
        <v>33</v>
      </c>
      <c r="I1042" s="5">
        <f>_xlfn.XLOOKUP(Sales[[#This Row],[Product Name]],Products[Product Name],Products[Selling Price (CAD)])</f>
        <v>8.99</v>
      </c>
      <c r="J1042" s="5">
        <f>PRODUCT(Sales[[#This Row],[Quantity Sold]],Sales[[#This Row],[Unit Selling Price (CAD)]])</f>
        <v>296.67</v>
      </c>
    </row>
    <row r="1043" spans="1:10">
      <c r="A1043" t="s">
        <v>1491</v>
      </c>
      <c r="B1043" s="2">
        <v>46160</v>
      </c>
      <c r="C1043" t="s">
        <v>46</v>
      </c>
      <c r="D1043" t="s">
        <v>47</v>
      </c>
      <c r="E1043" t="str">
        <f>_xlfn.XLOOKUP(Sales[[#This Row],[Product Name]],Products[Product Name],Products[Category])</f>
        <v>Burgers</v>
      </c>
      <c r="F1043" t="s">
        <v>449</v>
      </c>
      <c r="G1043" t="s">
        <v>454</v>
      </c>
      <c r="H1043">
        <v>30</v>
      </c>
      <c r="I1043" s="5">
        <f>_xlfn.XLOOKUP(Sales[[#This Row],[Product Name]],Products[Product Name],Products[Selling Price (CAD)])</f>
        <v>8.49</v>
      </c>
      <c r="J1043" s="5">
        <f>PRODUCT(Sales[[#This Row],[Quantity Sold]],Sales[[#This Row],[Unit Selling Price (CAD)]])</f>
        <v>254.70000000000002</v>
      </c>
    </row>
    <row r="1044" spans="1:10">
      <c r="A1044" t="s">
        <v>1492</v>
      </c>
      <c r="B1044" s="2">
        <v>46160</v>
      </c>
      <c r="C1044" t="s">
        <v>217</v>
      </c>
      <c r="D1044" t="s">
        <v>218</v>
      </c>
      <c r="E1044" t="str">
        <f>_xlfn.XLOOKUP(Sales[[#This Row],[Product Name]],Products[Product Name],Products[Category])</f>
        <v>Sides</v>
      </c>
      <c r="F1044" t="s">
        <v>444</v>
      </c>
      <c r="G1044" t="s">
        <v>450</v>
      </c>
      <c r="H1044">
        <v>32</v>
      </c>
      <c r="I1044" s="5">
        <f>_xlfn.XLOOKUP(Sales[[#This Row],[Product Name]],Products[Product Name],Products[Selling Price (CAD)])</f>
        <v>3.99</v>
      </c>
      <c r="J1044" s="5">
        <f>PRODUCT(Sales[[#This Row],[Quantity Sold]],Sales[[#This Row],[Unit Selling Price (CAD)]])</f>
        <v>127.68</v>
      </c>
    </row>
    <row r="1045" spans="1:10">
      <c r="A1045" t="s">
        <v>1493</v>
      </c>
      <c r="B1045" s="2">
        <v>46160</v>
      </c>
      <c r="C1045" t="s">
        <v>297</v>
      </c>
      <c r="D1045" t="s">
        <v>298</v>
      </c>
      <c r="E1045" t="str">
        <f>_xlfn.XLOOKUP(Sales[[#This Row],[Product Name]],Products[Product Name],Products[Category])</f>
        <v>Beverages</v>
      </c>
      <c r="F1045" t="s">
        <v>449</v>
      </c>
      <c r="G1045" t="s">
        <v>450</v>
      </c>
      <c r="H1045">
        <v>67</v>
      </c>
      <c r="I1045" s="5">
        <f>_xlfn.XLOOKUP(Sales[[#This Row],[Product Name]],Products[Product Name],Products[Selling Price (CAD)])</f>
        <v>2.99</v>
      </c>
      <c r="J1045" s="5">
        <f>PRODUCT(Sales[[#This Row],[Quantity Sold]],Sales[[#This Row],[Unit Selling Price (CAD)]])</f>
        <v>200.33</v>
      </c>
    </row>
    <row r="1046" spans="1:10">
      <c r="A1046" t="s">
        <v>1494</v>
      </c>
      <c r="B1046" s="2">
        <v>46160</v>
      </c>
      <c r="C1046" t="s">
        <v>289</v>
      </c>
      <c r="D1046" t="s">
        <v>290</v>
      </c>
      <c r="E1046" t="str">
        <f>_xlfn.XLOOKUP(Sales[[#This Row],[Product Name]],Products[Product Name],Products[Category])</f>
        <v>Beverages</v>
      </c>
      <c r="F1046" t="s">
        <v>449</v>
      </c>
      <c r="G1046" t="s">
        <v>450</v>
      </c>
      <c r="H1046">
        <v>63</v>
      </c>
      <c r="I1046" s="5">
        <f>_xlfn.XLOOKUP(Sales[[#This Row],[Product Name]],Products[Product Name],Products[Selling Price (CAD)])</f>
        <v>2.99</v>
      </c>
      <c r="J1046" s="5">
        <f>PRODUCT(Sales[[#This Row],[Quantity Sold]],Sales[[#This Row],[Unit Selling Price (CAD)]])</f>
        <v>188.37</v>
      </c>
    </row>
    <row r="1047" spans="1:10">
      <c r="A1047" t="s">
        <v>1495</v>
      </c>
      <c r="B1047" s="2">
        <v>46161</v>
      </c>
      <c r="C1047" t="s">
        <v>315</v>
      </c>
      <c r="D1047" t="s">
        <v>316</v>
      </c>
      <c r="E1047" t="str">
        <f>_xlfn.XLOOKUP(Sales[[#This Row],[Product Name]],Products[Product Name],Products[Category])</f>
        <v>Beverages</v>
      </c>
      <c r="F1047" t="s">
        <v>444</v>
      </c>
      <c r="G1047" t="s">
        <v>450</v>
      </c>
      <c r="H1047">
        <v>60</v>
      </c>
      <c r="I1047" s="5">
        <f>_xlfn.XLOOKUP(Sales[[#This Row],[Product Name]],Products[Product Name],Products[Selling Price (CAD)])</f>
        <v>3.99</v>
      </c>
      <c r="J1047" s="5">
        <f>PRODUCT(Sales[[#This Row],[Quantity Sold]],Sales[[#This Row],[Unit Selling Price (CAD)]])</f>
        <v>239.4</v>
      </c>
    </row>
    <row r="1048" spans="1:10">
      <c r="A1048" t="s">
        <v>1496</v>
      </c>
      <c r="B1048" s="2">
        <v>46161</v>
      </c>
      <c r="C1048" t="s">
        <v>56</v>
      </c>
      <c r="D1048" t="s">
        <v>57</v>
      </c>
      <c r="E1048" t="str">
        <f>_xlfn.XLOOKUP(Sales[[#This Row],[Product Name]],Products[Product Name],Products[Category])</f>
        <v>Burgers</v>
      </c>
      <c r="F1048" t="s">
        <v>444</v>
      </c>
      <c r="G1048" t="s">
        <v>454</v>
      </c>
      <c r="H1048">
        <v>45</v>
      </c>
      <c r="I1048" s="5">
        <f>_xlfn.XLOOKUP(Sales[[#This Row],[Product Name]],Products[Product Name],Products[Selling Price (CAD)])</f>
        <v>6.49</v>
      </c>
      <c r="J1048" s="5">
        <f>PRODUCT(Sales[[#This Row],[Quantity Sold]],Sales[[#This Row],[Unit Selling Price (CAD)]])</f>
        <v>292.05</v>
      </c>
    </row>
    <row r="1049" spans="1:10">
      <c r="A1049" t="s">
        <v>1497</v>
      </c>
      <c r="B1049" s="2">
        <v>46161</v>
      </c>
      <c r="C1049" t="s">
        <v>311</v>
      </c>
      <c r="D1049" t="s">
        <v>312</v>
      </c>
      <c r="E1049" t="str">
        <f>_xlfn.XLOOKUP(Sales[[#This Row],[Product Name]],Products[Product Name],Products[Category])</f>
        <v>Beverages</v>
      </c>
      <c r="F1049" t="s">
        <v>449</v>
      </c>
      <c r="G1049" t="s">
        <v>454</v>
      </c>
      <c r="H1049">
        <v>74</v>
      </c>
      <c r="I1049" s="5">
        <f>_xlfn.XLOOKUP(Sales[[#This Row],[Product Name]],Products[Product Name],Products[Selling Price (CAD)])</f>
        <v>3.99</v>
      </c>
      <c r="J1049" s="5">
        <f>PRODUCT(Sales[[#This Row],[Quantity Sold]],Sales[[#This Row],[Unit Selling Price (CAD)]])</f>
        <v>295.26</v>
      </c>
    </row>
    <row r="1050" spans="1:10">
      <c r="A1050" t="s">
        <v>1498</v>
      </c>
      <c r="B1050" s="2">
        <v>46161</v>
      </c>
      <c r="C1050" t="s">
        <v>319</v>
      </c>
      <c r="D1050" t="s">
        <v>320</v>
      </c>
      <c r="E1050" t="str">
        <f>_xlfn.XLOOKUP(Sales[[#This Row],[Product Name]],Products[Product Name],Products[Category])</f>
        <v>Beverages</v>
      </c>
      <c r="F1050" t="s">
        <v>444</v>
      </c>
      <c r="G1050" t="s">
        <v>450</v>
      </c>
      <c r="H1050">
        <v>45</v>
      </c>
      <c r="I1050" s="5">
        <f>_xlfn.XLOOKUP(Sales[[#This Row],[Product Name]],Products[Product Name],Products[Selling Price (CAD)])</f>
        <v>2.4900000000000002</v>
      </c>
      <c r="J1050" s="5">
        <f>PRODUCT(Sales[[#This Row],[Quantity Sold]],Sales[[#This Row],[Unit Selling Price (CAD)]])</f>
        <v>112.05000000000001</v>
      </c>
    </row>
    <row r="1051" spans="1:10">
      <c r="A1051" t="s">
        <v>1499</v>
      </c>
      <c r="B1051" s="2">
        <v>46161</v>
      </c>
      <c r="C1051" t="s">
        <v>201</v>
      </c>
      <c r="D1051" t="s">
        <v>202</v>
      </c>
      <c r="E1051" t="str">
        <f>_xlfn.XLOOKUP(Sales[[#This Row],[Product Name]],Products[Product Name],Products[Category])</f>
        <v>Sides</v>
      </c>
      <c r="F1051" t="s">
        <v>444</v>
      </c>
      <c r="G1051" t="s">
        <v>445</v>
      </c>
      <c r="H1051">
        <v>68</v>
      </c>
      <c r="I1051" s="5">
        <f>_xlfn.XLOOKUP(Sales[[#This Row],[Product Name]],Products[Product Name],Products[Selling Price (CAD)])</f>
        <v>3.99</v>
      </c>
      <c r="J1051" s="5">
        <f>PRODUCT(Sales[[#This Row],[Quantity Sold]],Sales[[#This Row],[Unit Selling Price (CAD)]])</f>
        <v>271.32</v>
      </c>
    </row>
    <row r="1052" spans="1:10">
      <c r="A1052" t="s">
        <v>1500</v>
      </c>
      <c r="B1052" s="2">
        <v>46161</v>
      </c>
      <c r="C1052" t="s">
        <v>291</v>
      </c>
      <c r="D1052" t="s">
        <v>292</v>
      </c>
      <c r="E1052" t="str">
        <f>_xlfn.XLOOKUP(Sales[[#This Row],[Product Name]],Products[Product Name],Products[Category])</f>
        <v>Beverages</v>
      </c>
      <c r="F1052" t="s">
        <v>449</v>
      </c>
      <c r="G1052" t="s">
        <v>454</v>
      </c>
      <c r="H1052">
        <v>74</v>
      </c>
      <c r="I1052" s="5">
        <f>_xlfn.XLOOKUP(Sales[[#This Row],[Product Name]],Products[Product Name],Products[Selling Price (CAD)])</f>
        <v>3.99</v>
      </c>
      <c r="J1052" s="5">
        <f>PRODUCT(Sales[[#This Row],[Quantity Sold]],Sales[[#This Row],[Unit Selling Price (CAD)]])</f>
        <v>295.26</v>
      </c>
    </row>
    <row r="1053" spans="1:10">
      <c r="A1053" t="s">
        <v>1501</v>
      </c>
      <c r="B1053" s="2">
        <v>46161</v>
      </c>
      <c r="C1053" t="s">
        <v>199</v>
      </c>
      <c r="D1053" t="s">
        <v>200</v>
      </c>
      <c r="E1053" t="str">
        <f>_xlfn.XLOOKUP(Sales[[#This Row],[Product Name]],Products[Product Name],Products[Category])</f>
        <v>Sides</v>
      </c>
      <c r="F1053" t="s">
        <v>449</v>
      </c>
      <c r="G1053" t="s">
        <v>452</v>
      </c>
      <c r="H1053">
        <v>35</v>
      </c>
      <c r="I1053" s="5">
        <f>_xlfn.XLOOKUP(Sales[[#This Row],[Product Name]],Products[Product Name],Products[Selling Price (CAD)])</f>
        <v>4.99</v>
      </c>
      <c r="J1053" s="5">
        <f>PRODUCT(Sales[[#This Row],[Quantity Sold]],Sales[[#This Row],[Unit Selling Price (CAD)]])</f>
        <v>174.65</v>
      </c>
    </row>
    <row r="1054" spans="1:10">
      <c r="A1054" t="s">
        <v>1502</v>
      </c>
      <c r="B1054" s="2">
        <v>46161</v>
      </c>
      <c r="C1054" t="s">
        <v>111</v>
      </c>
      <c r="D1054" t="s">
        <v>112</v>
      </c>
      <c r="E1054" t="str">
        <f>_xlfn.XLOOKUP(Sales[[#This Row],[Product Name]],Products[Product Name],Products[Category])</f>
        <v>Chicken</v>
      </c>
      <c r="F1054" t="s">
        <v>447</v>
      </c>
      <c r="G1054" t="s">
        <v>450</v>
      </c>
      <c r="H1054">
        <v>36</v>
      </c>
      <c r="I1054" s="5">
        <f>_xlfn.XLOOKUP(Sales[[#This Row],[Product Name]],Products[Product Name],Products[Selling Price (CAD)])</f>
        <v>5.99</v>
      </c>
      <c r="J1054" s="5">
        <f>PRODUCT(Sales[[#This Row],[Quantity Sold]],Sales[[#This Row],[Unit Selling Price (CAD)]])</f>
        <v>215.64000000000001</v>
      </c>
    </row>
    <row r="1055" spans="1:10">
      <c r="A1055" t="s">
        <v>1503</v>
      </c>
      <c r="B1055" s="2">
        <v>46161</v>
      </c>
      <c r="C1055" t="s">
        <v>123</v>
      </c>
      <c r="D1055" t="s">
        <v>124</v>
      </c>
      <c r="E1055" t="str">
        <f>_xlfn.XLOOKUP(Sales[[#This Row],[Product Name]],Products[Product Name],Products[Category])</f>
        <v>Chicken</v>
      </c>
      <c r="F1055" t="s">
        <v>449</v>
      </c>
      <c r="G1055" t="s">
        <v>452</v>
      </c>
      <c r="H1055">
        <v>34</v>
      </c>
      <c r="I1055" s="5">
        <f>_xlfn.XLOOKUP(Sales[[#This Row],[Product Name]],Products[Product Name],Products[Selling Price (CAD)])</f>
        <v>2.99</v>
      </c>
      <c r="J1055" s="5">
        <f>PRODUCT(Sales[[#This Row],[Quantity Sold]],Sales[[#This Row],[Unit Selling Price (CAD)]])</f>
        <v>101.66000000000001</v>
      </c>
    </row>
    <row r="1056" spans="1:10">
      <c r="A1056" t="s">
        <v>1504</v>
      </c>
      <c r="B1056" s="2">
        <v>46161</v>
      </c>
      <c r="C1056" t="s">
        <v>227</v>
      </c>
      <c r="D1056" t="s">
        <v>228</v>
      </c>
      <c r="E1056" t="str">
        <f>_xlfn.XLOOKUP(Sales[[#This Row],[Product Name]],Products[Product Name],Products[Category])</f>
        <v>Salads</v>
      </c>
      <c r="F1056" t="s">
        <v>447</v>
      </c>
      <c r="G1056" t="s">
        <v>450</v>
      </c>
      <c r="H1056">
        <v>70</v>
      </c>
      <c r="I1056" s="5">
        <f>_xlfn.XLOOKUP(Sales[[#This Row],[Product Name]],Products[Product Name],Products[Selling Price (CAD)])</f>
        <v>8.99</v>
      </c>
      <c r="J1056" s="5">
        <f>PRODUCT(Sales[[#This Row],[Quantity Sold]],Sales[[#This Row],[Unit Selling Price (CAD)]])</f>
        <v>629.30000000000007</v>
      </c>
    </row>
    <row r="1057" spans="1:10">
      <c r="A1057" t="s">
        <v>1505</v>
      </c>
      <c r="B1057" s="2">
        <v>46162</v>
      </c>
      <c r="C1057" t="s">
        <v>311</v>
      </c>
      <c r="D1057" t="s">
        <v>312</v>
      </c>
      <c r="E1057" t="str">
        <f>_xlfn.XLOOKUP(Sales[[#This Row],[Product Name]],Products[Product Name],Products[Category])</f>
        <v>Beverages</v>
      </c>
      <c r="F1057" t="s">
        <v>447</v>
      </c>
      <c r="G1057" t="s">
        <v>454</v>
      </c>
      <c r="H1057">
        <v>35</v>
      </c>
      <c r="I1057" s="5">
        <f>_xlfn.XLOOKUP(Sales[[#This Row],[Product Name]],Products[Product Name],Products[Selling Price (CAD)])</f>
        <v>3.99</v>
      </c>
      <c r="J1057" s="5">
        <f>PRODUCT(Sales[[#This Row],[Quantity Sold]],Sales[[#This Row],[Unit Selling Price (CAD)]])</f>
        <v>139.65</v>
      </c>
    </row>
    <row r="1058" spans="1:10">
      <c r="A1058" t="s">
        <v>1506</v>
      </c>
      <c r="B1058" s="2">
        <v>46162</v>
      </c>
      <c r="C1058" t="s">
        <v>374</v>
      </c>
      <c r="D1058" t="s">
        <v>375</v>
      </c>
      <c r="E1058" t="str">
        <f>_xlfn.XLOOKUP(Sales[[#This Row],[Product Name]],Products[Product Name],Products[Category])</f>
        <v>Kids Meals</v>
      </c>
      <c r="F1058" t="s">
        <v>449</v>
      </c>
      <c r="G1058" t="s">
        <v>445</v>
      </c>
      <c r="H1058">
        <v>57</v>
      </c>
      <c r="I1058" s="5">
        <f>_xlfn.XLOOKUP(Sales[[#This Row],[Product Name]],Products[Product Name],Products[Selling Price (CAD)])</f>
        <v>6.49</v>
      </c>
      <c r="J1058" s="5">
        <f>PRODUCT(Sales[[#This Row],[Quantity Sold]],Sales[[#This Row],[Unit Selling Price (CAD)]])</f>
        <v>369.93</v>
      </c>
    </row>
    <row r="1059" spans="1:10">
      <c r="A1059" t="s">
        <v>1507</v>
      </c>
      <c r="B1059" s="2">
        <v>46162</v>
      </c>
      <c r="C1059" t="s">
        <v>89</v>
      </c>
      <c r="D1059" t="s">
        <v>90</v>
      </c>
      <c r="E1059" t="str">
        <f>_xlfn.XLOOKUP(Sales[[#This Row],[Product Name]],Products[Product Name],Products[Category])</f>
        <v>Chicken</v>
      </c>
      <c r="F1059" t="s">
        <v>444</v>
      </c>
      <c r="G1059" t="s">
        <v>445</v>
      </c>
      <c r="H1059">
        <v>74</v>
      </c>
      <c r="I1059" s="5">
        <f>_xlfn.XLOOKUP(Sales[[#This Row],[Product Name]],Products[Product Name],Products[Selling Price (CAD)])</f>
        <v>7.49</v>
      </c>
      <c r="J1059" s="5">
        <f>PRODUCT(Sales[[#This Row],[Quantity Sold]],Sales[[#This Row],[Unit Selling Price (CAD)]])</f>
        <v>554.26</v>
      </c>
    </row>
    <row r="1060" spans="1:10">
      <c r="A1060" t="s">
        <v>1508</v>
      </c>
      <c r="B1060" s="2">
        <v>46162</v>
      </c>
      <c r="C1060" t="s">
        <v>129</v>
      </c>
      <c r="D1060" t="s">
        <v>130</v>
      </c>
      <c r="E1060" t="str">
        <f>_xlfn.XLOOKUP(Sales[[#This Row],[Product Name]],Products[Product Name],Products[Category])</f>
        <v>Chicken</v>
      </c>
      <c r="F1060" t="s">
        <v>449</v>
      </c>
      <c r="G1060" t="s">
        <v>450</v>
      </c>
      <c r="H1060">
        <v>38</v>
      </c>
      <c r="I1060" s="5">
        <f>_xlfn.XLOOKUP(Sales[[#This Row],[Product Name]],Products[Product Name],Products[Selling Price (CAD)])</f>
        <v>11.99</v>
      </c>
      <c r="J1060" s="5">
        <f>PRODUCT(Sales[[#This Row],[Quantity Sold]],Sales[[#This Row],[Unit Selling Price (CAD)]])</f>
        <v>455.62</v>
      </c>
    </row>
    <row r="1061" spans="1:10">
      <c r="A1061" t="s">
        <v>1509</v>
      </c>
      <c r="B1061" s="2">
        <v>46163</v>
      </c>
      <c r="C1061" t="s">
        <v>345</v>
      </c>
      <c r="D1061" t="s">
        <v>346</v>
      </c>
      <c r="E1061" t="str">
        <f>_xlfn.XLOOKUP(Sales[[#This Row],[Product Name]],Products[Product Name],Products[Category])</f>
        <v>Desserts</v>
      </c>
      <c r="F1061" t="s">
        <v>444</v>
      </c>
      <c r="G1061" t="s">
        <v>450</v>
      </c>
      <c r="H1061">
        <v>36</v>
      </c>
      <c r="I1061" s="5">
        <f>_xlfn.XLOOKUP(Sales[[#This Row],[Product Name]],Products[Product Name],Products[Selling Price (CAD)])</f>
        <v>5.99</v>
      </c>
      <c r="J1061" s="5">
        <f>PRODUCT(Sales[[#This Row],[Quantity Sold]],Sales[[#This Row],[Unit Selling Price (CAD)]])</f>
        <v>215.64000000000001</v>
      </c>
    </row>
    <row r="1062" spans="1:10">
      <c r="A1062" t="s">
        <v>1510</v>
      </c>
      <c r="B1062" s="2">
        <v>46163</v>
      </c>
      <c r="C1062" t="s">
        <v>353</v>
      </c>
      <c r="D1062" t="s">
        <v>354</v>
      </c>
      <c r="E1062" t="str">
        <f>_xlfn.XLOOKUP(Sales[[#This Row],[Product Name]],Products[Product Name],Products[Category])</f>
        <v>Desserts</v>
      </c>
      <c r="F1062" t="s">
        <v>449</v>
      </c>
      <c r="G1062" t="s">
        <v>450</v>
      </c>
      <c r="H1062">
        <v>48</v>
      </c>
      <c r="I1062" s="5">
        <f>_xlfn.XLOOKUP(Sales[[#This Row],[Product Name]],Products[Product Name],Products[Selling Price (CAD)])</f>
        <v>4.99</v>
      </c>
      <c r="J1062" s="5">
        <f>PRODUCT(Sales[[#This Row],[Quantity Sold]],Sales[[#This Row],[Unit Selling Price (CAD)]])</f>
        <v>239.52</v>
      </c>
    </row>
    <row r="1063" spans="1:10">
      <c r="A1063" t="s">
        <v>1511</v>
      </c>
      <c r="B1063" s="2">
        <v>46163</v>
      </c>
      <c r="C1063" t="s">
        <v>25</v>
      </c>
      <c r="D1063" t="s">
        <v>26</v>
      </c>
      <c r="E1063" t="str">
        <f>_xlfn.XLOOKUP(Sales[[#This Row],[Product Name]],Products[Product Name],Products[Category])</f>
        <v>Burgers</v>
      </c>
      <c r="F1063" t="s">
        <v>447</v>
      </c>
      <c r="G1063" t="s">
        <v>450</v>
      </c>
      <c r="H1063">
        <v>31</v>
      </c>
      <c r="I1063" s="5">
        <f>_xlfn.XLOOKUP(Sales[[#This Row],[Product Name]],Products[Product Name],Products[Selling Price (CAD)])</f>
        <v>5.99</v>
      </c>
      <c r="J1063" s="5">
        <f>PRODUCT(Sales[[#This Row],[Quantity Sold]],Sales[[#This Row],[Unit Selling Price (CAD)]])</f>
        <v>185.69</v>
      </c>
    </row>
    <row r="1064" spans="1:10">
      <c r="A1064" t="s">
        <v>1512</v>
      </c>
      <c r="B1064" s="2">
        <v>46163</v>
      </c>
      <c r="C1064" t="s">
        <v>203</v>
      </c>
      <c r="D1064" t="s">
        <v>204</v>
      </c>
      <c r="E1064" t="str">
        <f>_xlfn.XLOOKUP(Sales[[#This Row],[Product Name]],Products[Product Name],Products[Category])</f>
        <v>Sides</v>
      </c>
      <c r="F1064" t="s">
        <v>444</v>
      </c>
      <c r="G1064" t="s">
        <v>450</v>
      </c>
      <c r="H1064">
        <v>41</v>
      </c>
      <c r="I1064" s="5">
        <f>_xlfn.XLOOKUP(Sales[[#This Row],[Product Name]],Products[Product Name],Products[Selling Price (CAD)])</f>
        <v>4.49</v>
      </c>
      <c r="J1064" s="5">
        <f>PRODUCT(Sales[[#This Row],[Quantity Sold]],Sales[[#This Row],[Unit Selling Price (CAD)]])</f>
        <v>184.09</v>
      </c>
    </row>
    <row r="1065" spans="1:10">
      <c r="A1065" t="s">
        <v>1513</v>
      </c>
      <c r="B1065" s="2">
        <v>46163</v>
      </c>
      <c r="C1065" t="s">
        <v>359</v>
      </c>
      <c r="D1065" t="s">
        <v>360</v>
      </c>
      <c r="E1065" t="str">
        <f>_xlfn.XLOOKUP(Sales[[#This Row],[Product Name]],Products[Product Name],Products[Category])</f>
        <v>Desserts</v>
      </c>
      <c r="F1065" t="s">
        <v>449</v>
      </c>
      <c r="G1065" t="s">
        <v>450</v>
      </c>
      <c r="H1065">
        <v>10</v>
      </c>
      <c r="I1065" s="5">
        <f>_xlfn.XLOOKUP(Sales[[#This Row],[Product Name]],Products[Product Name],Products[Selling Price (CAD)])</f>
        <v>5.99</v>
      </c>
      <c r="J1065" s="5">
        <f>PRODUCT(Sales[[#This Row],[Quantity Sold]],Sales[[#This Row],[Unit Selling Price (CAD)]])</f>
        <v>59.900000000000006</v>
      </c>
    </row>
    <row r="1066" spans="1:10">
      <c r="A1066" t="s">
        <v>1514</v>
      </c>
      <c r="B1066" s="2">
        <v>46163</v>
      </c>
      <c r="C1066" t="s">
        <v>305</v>
      </c>
      <c r="D1066" t="s">
        <v>306</v>
      </c>
      <c r="E1066" t="str">
        <f>_xlfn.XLOOKUP(Sales[[#This Row],[Product Name]],Products[Product Name],Products[Category])</f>
        <v>Beverages</v>
      </c>
      <c r="F1066" t="s">
        <v>447</v>
      </c>
      <c r="G1066" t="s">
        <v>454</v>
      </c>
      <c r="H1066">
        <v>36</v>
      </c>
      <c r="I1066" s="5">
        <f>_xlfn.XLOOKUP(Sales[[#This Row],[Product Name]],Products[Product Name],Products[Selling Price (CAD)])</f>
        <v>2.99</v>
      </c>
      <c r="J1066" s="5">
        <f>PRODUCT(Sales[[#This Row],[Quantity Sold]],Sales[[#This Row],[Unit Selling Price (CAD)]])</f>
        <v>107.64000000000001</v>
      </c>
    </row>
    <row r="1067" spans="1:10">
      <c r="A1067" t="s">
        <v>1515</v>
      </c>
      <c r="B1067" s="2">
        <v>46164</v>
      </c>
      <c r="C1067" t="s">
        <v>291</v>
      </c>
      <c r="D1067" t="s">
        <v>292</v>
      </c>
      <c r="E1067" t="str">
        <f>_xlfn.XLOOKUP(Sales[[#This Row],[Product Name]],Products[Product Name],Products[Category])</f>
        <v>Beverages</v>
      </c>
      <c r="F1067" t="s">
        <v>444</v>
      </c>
      <c r="G1067" t="s">
        <v>450</v>
      </c>
      <c r="H1067">
        <v>50</v>
      </c>
      <c r="I1067" s="5">
        <f>_xlfn.XLOOKUP(Sales[[#This Row],[Product Name]],Products[Product Name],Products[Selling Price (CAD)])</f>
        <v>3.99</v>
      </c>
      <c r="J1067" s="5">
        <f>PRODUCT(Sales[[#This Row],[Quantity Sold]],Sales[[#This Row],[Unit Selling Price (CAD)]])</f>
        <v>199.5</v>
      </c>
    </row>
    <row r="1068" spans="1:10">
      <c r="A1068" t="s">
        <v>1516</v>
      </c>
      <c r="B1068" s="2">
        <v>46164</v>
      </c>
      <c r="C1068" t="s">
        <v>253</v>
      </c>
      <c r="D1068" t="s">
        <v>254</v>
      </c>
      <c r="E1068" t="str">
        <f>_xlfn.XLOOKUP(Sales[[#This Row],[Product Name]],Products[Product Name],Products[Category])</f>
        <v>Beverages</v>
      </c>
      <c r="F1068" t="s">
        <v>449</v>
      </c>
      <c r="G1068" t="s">
        <v>450</v>
      </c>
      <c r="H1068">
        <v>64</v>
      </c>
      <c r="I1068" s="5">
        <f>_xlfn.XLOOKUP(Sales[[#This Row],[Product Name]],Products[Product Name],Products[Selling Price (CAD)])</f>
        <v>1.99</v>
      </c>
      <c r="J1068" s="5">
        <f>PRODUCT(Sales[[#This Row],[Quantity Sold]],Sales[[#This Row],[Unit Selling Price (CAD)]])</f>
        <v>127.36</v>
      </c>
    </row>
    <row r="1069" spans="1:10">
      <c r="A1069" t="s">
        <v>1517</v>
      </c>
      <c r="B1069" s="2">
        <v>46164</v>
      </c>
      <c r="C1069" t="s">
        <v>219</v>
      </c>
      <c r="D1069" t="s">
        <v>220</v>
      </c>
      <c r="E1069" t="str">
        <f>_xlfn.XLOOKUP(Sales[[#This Row],[Product Name]],Products[Product Name],Products[Category])</f>
        <v>Sides</v>
      </c>
      <c r="F1069" t="s">
        <v>449</v>
      </c>
      <c r="G1069" t="s">
        <v>454</v>
      </c>
      <c r="H1069">
        <v>74</v>
      </c>
      <c r="I1069" s="5">
        <f>_xlfn.XLOOKUP(Sales[[#This Row],[Product Name]],Products[Product Name],Products[Selling Price (CAD)])</f>
        <v>3.49</v>
      </c>
      <c r="J1069" s="5">
        <f>PRODUCT(Sales[[#This Row],[Quantity Sold]],Sales[[#This Row],[Unit Selling Price (CAD)]])</f>
        <v>258.26</v>
      </c>
    </row>
    <row r="1070" spans="1:10">
      <c r="A1070" t="s">
        <v>1518</v>
      </c>
      <c r="B1070" s="2">
        <v>46164</v>
      </c>
      <c r="C1070" t="s">
        <v>297</v>
      </c>
      <c r="D1070" t="s">
        <v>298</v>
      </c>
      <c r="E1070" t="str">
        <f>_xlfn.XLOOKUP(Sales[[#This Row],[Product Name]],Products[Product Name],Products[Category])</f>
        <v>Beverages</v>
      </c>
      <c r="F1070" t="s">
        <v>444</v>
      </c>
      <c r="G1070" t="s">
        <v>452</v>
      </c>
      <c r="H1070">
        <v>32</v>
      </c>
      <c r="I1070" s="5">
        <f>_xlfn.XLOOKUP(Sales[[#This Row],[Product Name]],Products[Product Name],Products[Selling Price (CAD)])</f>
        <v>2.99</v>
      </c>
      <c r="J1070" s="5">
        <f>PRODUCT(Sales[[#This Row],[Quantity Sold]],Sales[[#This Row],[Unit Selling Price (CAD)]])</f>
        <v>95.68</v>
      </c>
    </row>
    <row r="1071" spans="1:10">
      <c r="A1071" t="s">
        <v>1519</v>
      </c>
      <c r="B1071" s="2">
        <v>46164</v>
      </c>
      <c r="C1071" t="s">
        <v>145</v>
      </c>
      <c r="D1071" t="s">
        <v>146</v>
      </c>
      <c r="E1071" t="str">
        <f>_xlfn.XLOOKUP(Sales[[#This Row],[Product Name]],Products[Product Name],Products[Category])</f>
        <v>Breakfast</v>
      </c>
      <c r="F1071" t="s">
        <v>449</v>
      </c>
      <c r="G1071" t="s">
        <v>445</v>
      </c>
      <c r="H1071">
        <v>64</v>
      </c>
      <c r="I1071" s="5">
        <f>_xlfn.XLOOKUP(Sales[[#This Row],[Product Name]],Products[Product Name],Products[Selling Price (CAD)])</f>
        <v>4.99</v>
      </c>
      <c r="J1071" s="5">
        <f>PRODUCT(Sales[[#This Row],[Quantity Sold]],Sales[[#This Row],[Unit Selling Price (CAD)]])</f>
        <v>319.36</v>
      </c>
    </row>
    <row r="1072" spans="1:10">
      <c r="A1072" t="s">
        <v>1520</v>
      </c>
      <c r="B1072" s="2">
        <v>46164</v>
      </c>
      <c r="C1072" t="s">
        <v>127</v>
      </c>
      <c r="D1072" t="s">
        <v>128</v>
      </c>
      <c r="E1072" t="str">
        <f>_xlfn.XLOOKUP(Sales[[#This Row],[Product Name]],Products[Product Name],Products[Category])</f>
        <v>Chicken</v>
      </c>
      <c r="F1072" t="s">
        <v>447</v>
      </c>
      <c r="G1072" t="s">
        <v>450</v>
      </c>
      <c r="H1072">
        <v>62</v>
      </c>
      <c r="I1072" s="5">
        <f>_xlfn.XLOOKUP(Sales[[#This Row],[Product Name]],Products[Product Name],Products[Selling Price (CAD)])</f>
        <v>6.99</v>
      </c>
      <c r="J1072" s="5">
        <f>PRODUCT(Sales[[#This Row],[Quantity Sold]],Sales[[#This Row],[Unit Selling Price (CAD)]])</f>
        <v>433.38</v>
      </c>
    </row>
    <row r="1073" spans="1:10">
      <c r="A1073" t="s">
        <v>1521</v>
      </c>
      <c r="B1073" s="2">
        <v>46164</v>
      </c>
      <c r="C1073" t="s">
        <v>36</v>
      </c>
      <c r="D1073" t="s">
        <v>37</v>
      </c>
      <c r="E1073" t="str">
        <f>_xlfn.XLOOKUP(Sales[[#This Row],[Product Name]],Products[Product Name],Products[Category])</f>
        <v>Burgers</v>
      </c>
      <c r="F1073" t="s">
        <v>444</v>
      </c>
      <c r="G1073" t="s">
        <v>450</v>
      </c>
      <c r="H1073">
        <v>60</v>
      </c>
      <c r="I1073" s="5">
        <f>_xlfn.XLOOKUP(Sales[[#This Row],[Product Name]],Products[Product Name],Products[Selling Price (CAD)])</f>
        <v>8.99</v>
      </c>
      <c r="J1073" s="5">
        <f>PRODUCT(Sales[[#This Row],[Quantity Sold]],Sales[[#This Row],[Unit Selling Price (CAD)]])</f>
        <v>539.4</v>
      </c>
    </row>
    <row r="1074" spans="1:10">
      <c r="A1074" t="s">
        <v>1522</v>
      </c>
      <c r="B1074" s="2">
        <v>46164</v>
      </c>
      <c r="C1074" t="s">
        <v>297</v>
      </c>
      <c r="D1074" t="s">
        <v>298</v>
      </c>
      <c r="E1074" t="str">
        <f>_xlfn.XLOOKUP(Sales[[#This Row],[Product Name]],Products[Product Name],Products[Category])</f>
        <v>Beverages</v>
      </c>
      <c r="F1074" t="s">
        <v>444</v>
      </c>
      <c r="G1074" t="s">
        <v>452</v>
      </c>
      <c r="H1074">
        <v>53</v>
      </c>
      <c r="I1074" s="5">
        <f>_xlfn.XLOOKUP(Sales[[#This Row],[Product Name]],Products[Product Name],Products[Selling Price (CAD)])</f>
        <v>2.99</v>
      </c>
      <c r="J1074" s="5">
        <f>PRODUCT(Sales[[#This Row],[Quantity Sold]],Sales[[#This Row],[Unit Selling Price (CAD)]])</f>
        <v>158.47</v>
      </c>
    </row>
    <row r="1075" spans="1:10">
      <c r="A1075" t="s">
        <v>1523</v>
      </c>
      <c r="B1075" s="2">
        <v>46165</v>
      </c>
      <c r="C1075" t="s">
        <v>203</v>
      </c>
      <c r="D1075" t="s">
        <v>204</v>
      </c>
      <c r="E1075" t="str">
        <f>_xlfn.XLOOKUP(Sales[[#This Row],[Product Name]],Products[Product Name],Products[Category])</f>
        <v>Sides</v>
      </c>
      <c r="F1075" t="s">
        <v>449</v>
      </c>
      <c r="G1075" t="s">
        <v>452</v>
      </c>
      <c r="H1075">
        <v>68</v>
      </c>
      <c r="I1075" s="5">
        <f>_xlfn.XLOOKUP(Sales[[#This Row],[Product Name]],Products[Product Name],Products[Selling Price (CAD)])</f>
        <v>4.49</v>
      </c>
      <c r="J1075" s="5">
        <f>PRODUCT(Sales[[#This Row],[Quantity Sold]],Sales[[#This Row],[Unit Selling Price (CAD)]])</f>
        <v>305.32</v>
      </c>
    </row>
    <row r="1076" spans="1:10">
      <c r="A1076" t="s">
        <v>1524</v>
      </c>
      <c r="B1076" s="2">
        <v>46165</v>
      </c>
      <c r="C1076" t="s">
        <v>165</v>
      </c>
      <c r="D1076" t="s">
        <v>166</v>
      </c>
      <c r="E1076" t="str">
        <f>_xlfn.XLOOKUP(Sales[[#This Row],[Product Name]],Products[Product Name],Products[Category])</f>
        <v>Breakfast</v>
      </c>
      <c r="F1076" t="s">
        <v>449</v>
      </c>
      <c r="G1076" t="s">
        <v>454</v>
      </c>
      <c r="H1076">
        <v>70</v>
      </c>
      <c r="I1076" s="5">
        <f>_xlfn.XLOOKUP(Sales[[#This Row],[Product Name]],Products[Product Name],Products[Selling Price (CAD)])</f>
        <v>3.99</v>
      </c>
      <c r="J1076" s="5">
        <f>PRODUCT(Sales[[#This Row],[Quantity Sold]],Sales[[#This Row],[Unit Selling Price (CAD)]])</f>
        <v>279.3</v>
      </c>
    </row>
    <row r="1077" spans="1:10">
      <c r="A1077" t="s">
        <v>1525</v>
      </c>
      <c r="B1077" s="2">
        <v>46165</v>
      </c>
      <c r="C1077" t="s">
        <v>66</v>
      </c>
      <c r="D1077" t="s">
        <v>67</v>
      </c>
      <c r="E1077" t="str">
        <f>_xlfn.XLOOKUP(Sales[[#This Row],[Product Name]],Products[Product Name],Products[Category])</f>
        <v>Burgers</v>
      </c>
      <c r="F1077" t="s">
        <v>447</v>
      </c>
      <c r="G1077" t="s">
        <v>450</v>
      </c>
      <c r="H1077">
        <v>53</v>
      </c>
      <c r="I1077" s="5">
        <f>_xlfn.XLOOKUP(Sales[[#This Row],[Product Name]],Products[Product Name],Products[Selling Price (CAD)])</f>
        <v>8.49</v>
      </c>
      <c r="J1077" s="5">
        <f>PRODUCT(Sales[[#This Row],[Quantity Sold]],Sales[[#This Row],[Unit Selling Price (CAD)]])</f>
        <v>449.97</v>
      </c>
    </row>
    <row r="1078" spans="1:10">
      <c r="A1078" t="s">
        <v>1526</v>
      </c>
      <c r="B1078" s="2">
        <v>46165</v>
      </c>
      <c r="C1078" t="s">
        <v>317</v>
      </c>
      <c r="D1078" t="s">
        <v>318</v>
      </c>
      <c r="E1078" t="str">
        <f>_xlfn.XLOOKUP(Sales[[#This Row],[Product Name]],Products[Product Name],Products[Category])</f>
        <v>Beverages</v>
      </c>
      <c r="F1078" t="s">
        <v>447</v>
      </c>
      <c r="G1078" t="s">
        <v>450</v>
      </c>
      <c r="H1078">
        <v>70</v>
      </c>
      <c r="I1078" s="5">
        <f>_xlfn.XLOOKUP(Sales[[#This Row],[Product Name]],Products[Product Name],Products[Selling Price (CAD)])</f>
        <v>3.99</v>
      </c>
      <c r="J1078" s="5">
        <f>PRODUCT(Sales[[#This Row],[Quantity Sold]],Sales[[#This Row],[Unit Selling Price (CAD)]])</f>
        <v>279.3</v>
      </c>
    </row>
    <row r="1079" spans="1:10">
      <c r="A1079" t="s">
        <v>1527</v>
      </c>
      <c r="B1079" s="2">
        <v>46165</v>
      </c>
      <c r="C1079" t="s">
        <v>303</v>
      </c>
      <c r="D1079" t="s">
        <v>304</v>
      </c>
      <c r="E1079" t="str">
        <f>_xlfn.XLOOKUP(Sales[[#This Row],[Product Name]],Products[Product Name],Products[Category])</f>
        <v>Beverages</v>
      </c>
      <c r="F1079" t="s">
        <v>447</v>
      </c>
      <c r="G1079" t="s">
        <v>452</v>
      </c>
      <c r="H1079">
        <v>74</v>
      </c>
      <c r="I1079" s="5">
        <f>_xlfn.XLOOKUP(Sales[[#This Row],[Product Name]],Products[Product Name],Products[Selling Price (CAD)])</f>
        <v>2.4900000000000002</v>
      </c>
      <c r="J1079" s="5">
        <f>PRODUCT(Sales[[#This Row],[Quantity Sold]],Sales[[#This Row],[Unit Selling Price (CAD)]])</f>
        <v>184.26000000000002</v>
      </c>
    </row>
    <row r="1080" spans="1:10">
      <c r="A1080" t="s">
        <v>1528</v>
      </c>
      <c r="B1080" s="2">
        <v>46165</v>
      </c>
      <c r="C1080" t="s">
        <v>28</v>
      </c>
      <c r="D1080" t="s">
        <v>29</v>
      </c>
      <c r="E1080" t="str">
        <f>_xlfn.XLOOKUP(Sales[[#This Row],[Product Name]],Products[Product Name],Products[Category])</f>
        <v>Burgers</v>
      </c>
      <c r="F1080" t="s">
        <v>449</v>
      </c>
      <c r="G1080" t="s">
        <v>450</v>
      </c>
      <c r="H1080">
        <v>75</v>
      </c>
      <c r="I1080" s="5">
        <f>_xlfn.XLOOKUP(Sales[[#This Row],[Product Name]],Products[Product Name],Products[Selling Price (CAD)])</f>
        <v>7.99</v>
      </c>
      <c r="J1080" s="5">
        <f>PRODUCT(Sales[[#This Row],[Quantity Sold]],Sales[[#This Row],[Unit Selling Price (CAD)]])</f>
        <v>599.25</v>
      </c>
    </row>
    <row r="1081" spans="1:10">
      <c r="A1081" t="s">
        <v>1529</v>
      </c>
      <c r="B1081" s="2">
        <v>46165</v>
      </c>
      <c r="C1081" t="s">
        <v>263</v>
      </c>
      <c r="D1081" t="s">
        <v>264</v>
      </c>
      <c r="E1081" t="str">
        <f>_xlfn.XLOOKUP(Sales[[#This Row],[Product Name]],Products[Product Name],Products[Category])</f>
        <v>Beverages</v>
      </c>
      <c r="F1081" t="s">
        <v>449</v>
      </c>
      <c r="G1081" t="s">
        <v>450</v>
      </c>
      <c r="H1081">
        <v>31</v>
      </c>
      <c r="I1081" s="5">
        <f>_xlfn.XLOOKUP(Sales[[#This Row],[Product Name]],Products[Product Name],Products[Selling Price (CAD)])</f>
        <v>2.99</v>
      </c>
      <c r="J1081" s="5">
        <f>PRODUCT(Sales[[#This Row],[Quantity Sold]],Sales[[#This Row],[Unit Selling Price (CAD)]])</f>
        <v>92.690000000000012</v>
      </c>
    </row>
    <row r="1082" spans="1:10">
      <c r="A1082" t="s">
        <v>1530</v>
      </c>
      <c r="B1082" s="2">
        <v>46165</v>
      </c>
      <c r="C1082" t="s">
        <v>105</v>
      </c>
      <c r="D1082" t="s">
        <v>106</v>
      </c>
      <c r="E1082" t="str">
        <f>_xlfn.XLOOKUP(Sales[[#This Row],[Product Name]],Products[Product Name],Products[Category])</f>
        <v>Chicken</v>
      </c>
      <c r="F1082" t="s">
        <v>447</v>
      </c>
      <c r="G1082" t="s">
        <v>454</v>
      </c>
      <c r="H1082">
        <v>79</v>
      </c>
      <c r="I1082" s="5">
        <f>_xlfn.XLOOKUP(Sales[[#This Row],[Product Name]],Products[Product Name],Products[Selling Price (CAD)])</f>
        <v>4.99</v>
      </c>
      <c r="J1082" s="5">
        <f>PRODUCT(Sales[[#This Row],[Quantity Sold]],Sales[[#This Row],[Unit Selling Price (CAD)]])</f>
        <v>394.21000000000004</v>
      </c>
    </row>
    <row r="1083" spans="1:10">
      <c r="A1083" t="s">
        <v>1531</v>
      </c>
      <c r="B1083" s="2">
        <v>46165</v>
      </c>
      <c r="C1083" t="s">
        <v>423</v>
      </c>
      <c r="D1083" t="s">
        <v>424</v>
      </c>
      <c r="E1083" t="str">
        <f>_xlfn.XLOOKUP(Sales[[#This Row],[Product Name]],Products[Product Name],Products[Category])</f>
        <v>Combo Meals</v>
      </c>
      <c r="F1083" t="s">
        <v>444</v>
      </c>
      <c r="G1083" t="s">
        <v>450</v>
      </c>
      <c r="H1083">
        <v>55</v>
      </c>
      <c r="I1083" s="5">
        <f>_xlfn.XLOOKUP(Sales[[#This Row],[Product Name]],Products[Product Name],Products[Selling Price (CAD)])</f>
        <v>12.99</v>
      </c>
      <c r="J1083" s="5">
        <f>PRODUCT(Sales[[#This Row],[Quantity Sold]],Sales[[#This Row],[Unit Selling Price (CAD)]])</f>
        <v>714.45</v>
      </c>
    </row>
    <row r="1084" spans="1:10">
      <c r="A1084" t="s">
        <v>1532</v>
      </c>
      <c r="B1084" s="2">
        <v>46165</v>
      </c>
      <c r="C1084" t="s">
        <v>32</v>
      </c>
      <c r="D1084" t="s">
        <v>33</v>
      </c>
      <c r="E1084" t="str">
        <f>_xlfn.XLOOKUP(Sales[[#This Row],[Product Name]],Products[Product Name],Products[Category])</f>
        <v>Burgers</v>
      </c>
      <c r="F1084" t="s">
        <v>444</v>
      </c>
      <c r="G1084" t="s">
        <v>454</v>
      </c>
      <c r="H1084">
        <v>36</v>
      </c>
      <c r="I1084" s="5">
        <f>_xlfn.XLOOKUP(Sales[[#This Row],[Product Name]],Products[Product Name],Products[Selling Price (CAD)])</f>
        <v>9.99</v>
      </c>
      <c r="J1084" s="5">
        <f>PRODUCT(Sales[[#This Row],[Quantity Sold]],Sales[[#This Row],[Unit Selling Price (CAD)]])</f>
        <v>359.64</v>
      </c>
    </row>
    <row r="1085" spans="1:10">
      <c r="A1085" t="s">
        <v>1533</v>
      </c>
      <c r="B1085" s="2">
        <v>46165</v>
      </c>
      <c r="C1085" t="s">
        <v>303</v>
      </c>
      <c r="D1085" t="s">
        <v>304</v>
      </c>
      <c r="E1085" t="str">
        <f>_xlfn.XLOOKUP(Sales[[#This Row],[Product Name]],Products[Product Name],Products[Category])</f>
        <v>Beverages</v>
      </c>
      <c r="F1085" t="s">
        <v>449</v>
      </c>
      <c r="G1085" t="s">
        <v>454</v>
      </c>
      <c r="H1085">
        <v>45</v>
      </c>
      <c r="I1085" s="5">
        <f>_xlfn.XLOOKUP(Sales[[#This Row],[Product Name]],Products[Product Name],Products[Selling Price (CAD)])</f>
        <v>2.4900000000000002</v>
      </c>
      <c r="J1085" s="5">
        <f>PRODUCT(Sales[[#This Row],[Quantity Sold]],Sales[[#This Row],[Unit Selling Price (CAD)]])</f>
        <v>112.05000000000001</v>
      </c>
    </row>
    <row r="1086" spans="1:10">
      <c r="A1086" t="s">
        <v>1534</v>
      </c>
      <c r="B1086" s="2">
        <v>46165</v>
      </c>
      <c r="C1086" t="s">
        <v>205</v>
      </c>
      <c r="D1086" t="s">
        <v>206</v>
      </c>
      <c r="E1086" t="str">
        <f>_xlfn.XLOOKUP(Sales[[#This Row],[Product Name]],Products[Product Name],Products[Category])</f>
        <v>Sides</v>
      </c>
      <c r="F1086" t="s">
        <v>444</v>
      </c>
      <c r="G1086" t="s">
        <v>450</v>
      </c>
      <c r="H1086">
        <v>53</v>
      </c>
      <c r="I1086" s="5">
        <f>_xlfn.XLOOKUP(Sales[[#This Row],[Product Name]],Products[Product Name],Products[Selling Price (CAD)])</f>
        <v>4.99</v>
      </c>
      <c r="J1086" s="5">
        <f>PRODUCT(Sales[[#This Row],[Quantity Sold]],Sales[[#This Row],[Unit Selling Price (CAD)]])</f>
        <v>264.47000000000003</v>
      </c>
    </row>
    <row r="1087" spans="1:10">
      <c r="A1087" t="s">
        <v>1535</v>
      </c>
      <c r="B1087" s="2">
        <v>46165</v>
      </c>
      <c r="C1087" t="s">
        <v>343</v>
      </c>
      <c r="D1087" t="s">
        <v>344</v>
      </c>
      <c r="E1087" t="str">
        <f>_xlfn.XLOOKUP(Sales[[#This Row],[Product Name]],Products[Product Name],Products[Category])</f>
        <v>Desserts</v>
      </c>
      <c r="F1087" t="s">
        <v>447</v>
      </c>
      <c r="G1087" t="s">
        <v>452</v>
      </c>
      <c r="H1087">
        <v>69</v>
      </c>
      <c r="I1087" s="5">
        <f>_xlfn.XLOOKUP(Sales[[#This Row],[Product Name]],Products[Product Name],Products[Selling Price (CAD)])</f>
        <v>2.99</v>
      </c>
      <c r="J1087" s="5">
        <f>PRODUCT(Sales[[#This Row],[Quantity Sold]],Sales[[#This Row],[Unit Selling Price (CAD)]])</f>
        <v>206.31</v>
      </c>
    </row>
    <row r="1088" spans="1:10">
      <c r="A1088" t="s">
        <v>1536</v>
      </c>
      <c r="B1088" s="2">
        <v>46165</v>
      </c>
      <c r="C1088" t="s">
        <v>361</v>
      </c>
      <c r="D1088" t="s">
        <v>362</v>
      </c>
      <c r="E1088" t="str">
        <f>_xlfn.XLOOKUP(Sales[[#This Row],[Product Name]],Products[Product Name],Products[Category])</f>
        <v>Desserts</v>
      </c>
      <c r="F1088" t="s">
        <v>449</v>
      </c>
      <c r="G1088" t="s">
        <v>445</v>
      </c>
      <c r="H1088">
        <v>55</v>
      </c>
      <c r="I1088" s="5">
        <f>_xlfn.XLOOKUP(Sales[[#This Row],[Product Name]],Products[Product Name],Products[Selling Price (CAD)])</f>
        <v>5.99</v>
      </c>
      <c r="J1088" s="5">
        <f>PRODUCT(Sales[[#This Row],[Quantity Sold]],Sales[[#This Row],[Unit Selling Price (CAD)]])</f>
        <v>329.45</v>
      </c>
    </row>
    <row r="1089" spans="1:10">
      <c r="A1089" t="s">
        <v>1537</v>
      </c>
      <c r="B1089" s="2">
        <v>46165</v>
      </c>
      <c r="C1089" t="s">
        <v>119</v>
      </c>
      <c r="D1089" t="s">
        <v>120</v>
      </c>
      <c r="E1089" t="str">
        <f>_xlfn.XLOOKUP(Sales[[#This Row],[Product Name]],Products[Product Name],Products[Category])</f>
        <v>Chicken</v>
      </c>
      <c r="F1089" t="s">
        <v>447</v>
      </c>
      <c r="G1089" t="s">
        <v>450</v>
      </c>
      <c r="H1089">
        <v>78</v>
      </c>
      <c r="I1089" s="5">
        <f>_xlfn.XLOOKUP(Sales[[#This Row],[Product Name]],Products[Product Name],Products[Selling Price (CAD)])</f>
        <v>6.99</v>
      </c>
      <c r="J1089" s="5">
        <f>PRODUCT(Sales[[#This Row],[Quantity Sold]],Sales[[#This Row],[Unit Selling Price (CAD)]])</f>
        <v>545.22</v>
      </c>
    </row>
    <row r="1090" spans="1:10">
      <c r="A1090" t="s">
        <v>1538</v>
      </c>
      <c r="B1090" s="2">
        <v>46165</v>
      </c>
      <c r="C1090" t="s">
        <v>97</v>
      </c>
      <c r="D1090" t="s">
        <v>98</v>
      </c>
      <c r="E1090" t="str">
        <f>_xlfn.XLOOKUP(Sales[[#This Row],[Product Name]],Products[Product Name],Products[Category])</f>
        <v>Chicken</v>
      </c>
      <c r="F1090" t="s">
        <v>444</v>
      </c>
      <c r="G1090" t="s">
        <v>452</v>
      </c>
      <c r="H1090">
        <v>62</v>
      </c>
      <c r="I1090" s="5">
        <f>_xlfn.XLOOKUP(Sales[[#This Row],[Product Name]],Products[Product Name],Products[Selling Price (CAD)])</f>
        <v>6.99</v>
      </c>
      <c r="J1090" s="5">
        <f>PRODUCT(Sales[[#This Row],[Quantity Sold]],Sales[[#This Row],[Unit Selling Price (CAD)]])</f>
        <v>433.38</v>
      </c>
    </row>
    <row r="1091" spans="1:10">
      <c r="A1091" t="s">
        <v>1539</v>
      </c>
      <c r="B1091" s="2">
        <v>46166</v>
      </c>
      <c r="C1091" t="s">
        <v>135</v>
      </c>
      <c r="D1091" t="s">
        <v>136</v>
      </c>
      <c r="E1091" t="str">
        <f>_xlfn.XLOOKUP(Sales[[#This Row],[Product Name]],Products[Product Name],Products[Category])</f>
        <v>Breakfast</v>
      </c>
      <c r="F1091" t="s">
        <v>449</v>
      </c>
      <c r="G1091" t="s">
        <v>445</v>
      </c>
      <c r="H1091">
        <v>67</v>
      </c>
      <c r="I1091" s="5">
        <f>_xlfn.XLOOKUP(Sales[[#This Row],[Product Name]],Products[Product Name],Products[Selling Price (CAD)])</f>
        <v>4.99</v>
      </c>
      <c r="J1091" s="5">
        <f>PRODUCT(Sales[[#This Row],[Quantity Sold]],Sales[[#This Row],[Unit Selling Price (CAD)]])</f>
        <v>334.33000000000004</v>
      </c>
    </row>
    <row r="1092" spans="1:10">
      <c r="A1092" t="s">
        <v>1540</v>
      </c>
      <c r="B1092" s="2">
        <v>46166</v>
      </c>
      <c r="C1092" t="s">
        <v>301</v>
      </c>
      <c r="D1092" t="s">
        <v>302</v>
      </c>
      <c r="E1092" t="str">
        <f>_xlfn.XLOOKUP(Sales[[#This Row],[Product Name]],Products[Product Name],Products[Category])</f>
        <v>Beverages</v>
      </c>
      <c r="F1092" t="s">
        <v>447</v>
      </c>
      <c r="G1092" t="s">
        <v>450</v>
      </c>
      <c r="H1092">
        <v>42</v>
      </c>
      <c r="I1092" s="5">
        <f>_xlfn.XLOOKUP(Sales[[#This Row],[Product Name]],Products[Product Name],Products[Selling Price (CAD)])</f>
        <v>1.99</v>
      </c>
      <c r="J1092" s="5">
        <f>PRODUCT(Sales[[#This Row],[Quantity Sold]],Sales[[#This Row],[Unit Selling Price (CAD)]])</f>
        <v>83.58</v>
      </c>
    </row>
    <row r="1093" spans="1:10">
      <c r="A1093" t="s">
        <v>1541</v>
      </c>
      <c r="B1093" s="2">
        <v>46166</v>
      </c>
      <c r="C1093" t="s">
        <v>213</v>
      </c>
      <c r="D1093" t="s">
        <v>214</v>
      </c>
      <c r="E1093" t="str">
        <f>_xlfn.XLOOKUP(Sales[[#This Row],[Product Name]],Products[Product Name],Products[Category])</f>
        <v>Sides</v>
      </c>
      <c r="F1093" t="s">
        <v>449</v>
      </c>
      <c r="G1093" t="s">
        <v>452</v>
      </c>
      <c r="H1093">
        <v>37</v>
      </c>
      <c r="I1093" s="5">
        <f>_xlfn.XLOOKUP(Sales[[#This Row],[Product Name]],Products[Product Name],Products[Selling Price (CAD)])</f>
        <v>4.99</v>
      </c>
      <c r="J1093" s="5">
        <f>PRODUCT(Sales[[#This Row],[Quantity Sold]],Sales[[#This Row],[Unit Selling Price (CAD)]])</f>
        <v>184.63</v>
      </c>
    </row>
    <row r="1094" spans="1:10">
      <c r="A1094" t="s">
        <v>1542</v>
      </c>
      <c r="B1094" s="2">
        <v>46166</v>
      </c>
      <c r="C1094" t="s">
        <v>317</v>
      </c>
      <c r="D1094" t="s">
        <v>318</v>
      </c>
      <c r="E1094" t="str">
        <f>_xlfn.XLOOKUP(Sales[[#This Row],[Product Name]],Products[Product Name],Products[Category])</f>
        <v>Beverages</v>
      </c>
      <c r="F1094" t="s">
        <v>449</v>
      </c>
      <c r="G1094" t="s">
        <v>450</v>
      </c>
      <c r="H1094">
        <v>57</v>
      </c>
      <c r="I1094" s="5">
        <f>_xlfn.XLOOKUP(Sales[[#This Row],[Product Name]],Products[Product Name],Products[Selling Price (CAD)])</f>
        <v>3.99</v>
      </c>
      <c r="J1094" s="5">
        <f>PRODUCT(Sales[[#This Row],[Quantity Sold]],Sales[[#This Row],[Unit Selling Price (CAD)]])</f>
        <v>227.43</v>
      </c>
    </row>
    <row r="1095" spans="1:10">
      <c r="A1095" t="s">
        <v>1543</v>
      </c>
      <c r="B1095" s="2">
        <v>46166</v>
      </c>
      <c r="C1095" t="s">
        <v>257</v>
      </c>
      <c r="D1095" t="s">
        <v>258</v>
      </c>
      <c r="E1095" t="str">
        <f>_xlfn.XLOOKUP(Sales[[#This Row],[Product Name]],Products[Product Name],Products[Category])</f>
        <v>Beverages</v>
      </c>
      <c r="F1095" t="s">
        <v>447</v>
      </c>
      <c r="G1095" t="s">
        <v>445</v>
      </c>
      <c r="H1095">
        <v>36</v>
      </c>
      <c r="I1095" s="5">
        <f>_xlfn.XLOOKUP(Sales[[#This Row],[Product Name]],Products[Product Name],Products[Selling Price (CAD)])</f>
        <v>2.99</v>
      </c>
      <c r="J1095" s="5">
        <f>PRODUCT(Sales[[#This Row],[Quantity Sold]],Sales[[#This Row],[Unit Selling Price (CAD)]])</f>
        <v>107.64000000000001</v>
      </c>
    </row>
    <row r="1096" spans="1:10">
      <c r="A1096" t="s">
        <v>1544</v>
      </c>
      <c r="B1096" s="2">
        <v>46166</v>
      </c>
      <c r="C1096" t="s">
        <v>161</v>
      </c>
      <c r="D1096" t="s">
        <v>162</v>
      </c>
      <c r="E1096" t="str">
        <f>_xlfn.XLOOKUP(Sales[[#This Row],[Product Name]],Products[Product Name],Products[Category])</f>
        <v>Breakfast</v>
      </c>
      <c r="F1096" t="s">
        <v>444</v>
      </c>
      <c r="G1096" t="s">
        <v>445</v>
      </c>
      <c r="H1096">
        <v>46</v>
      </c>
      <c r="I1096" s="5">
        <f>_xlfn.XLOOKUP(Sales[[#This Row],[Product Name]],Products[Product Name],Products[Selling Price (CAD)])</f>
        <v>2.99</v>
      </c>
      <c r="J1096" s="5">
        <f>PRODUCT(Sales[[#This Row],[Quantity Sold]],Sales[[#This Row],[Unit Selling Price (CAD)]])</f>
        <v>137.54000000000002</v>
      </c>
    </row>
    <row r="1097" spans="1:10">
      <c r="A1097" t="s">
        <v>1545</v>
      </c>
      <c r="B1097" s="2">
        <v>46166</v>
      </c>
      <c r="C1097" t="s">
        <v>135</v>
      </c>
      <c r="D1097" t="s">
        <v>136</v>
      </c>
      <c r="E1097" t="str">
        <f>_xlfn.XLOOKUP(Sales[[#This Row],[Product Name]],Products[Product Name],Products[Category])</f>
        <v>Breakfast</v>
      </c>
      <c r="F1097" t="s">
        <v>444</v>
      </c>
      <c r="G1097" t="s">
        <v>450</v>
      </c>
      <c r="H1097">
        <v>71</v>
      </c>
      <c r="I1097" s="5">
        <f>_xlfn.XLOOKUP(Sales[[#This Row],[Product Name]],Products[Product Name],Products[Selling Price (CAD)])</f>
        <v>4.99</v>
      </c>
      <c r="J1097" s="5">
        <f>PRODUCT(Sales[[#This Row],[Quantity Sold]],Sales[[#This Row],[Unit Selling Price (CAD)]])</f>
        <v>354.29</v>
      </c>
    </row>
    <row r="1098" spans="1:10">
      <c r="A1098" t="s">
        <v>1546</v>
      </c>
      <c r="B1098" s="2">
        <v>46167</v>
      </c>
      <c r="C1098" t="s">
        <v>133</v>
      </c>
      <c r="D1098" t="s">
        <v>134</v>
      </c>
      <c r="E1098" t="str">
        <f>_xlfn.XLOOKUP(Sales[[#This Row],[Product Name]],Products[Product Name],Products[Category])</f>
        <v>Breakfast</v>
      </c>
      <c r="F1098" t="s">
        <v>444</v>
      </c>
      <c r="G1098" t="s">
        <v>450</v>
      </c>
      <c r="H1098">
        <v>80</v>
      </c>
      <c r="I1098" s="5">
        <f>_xlfn.XLOOKUP(Sales[[#This Row],[Product Name]],Products[Product Name],Products[Selling Price (CAD)])</f>
        <v>4.99</v>
      </c>
      <c r="J1098" s="5">
        <f>PRODUCT(Sales[[#This Row],[Quantity Sold]],Sales[[#This Row],[Unit Selling Price (CAD)]])</f>
        <v>399.20000000000005</v>
      </c>
    </row>
    <row r="1099" spans="1:10">
      <c r="A1099" t="s">
        <v>1547</v>
      </c>
      <c r="B1099" s="2">
        <v>46167</v>
      </c>
      <c r="C1099" t="s">
        <v>143</v>
      </c>
      <c r="D1099" t="s">
        <v>144</v>
      </c>
      <c r="E1099" t="str">
        <f>_xlfn.XLOOKUP(Sales[[#This Row],[Product Name]],Products[Product Name],Products[Category])</f>
        <v>Breakfast</v>
      </c>
      <c r="F1099" t="s">
        <v>444</v>
      </c>
      <c r="G1099" t="s">
        <v>450</v>
      </c>
      <c r="H1099">
        <v>71</v>
      </c>
      <c r="I1099" s="5">
        <f>_xlfn.XLOOKUP(Sales[[#This Row],[Product Name]],Products[Product Name],Products[Selling Price (CAD)])</f>
        <v>4.99</v>
      </c>
      <c r="J1099" s="5">
        <f>PRODUCT(Sales[[#This Row],[Quantity Sold]],Sales[[#This Row],[Unit Selling Price (CAD)]])</f>
        <v>354.29</v>
      </c>
    </row>
    <row r="1100" spans="1:10">
      <c r="A1100" t="s">
        <v>1548</v>
      </c>
      <c r="B1100" s="2">
        <v>46167</v>
      </c>
      <c r="C1100" t="s">
        <v>187</v>
      </c>
      <c r="D1100" t="s">
        <v>188</v>
      </c>
      <c r="E1100" t="str">
        <f>_xlfn.XLOOKUP(Sales[[#This Row],[Product Name]],Products[Product Name],Products[Category])</f>
        <v>Sides</v>
      </c>
      <c r="F1100" t="s">
        <v>449</v>
      </c>
      <c r="G1100" t="s">
        <v>454</v>
      </c>
      <c r="H1100">
        <v>68</v>
      </c>
      <c r="I1100" s="5">
        <f>_xlfn.XLOOKUP(Sales[[#This Row],[Product Name]],Products[Product Name],Products[Selling Price (CAD)])</f>
        <v>4.49</v>
      </c>
      <c r="J1100" s="5">
        <f>PRODUCT(Sales[[#This Row],[Quantity Sold]],Sales[[#This Row],[Unit Selling Price (CAD)]])</f>
        <v>305.32</v>
      </c>
    </row>
    <row r="1101" spans="1:10">
      <c r="A1101" t="s">
        <v>1549</v>
      </c>
      <c r="B1101" s="2">
        <v>46167</v>
      </c>
      <c r="C1101" t="s">
        <v>87</v>
      </c>
      <c r="D1101" t="s">
        <v>88</v>
      </c>
      <c r="E1101" t="str">
        <f>_xlfn.XLOOKUP(Sales[[#This Row],[Product Name]],Products[Product Name],Products[Category])</f>
        <v>Chicken</v>
      </c>
      <c r="F1101" t="s">
        <v>444</v>
      </c>
      <c r="G1101" t="s">
        <v>450</v>
      </c>
      <c r="H1101">
        <v>67</v>
      </c>
      <c r="I1101" s="5">
        <f>_xlfn.XLOOKUP(Sales[[#This Row],[Product Name]],Products[Product Name],Products[Selling Price (CAD)])</f>
        <v>6.99</v>
      </c>
      <c r="J1101" s="5">
        <f>PRODUCT(Sales[[#This Row],[Quantity Sold]],Sales[[#This Row],[Unit Selling Price (CAD)]])</f>
        <v>468.33000000000004</v>
      </c>
    </row>
    <row r="1102" spans="1:10">
      <c r="A1102" t="s">
        <v>1550</v>
      </c>
      <c r="B1102" s="2">
        <v>46167</v>
      </c>
      <c r="C1102" t="s">
        <v>135</v>
      </c>
      <c r="D1102" t="s">
        <v>136</v>
      </c>
      <c r="E1102" t="str">
        <f>_xlfn.XLOOKUP(Sales[[#This Row],[Product Name]],Products[Product Name],Products[Category])</f>
        <v>Breakfast</v>
      </c>
      <c r="F1102" t="s">
        <v>444</v>
      </c>
      <c r="G1102" t="s">
        <v>450</v>
      </c>
      <c r="H1102">
        <v>47</v>
      </c>
      <c r="I1102" s="5">
        <f>_xlfn.XLOOKUP(Sales[[#This Row],[Product Name]],Products[Product Name],Products[Selling Price (CAD)])</f>
        <v>4.99</v>
      </c>
      <c r="J1102" s="5">
        <f>PRODUCT(Sales[[#This Row],[Quantity Sold]],Sales[[#This Row],[Unit Selling Price (CAD)]])</f>
        <v>234.53</v>
      </c>
    </row>
    <row r="1103" spans="1:10">
      <c r="A1103" t="s">
        <v>1551</v>
      </c>
      <c r="B1103" s="2">
        <v>46168</v>
      </c>
      <c r="C1103" t="s">
        <v>70</v>
      </c>
      <c r="D1103" t="s">
        <v>71</v>
      </c>
      <c r="E1103" t="str">
        <f>_xlfn.XLOOKUP(Sales[[#This Row],[Product Name]],Products[Product Name],Products[Category])</f>
        <v>Burgers</v>
      </c>
      <c r="F1103" t="s">
        <v>444</v>
      </c>
      <c r="G1103" t="s">
        <v>454</v>
      </c>
      <c r="H1103">
        <v>33</v>
      </c>
      <c r="I1103" s="5">
        <f>_xlfn.XLOOKUP(Sales[[#This Row],[Product Name]],Products[Product Name],Products[Selling Price (CAD)])</f>
        <v>8.99</v>
      </c>
      <c r="J1103" s="5">
        <f>PRODUCT(Sales[[#This Row],[Quantity Sold]],Sales[[#This Row],[Unit Selling Price (CAD)]])</f>
        <v>296.67</v>
      </c>
    </row>
    <row r="1104" spans="1:10">
      <c r="A1104" t="s">
        <v>1552</v>
      </c>
      <c r="B1104" s="2">
        <v>46168</v>
      </c>
      <c r="C1104" t="s">
        <v>421</v>
      </c>
      <c r="D1104" t="s">
        <v>422</v>
      </c>
      <c r="E1104" t="str">
        <f>_xlfn.XLOOKUP(Sales[[#This Row],[Product Name]],Products[Product Name],Products[Category])</f>
        <v>Combo Meals</v>
      </c>
      <c r="F1104" t="s">
        <v>447</v>
      </c>
      <c r="G1104" t="s">
        <v>450</v>
      </c>
      <c r="H1104">
        <v>41</v>
      </c>
      <c r="I1104" s="5">
        <f>_xlfn.XLOOKUP(Sales[[#This Row],[Product Name]],Products[Product Name],Products[Selling Price (CAD)])</f>
        <v>8.99</v>
      </c>
      <c r="J1104" s="5">
        <f>PRODUCT(Sales[[#This Row],[Quantity Sold]],Sales[[#This Row],[Unit Selling Price (CAD)]])</f>
        <v>368.59000000000003</v>
      </c>
    </row>
    <row r="1105" spans="1:10">
      <c r="A1105" t="s">
        <v>1553</v>
      </c>
      <c r="B1105" s="2">
        <v>46168</v>
      </c>
      <c r="C1105" t="s">
        <v>329</v>
      </c>
      <c r="D1105" t="s">
        <v>330</v>
      </c>
      <c r="E1105" t="str">
        <f>_xlfn.XLOOKUP(Sales[[#This Row],[Product Name]],Products[Product Name],Products[Category])</f>
        <v>Desserts</v>
      </c>
      <c r="F1105" t="s">
        <v>447</v>
      </c>
      <c r="G1105" t="s">
        <v>450</v>
      </c>
      <c r="H1105">
        <v>63</v>
      </c>
      <c r="I1105" s="5">
        <f>_xlfn.XLOOKUP(Sales[[#This Row],[Product Name]],Products[Product Name],Products[Selling Price (CAD)])</f>
        <v>2.99</v>
      </c>
      <c r="J1105" s="5">
        <f>PRODUCT(Sales[[#This Row],[Quantity Sold]],Sales[[#This Row],[Unit Selling Price (CAD)]])</f>
        <v>188.37</v>
      </c>
    </row>
    <row r="1106" spans="1:10">
      <c r="A1106" t="s">
        <v>1554</v>
      </c>
      <c r="B1106" s="2">
        <v>46168</v>
      </c>
      <c r="C1106" t="s">
        <v>28</v>
      </c>
      <c r="D1106" t="s">
        <v>29</v>
      </c>
      <c r="E1106" t="str">
        <f>_xlfn.XLOOKUP(Sales[[#This Row],[Product Name]],Products[Product Name],Products[Category])</f>
        <v>Burgers</v>
      </c>
      <c r="F1106" t="s">
        <v>444</v>
      </c>
      <c r="G1106" t="s">
        <v>450</v>
      </c>
      <c r="H1106">
        <v>35</v>
      </c>
      <c r="I1106" s="5">
        <f>_xlfn.XLOOKUP(Sales[[#This Row],[Product Name]],Products[Product Name],Products[Selling Price (CAD)])</f>
        <v>7.99</v>
      </c>
      <c r="J1106" s="5">
        <f>PRODUCT(Sales[[#This Row],[Quantity Sold]],Sales[[#This Row],[Unit Selling Price (CAD)]])</f>
        <v>279.65000000000003</v>
      </c>
    </row>
    <row r="1107" spans="1:10">
      <c r="A1107" t="s">
        <v>1555</v>
      </c>
      <c r="B1107" s="2">
        <v>46168</v>
      </c>
      <c r="C1107" t="s">
        <v>205</v>
      </c>
      <c r="D1107" t="s">
        <v>206</v>
      </c>
      <c r="E1107" t="str">
        <f>_xlfn.XLOOKUP(Sales[[#This Row],[Product Name]],Products[Product Name],Products[Category])</f>
        <v>Sides</v>
      </c>
      <c r="F1107" t="s">
        <v>449</v>
      </c>
      <c r="G1107" t="s">
        <v>452</v>
      </c>
      <c r="H1107">
        <v>38</v>
      </c>
      <c r="I1107" s="5">
        <f>_xlfn.XLOOKUP(Sales[[#This Row],[Product Name]],Products[Product Name],Products[Selling Price (CAD)])</f>
        <v>4.99</v>
      </c>
      <c r="J1107" s="5">
        <f>PRODUCT(Sales[[#This Row],[Quantity Sold]],Sales[[#This Row],[Unit Selling Price (CAD)]])</f>
        <v>189.62</v>
      </c>
    </row>
    <row r="1108" spans="1:10">
      <c r="A1108" t="s">
        <v>1556</v>
      </c>
      <c r="B1108" s="2">
        <v>46168</v>
      </c>
      <c r="C1108" t="s">
        <v>181</v>
      </c>
      <c r="D1108" t="s">
        <v>182</v>
      </c>
      <c r="E1108" t="str">
        <f>_xlfn.XLOOKUP(Sales[[#This Row],[Product Name]],Products[Product Name],Products[Category])</f>
        <v>Breakfast</v>
      </c>
      <c r="F1108" t="s">
        <v>449</v>
      </c>
      <c r="G1108" t="s">
        <v>450</v>
      </c>
      <c r="H1108">
        <v>80</v>
      </c>
      <c r="I1108" s="5">
        <f>_xlfn.XLOOKUP(Sales[[#This Row],[Product Name]],Products[Product Name],Products[Selling Price (CAD)])</f>
        <v>4.99</v>
      </c>
      <c r="J1108" s="5">
        <f>PRODUCT(Sales[[#This Row],[Quantity Sold]],Sales[[#This Row],[Unit Selling Price (CAD)]])</f>
        <v>399.20000000000005</v>
      </c>
    </row>
    <row r="1109" spans="1:10">
      <c r="A1109" t="s">
        <v>1557</v>
      </c>
      <c r="B1109" s="2">
        <v>46168</v>
      </c>
      <c r="C1109" t="s">
        <v>66</v>
      </c>
      <c r="D1109" t="s">
        <v>67</v>
      </c>
      <c r="E1109" t="str">
        <f>_xlfn.XLOOKUP(Sales[[#This Row],[Product Name]],Products[Product Name],Products[Category])</f>
        <v>Burgers</v>
      </c>
      <c r="F1109" t="s">
        <v>444</v>
      </c>
      <c r="G1109" t="s">
        <v>450</v>
      </c>
      <c r="H1109">
        <v>79</v>
      </c>
      <c r="I1109" s="5">
        <f>_xlfn.XLOOKUP(Sales[[#This Row],[Product Name]],Products[Product Name],Products[Selling Price (CAD)])</f>
        <v>8.49</v>
      </c>
      <c r="J1109" s="5">
        <f>PRODUCT(Sales[[#This Row],[Quantity Sold]],Sales[[#This Row],[Unit Selling Price (CAD)]])</f>
        <v>670.71</v>
      </c>
    </row>
    <row r="1110" spans="1:10">
      <c r="A1110" t="s">
        <v>1558</v>
      </c>
      <c r="B1110" s="2">
        <v>46168</v>
      </c>
      <c r="C1110" t="s">
        <v>139</v>
      </c>
      <c r="D1110" t="s">
        <v>140</v>
      </c>
      <c r="E1110" t="str">
        <f>_xlfn.XLOOKUP(Sales[[#This Row],[Product Name]],Products[Product Name],Products[Category])</f>
        <v>Breakfast</v>
      </c>
      <c r="F1110" t="s">
        <v>449</v>
      </c>
      <c r="G1110" t="s">
        <v>450</v>
      </c>
      <c r="H1110">
        <v>52</v>
      </c>
      <c r="I1110" s="5">
        <f>_xlfn.XLOOKUP(Sales[[#This Row],[Product Name]],Products[Product Name],Products[Selling Price (CAD)])</f>
        <v>4.99</v>
      </c>
      <c r="J1110" s="5">
        <f>PRODUCT(Sales[[#This Row],[Quantity Sold]],Sales[[#This Row],[Unit Selling Price (CAD)]])</f>
        <v>259.48</v>
      </c>
    </row>
    <row r="1111" spans="1:10">
      <c r="A1111" t="s">
        <v>1559</v>
      </c>
      <c r="B1111" s="2">
        <v>46168</v>
      </c>
      <c r="C1111" t="s">
        <v>263</v>
      </c>
      <c r="D1111" t="s">
        <v>264</v>
      </c>
      <c r="E1111" t="str">
        <f>_xlfn.XLOOKUP(Sales[[#This Row],[Product Name]],Products[Product Name],Products[Category])</f>
        <v>Beverages</v>
      </c>
      <c r="F1111" t="s">
        <v>444</v>
      </c>
      <c r="G1111" t="s">
        <v>450</v>
      </c>
      <c r="H1111">
        <v>45</v>
      </c>
      <c r="I1111" s="5">
        <f>_xlfn.XLOOKUP(Sales[[#This Row],[Product Name]],Products[Product Name],Products[Selling Price (CAD)])</f>
        <v>2.99</v>
      </c>
      <c r="J1111" s="5">
        <f>PRODUCT(Sales[[#This Row],[Quantity Sold]],Sales[[#This Row],[Unit Selling Price (CAD)]])</f>
        <v>134.55000000000001</v>
      </c>
    </row>
    <row r="1112" spans="1:10">
      <c r="A1112" t="s">
        <v>1560</v>
      </c>
      <c r="B1112" s="2">
        <v>46169</v>
      </c>
      <c r="C1112" t="s">
        <v>402</v>
      </c>
      <c r="D1112" t="s">
        <v>403</v>
      </c>
      <c r="E1112" t="str">
        <f>_xlfn.XLOOKUP(Sales[[#This Row],[Product Name]],Products[Product Name],Products[Category])</f>
        <v>Sauces &amp; Add-ons</v>
      </c>
      <c r="F1112" t="s">
        <v>449</v>
      </c>
      <c r="G1112" t="s">
        <v>454</v>
      </c>
      <c r="H1112">
        <v>61</v>
      </c>
      <c r="I1112" s="5">
        <f>_xlfn.XLOOKUP(Sales[[#This Row],[Product Name]],Products[Product Name],Products[Selling Price (CAD)])</f>
        <v>1.49</v>
      </c>
      <c r="J1112" s="5">
        <f>PRODUCT(Sales[[#This Row],[Quantity Sold]],Sales[[#This Row],[Unit Selling Price (CAD)]])</f>
        <v>90.89</v>
      </c>
    </row>
    <row r="1113" spans="1:10">
      <c r="A1113" t="s">
        <v>1561</v>
      </c>
      <c r="B1113" s="2">
        <v>46169</v>
      </c>
      <c r="C1113" t="s">
        <v>215</v>
      </c>
      <c r="D1113" t="s">
        <v>216</v>
      </c>
      <c r="E1113" t="str">
        <f>_xlfn.XLOOKUP(Sales[[#This Row],[Product Name]],Products[Product Name],Products[Category])</f>
        <v>Sides</v>
      </c>
      <c r="F1113" t="s">
        <v>447</v>
      </c>
      <c r="G1113" t="s">
        <v>452</v>
      </c>
      <c r="H1113">
        <v>33</v>
      </c>
      <c r="I1113" s="5">
        <f>_xlfn.XLOOKUP(Sales[[#This Row],[Product Name]],Products[Product Name],Products[Selling Price (CAD)])</f>
        <v>2.99</v>
      </c>
      <c r="J1113" s="5">
        <f>PRODUCT(Sales[[#This Row],[Quantity Sold]],Sales[[#This Row],[Unit Selling Price (CAD)]])</f>
        <v>98.67</v>
      </c>
    </row>
    <row r="1114" spans="1:10">
      <c r="A1114" t="s">
        <v>1562</v>
      </c>
      <c r="B1114" s="2">
        <v>46169</v>
      </c>
      <c r="C1114" t="s">
        <v>58</v>
      </c>
      <c r="D1114" t="s">
        <v>59</v>
      </c>
      <c r="E1114" t="str">
        <f>_xlfn.XLOOKUP(Sales[[#This Row],[Product Name]],Products[Product Name],Products[Category])</f>
        <v>Burgers</v>
      </c>
      <c r="F1114" t="s">
        <v>449</v>
      </c>
      <c r="G1114" t="s">
        <v>450</v>
      </c>
      <c r="H1114">
        <v>77</v>
      </c>
      <c r="I1114" s="5">
        <f>_xlfn.XLOOKUP(Sales[[#This Row],[Product Name]],Products[Product Name],Products[Selling Price (CAD)])</f>
        <v>8.49</v>
      </c>
      <c r="J1114" s="5">
        <f>PRODUCT(Sales[[#This Row],[Quantity Sold]],Sales[[#This Row],[Unit Selling Price (CAD)]])</f>
        <v>653.73</v>
      </c>
    </row>
    <row r="1115" spans="1:10">
      <c r="A1115" t="s">
        <v>1563</v>
      </c>
      <c r="B1115" s="2">
        <v>46169</v>
      </c>
      <c r="C1115" t="s">
        <v>388</v>
      </c>
      <c r="D1115" t="s">
        <v>389</v>
      </c>
      <c r="E1115" t="str">
        <f>_xlfn.XLOOKUP(Sales[[#This Row],[Product Name]],Products[Product Name],Products[Category])</f>
        <v>Sauces &amp; Add-ons</v>
      </c>
      <c r="F1115" t="s">
        <v>447</v>
      </c>
      <c r="G1115" t="s">
        <v>452</v>
      </c>
      <c r="H1115">
        <v>39</v>
      </c>
      <c r="I1115" s="5">
        <f>_xlfn.XLOOKUP(Sales[[#This Row],[Product Name]],Products[Product Name],Products[Selling Price (CAD)])</f>
        <v>0.25</v>
      </c>
      <c r="J1115" s="5">
        <f>PRODUCT(Sales[[#This Row],[Quantity Sold]],Sales[[#This Row],[Unit Selling Price (CAD)]])</f>
        <v>9.75</v>
      </c>
    </row>
    <row r="1116" spans="1:10">
      <c r="A1116" t="s">
        <v>1564</v>
      </c>
      <c r="B1116" s="2">
        <v>46169</v>
      </c>
      <c r="C1116" t="s">
        <v>289</v>
      </c>
      <c r="D1116" t="s">
        <v>290</v>
      </c>
      <c r="E1116" t="str">
        <f>_xlfn.XLOOKUP(Sales[[#This Row],[Product Name]],Products[Product Name],Products[Category])</f>
        <v>Beverages</v>
      </c>
      <c r="F1116" t="s">
        <v>449</v>
      </c>
      <c r="G1116" t="s">
        <v>450</v>
      </c>
      <c r="H1116">
        <v>73</v>
      </c>
      <c r="I1116" s="5">
        <f>_xlfn.XLOOKUP(Sales[[#This Row],[Product Name]],Products[Product Name],Products[Selling Price (CAD)])</f>
        <v>2.99</v>
      </c>
      <c r="J1116" s="5">
        <f>PRODUCT(Sales[[#This Row],[Quantity Sold]],Sales[[#This Row],[Unit Selling Price (CAD)]])</f>
        <v>218.27</v>
      </c>
    </row>
    <row r="1117" spans="1:10">
      <c r="A1117" t="s">
        <v>1565</v>
      </c>
      <c r="B1117" s="2">
        <v>46169</v>
      </c>
      <c r="C1117" t="s">
        <v>72</v>
      </c>
      <c r="D1117" t="s">
        <v>73</v>
      </c>
      <c r="E1117" t="str">
        <f>_xlfn.XLOOKUP(Sales[[#This Row],[Product Name]],Products[Product Name],Products[Category])</f>
        <v>Burgers</v>
      </c>
      <c r="F1117" t="s">
        <v>447</v>
      </c>
      <c r="G1117" t="s">
        <v>450</v>
      </c>
      <c r="H1117">
        <v>31</v>
      </c>
      <c r="I1117" s="5">
        <f>_xlfn.XLOOKUP(Sales[[#This Row],[Product Name]],Products[Product Name],Products[Selling Price (CAD)])</f>
        <v>6.99</v>
      </c>
      <c r="J1117" s="5">
        <f>PRODUCT(Sales[[#This Row],[Quantity Sold]],Sales[[#This Row],[Unit Selling Price (CAD)]])</f>
        <v>216.69</v>
      </c>
    </row>
    <row r="1118" spans="1:10">
      <c r="A1118" t="s">
        <v>1566</v>
      </c>
      <c r="B1118" s="2">
        <v>46169</v>
      </c>
      <c r="C1118" t="s">
        <v>303</v>
      </c>
      <c r="D1118" t="s">
        <v>304</v>
      </c>
      <c r="E1118" t="str">
        <f>_xlfn.XLOOKUP(Sales[[#This Row],[Product Name]],Products[Product Name],Products[Category])</f>
        <v>Beverages</v>
      </c>
      <c r="F1118" t="s">
        <v>449</v>
      </c>
      <c r="G1118" t="s">
        <v>452</v>
      </c>
      <c r="H1118">
        <v>32</v>
      </c>
      <c r="I1118" s="5">
        <f>_xlfn.XLOOKUP(Sales[[#This Row],[Product Name]],Products[Product Name],Products[Selling Price (CAD)])</f>
        <v>2.4900000000000002</v>
      </c>
      <c r="J1118" s="5">
        <f>PRODUCT(Sales[[#This Row],[Quantity Sold]],Sales[[#This Row],[Unit Selling Price (CAD)]])</f>
        <v>79.680000000000007</v>
      </c>
    </row>
    <row r="1119" spans="1:10">
      <c r="A1119" t="s">
        <v>1567</v>
      </c>
      <c r="B1119" s="2">
        <v>46170</v>
      </c>
      <c r="C1119" t="s">
        <v>317</v>
      </c>
      <c r="D1119" t="s">
        <v>318</v>
      </c>
      <c r="E1119" t="str">
        <f>_xlfn.XLOOKUP(Sales[[#This Row],[Product Name]],Products[Product Name],Products[Category])</f>
        <v>Beverages</v>
      </c>
      <c r="F1119" t="s">
        <v>447</v>
      </c>
      <c r="G1119" t="s">
        <v>452</v>
      </c>
      <c r="H1119">
        <v>38</v>
      </c>
      <c r="I1119" s="5">
        <f>_xlfn.XLOOKUP(Sales[[#This Row],[Product Name]],Products[Product Name],Products[Selling Price (CAD)])</f>
        <v>3.99</v>
      </c>
      <c r="J1119" s="5">
        <f>PRODUCT(Sales[[#This Row],[Quantity Sold]],Sales[[#This Row],[Unit Selling Price (CAD)]])</f>
        <v>151.62</v>
      </c>
    </row>
    <row r="1120" spans="1:10">
      <c r="A1120" t="s">
        <v>1568</v>
      </c>
      <c r="B1120" s="2">
        <v>46170</v>
      </c>
      <c r="C1120" t="s">
        <v>72</v>
      </c>
      <c r="D1120" t="s">
        <v>73</v>
      </c>
      <c r="E1120" t="str">
        <f>_xlfn.XLOOKUP(Sales[[#This Row],[Product Name]],Products[Product Name],Products[Category])</f>
        <v>Burgers</v>
      </c>
      <c r="F1120" t="s">
        <v>444</v>
      </c>
      <c r="G1120" t="s">
        <v>454</v>
      </c>
      <c r="H1120">
        <v>64</v>
      </c>
      <c r="I1120" s="5">
        <f>_xlfn.XLOOKUP(Sales[[#This Row],[Product Name]],Products[Product Name],Products[Selling Price (CAD)])</f>
        <v>6.99</v>
      </c>
      <c r="J1120" s="5">
        <f>PRODUCT(Sales[[#This Row],[Quantity Sold]],Sales[[#This Row],[Unit Selling Price (CAD)]])</f>
        <v>447.36</v>
      </c>
    </row>
    <row r="1121" spans="1:10">
      <c r="A1121" t="s">
        <v>1569</v>
      </c>
      <c r="B1121" s="2">
        <v>46170</v>
      </c>
      <c r="C1121" t="s">
        <v>97</v>
      </c>
      <c r="D1121" t="s">
        <v>98</v>
      </c>
      <c r="E1121" t="str">
        <f>_xlfn.XLOOKUP(Sales[[#This Row],[Product Name]],Products[Product Name],Products[Category])</f>
        <v>Chicken</v>
      </c>
      <c r="F1121" t="s">
        <v>444</v>
      </c>
      <c r="G1121" t="s">
        <v>445</v>
      </c>
      <c r="H1121">
        <v>66</v>
      </c>
      <c r="I1121" s="5">
        <f>_xlfn.XLOOKUP(Sales[[#This Row],[Product Name]],Products[Product Name],Products[Selling Price (CAD)])</f>
        <v>6.99</v>
      </c>
      <c r="J1121" s="5">
        <f>PRODUCT(Sales[[#This Row],[Quantity Sold]],Sales[[#This Row],[Unit Selling Price (CAD)]])</f>
        <v>461.34000000000003</v>
      </c>
    </row>
    <row r="1122" spans="1:10">
      <c r="A1122" t="s">
        <v>1570</v>
      </c>
      <c r="B1122" s="2">
        <v>46171</v>
      </c>
      <c r="C1122" t="s">
        <v>66</v>
      </c>
      <c r="D1122" t="s">
        <v>67</v>
      </c>
      <c r="E1122" t="str">
        <f>_xlfn.XLOOKUP(Sales[[#This Row],[Product Name]],Products[Product Name],Products[Category])</f>
        <v>Burgers</v>
      </c>
      <c r="F1122" t="s">
        <v>444</v>
      </c>
      <c r="G1122" t="s">
        <v>452</v>
      </c>
      <c r="H1122">
        <v>32</v>
      </c>
      <c r="I1122" s="5">
        <f>_xlfn.XLOOKUP(Sales[[#This Row],[Product Name]],Products[Product Name],Products[Selling Price (CAD)])</f>
        <v>8.49</v>
      </c>
      <c r="J1122" s="5">
        <f>PRODUCT(Sales[[#This Row],[Quantity Sold]],Sales[[#This Row],[Unit Selling Price (CAD)]])</f>
        <v>271.68</v>
      </c>
    </row>
    <row r="1123" spans="1:10">
      <c r="A1123" t="s">
        <v>1571</v>
      </c>
      <c r="B1123" s="2">
        <v>46171</v>
      </c>
      <c r="C1123" t="s">
        <v>271</v>
      </c>
      <c r="D1123" t="s">
        <v>272</v>
      </c>
      <c r="E1123" t="str">
        <f>_xlfn.XLOOKUP(Sales[[#This Row],[Product Name]],Products[Product Name],Products[Category])</f>
        <v>Beverages</v>
      </c>
      <c r="F1123" t="s">
        <v>444</v>
      </c>
      <c r="G1123" t="s">
        <v>454</v>
      </c>
      <c r="H1123">
        <v>58</v>
      </c>
      <c r="I1123" s="5">
        <f>_xlfn.XLOOKUP(Sales[[#This Row],[Product Name]],Products[Product Name],Products[Selling Price (CAD)])</f>
        <v>1.99</v>
      </c>
      <c r="J1123" s="5">
        <f>PRODUCT(Sales[[#This Row],[Quantity Sold]],Sales[[#This Row],[Unit Selling Price (CAD)]])</f>
        <v>115.42</v>
      </c>
    </row>
    <row r="1124" spans="1:10">
      <c r="A1124" t="s">
        <v>1572</v>
      </c>
      <c r="B1124" s="2">
        <v>46171</v>
      </c>
      <c r="C1124" t="s">
        <v>17</v>
      </c>
      <c r="D1124" t="s">
        <v>18</v>
      </c>
      <c r="E1124" t="str">
        <f>_xlfn.XLOOKUP(Sales[[#This Row],[Product Name]],Products[Product Name],Products[Category])</f>
        <v>Burgers</v>
      </c>
      <c r="F1124" t="s">
        <v>444</v>
      </c>
      <c r="G1124" t="s">
        <v>450</v>
      </c>
      <c r="H1124">
        <v>33</v>
      </c>
      <c r="I1124" s="5">
        <f>_xlfn.XLOOKUP(Sales[[#This Row],[Product Name]],Products[Product Name],Products[Selling Price (CAD)])</f>
        <v>7.99</v>
      </c>
      <c r="J1124" s="5">
        <f>PRODUCT(Sales[[#This Row],[Quantity Sold]],Sales[[#This Row],[Unit Selling Price (CAD)]])</f>
        <v>263.67</v>
      </c>
    </row>
    <row r="1125" spans="1:10">
      <c r="A1125" t="s">
        <v>1573</v>
      </c>
      <c r="B1125" s="2">
        <v>46171</v>
      </c>
      <c r="C1125" t="s">
        <v>295</v>
      </c>
      <c r="D1125" t="s">
        <v>296</v>
      </c>
      <c r="E1125" t="str">
        <f>_xlfn.XLOOKUP(Sales[[#This Row],[Product Name]],Products[Product Name],Products[Category])</f>
        <v>Beverages</v>
      </c>
      <c r="F1125" t="s">
        <v>444</v>
      </c>
      <c r="G1125" t="s">
        <v>450</v>
      </c>
      <c r="H1125">
        <v>45</v>
      </c>
      <c r="I1125" s="5">
        <f>_xlfn.XLOOKUP(Sales[[#This Row],[Product Name]],Products[Product Name],Products[Selling Price (CAD)])</f>
        <v>2.99</v>
      </c>
      <c r="J1125" s="5">
        <f>PRODUCT(Sales[[#This Row],[Quantity Sold]],Sales[[#This Row],[Unit Selling Price (CAD)]])</f>
        <v>134.55000000000001</v>
      </c>
    </row>
    <row r="1126" spans="1:10">
      <c r="A1126" t="s">
        <v>1574</v>
      </c>
      <c r="B1126" s="2">
        <v>46171</v>
      </c>
      <c r="C1126" t="s">
        <v>72</v>
      </c>
      <c r="D1126" t="s">
        <v>73</v>
      </c>
      <c r="E1126" t="str">
        <f>_xlfn.XLOOKUP(Sales[[#This Row],[Product Name]],Products[Product Name],Products[Category])</f>
        <v>Burgers</v>
      </c>
      <c r="F1126" t="s">
        <v>447</v>
      </c>
      <c r="G1126" t="s">
        <v>452</v>
      </c>
      <c r="H1126">
        <v>72</v>
      </c>
      <c r="I1126" s="5">
        <f>_xlfn.XLOOKUP(Sales[[#This Row],[Product Name]],Products[Product Name],Products[Selling Price (CAD)])</f>
        <v>6.99</v>
      </c>
      <c r="J1126" s="5">
        <f>PRODUCT(Sales[[#This Row],[Quantity Sold]],Sales[[#This Row],[Unit Selling Price (CAD)]])</f>
        <v>503.28000000000003</v>
      </c>
    </row>
    <row r="1127" spans="1:10">
      <c r="A1127" t="s">
        <v>1575</v>
      </c>
      <c r="B1127" s="2">
        <v>46172</v>
      </c>
      <c r="C1127" t="s">
        <v>221</v>
      </c>
      <c r="D1127" t="s">
        <v>222</v>
      </c>
      <c r="E1127" t="str">
        <f>_xlfn.XLOOKUP(Sales[[#This Row],[Product Name]],Products[Product Name],Products[Category])</f>
        <v>Sides</v>
      </c>
      <c r="F1127" t="s">
        <v>444</v>
      </c>
      <c r="G1127" t="s">
        <v>452</v>
      </c>
      <c r="H1127">
        <v>68</v>
      </c>
      <c r="I1127" s="5">
        <f>_xlfn.XLOOKUP(Sales[[#This Row],[Product Name]],Products[Product Name],Products[Selling Price (CAD)])</f>
        <v>5.99</v>
      </c>
      <c r="J1127" s="5">
        <f>PRODUCT(Sales[[#This Row],[Quantity Sold]],Sales[[#This Row],[Unit Selling Price (CAD)]])</f>
        <v>407.32</v>
      </c>
    </row>
    <row r="1128" spans="1:10">
      <c r="A1128" t="s">
        <v>1576</v>
      </c>
      <c r="B1128" s="2">
        <v>46172</v>
      </c>
      <c r="C1128" t="s">
        <v>42</v>
      </c>
      <c r="D1128" t="s">
        <v>43</v>
      </c>
      <c r="E1128" t="str">
        <f>_xlfn.XLOOKUP(Sales[[#This Row],[Product Name]],Products[Product Name],Products[Category])</f>
        <v>Burgers</v>
      </c>
      <c r="F1128" t="s">
        <v>447</v>
      </c>
      <c r="G1128" t="s">
        <v>450</v>
      </c>
      <c r="H1128">
        <v>51</v>
      </c>
      <c r="I1128" s="5">
        <f>_xlfn.XLOOKUP(Sales[[#This Row],[Product Name]],Products[Product Name],Products[Selling Price (CAD)])</f>
        <v>8.99</v>
      </c>
      <c r="J1128" s="5">
        <f>PRODUCT(Sales[[#This Row],[Quantity Sold]],Sales[[#This Row],[Unit Selling Price (CAD)]])</f>
        <v>458.49</v>
      </c>
    </row>
    <row r="1129" spans="1:10">
      <c r="A1129" t="s">
        <v>1577</v>
      </c>
      <c r="B1129" s="2">
        <v>46172</v>
      </c>
      <c r="C1129" t="s">
        <v>335</v>
      </c>
      <c r="D1129" t="s">
        <v>336</v>
      </c>
      <c r="E1129" t="str">
        <f>_xlfn.XLOOKUP(Sales[[#This Row],[Product Name]],Products[Product Name],Products[Category])</f>
        <v>Desserts</v>
      </c>
      <c r="F1129" t="s">
        <v>444</v>
      </c>
      <c r="G1129" t="s">
        <v>452</v>
      </c>
      <c r="H1129">
        <v>67</v>
      </c>
      <c r="I1129" s="5">
        <f>_xlfn.XLOOKUP(Sales[[#This Row],[Product Name]],Products[Product Name],Products[Selling Price (CAD)])</f>
        <v>1.49</v>
      </c>
      <c r="J1129" s="5">
        <f>PRODUCT(Sales[[#This Row],[Quantity Sold]],Sales[[#This Row],[Unit Selling Price (CAD)]])</f>
        <v>99.83</v>
      </c>
    </row>
    <row r="1130" spans="1:10">
      <c r="A1130" t="s">
        <v>1578</v>
      </c>
      <c r="B1130" s="2">
        <v>46172</v>
      </c>
      <c r="C1130" t="s">
        <v>287</v>
      </c>
      <c r="D1130" t="s">
        <v>288</v>
      </c>
      <c r="E1130" t="str">
        <f>_xlfn.XLOOKUP(Sales[[#This Row],[Product Name]],Products[Product Name],Products[Category])</f>
        <v>Beverages</v>
      </c>
      <c r="F1130" t="s">
        <v>449</v>
      </c>
      <c r="G1130" t="s">
        <v>454</v>
      </c>
      <c r="H1130">
        <v>50</v>
      </c>
      <c r="I1130" s="5">
        <f>_xlfn.XLOOKUP(Sales[[#This Row],[Product Name]],Products[Product Name],Products[Selling Price (CAD)])</f>
        <v>3.99</v>
      </c>
      <c r="J1130" s="5">
        <f>PRODUCT(Sales[[#This Row],[Quantity Sold]],Sales[[#This Row],[Unit Selling Price (CAD)]])</f>
        <v>199.5</v>
      </c>
    </row>
    <row r="1131" spans="1:10">
      <c r="A1131" t="s">
        <v>1579</v>
      </c>
      <c r="B1131" s="2">
        <v>46172</v>
      </c>
      <c r="C1131" t="s">
        <v>409</v>
      </c>
      <c r="D1131" t="s">
        <v>410</v>
      </c>
      <c r="E1131" t="str">
        <f>_xlfn.XLOOKUP(Sales[[#This Row],[Product Name]],Products[Product Name],Products[Category])</f>
        <v>Combo Meals</v>
      </c>
      <c r="F1131" t="s">
        <v>444</v>
      </c>
      <c r="G1131" t="s">
        <v>450</v>
      </c>
      <c r="H1131">
        <v>49</v>
      </c>
      <c r="I1131" s="5">
        <f>_xlfn.XLOOKUP(Sales[[#This Row],[Product Name]],Products[Product Name],Products[Selling Price (CAD)])</f>
        <v>11.99</v>
      </c>
      <c r="J1131" s="5">
        <f>PRODUCT(Sales[[#This Row],[Quantity Sold]],Sales[[#This Row],[Unit Selling Price (CAD)]])</f>
        <v>587.51</v>
      </c>
    </row>
    <row r="1132" spans="1:10">
      <c r="A1132" t="s">
        <v>1580</v>
      </c>
      <c r="B1132" s="2">
        <v>46172</v>
      </c>
      <c r="C1132" t="s">
        <v>285</v>
      </c>
      <c r="D1132" t="s">
        <v>286</v>
      </c>
      <c r="E1132" t="str">
        <f>_xlfn.XLOOKUP(Sales[[#This Row],[Product Name]],Products[Product Name],Products[Category])</f>
        <v>Beverages</v>
      </c>
      <c r="F1132" t="s">
        <v>447</v>
      </c>
      <c r="G1132" t="s">
        <v>450</v>
      </c>
      <c r="H1132">
        <v>77</v>
      </c>
      <c r="I1132" s="5">
        <f>_xlfn.XLOOKUP(Sales[[#This Row],[Product Name]],Products[Product Name],Products[Selling Price (CAD)])</f>
        <v>2.99</v>
      </c>
      <c r="J1132" s="5">
        <f>PRODUCT(Sales[[#This Row],[Quantity Sold]],Sales[[#This Row],[Unit Selling Price (CAD)]])</f>
        <v>230.23000000000002</v>
      </c>
    </row>
    <row r="1133" spans="1:10">
      <c r="A1133" t="s">
        <v>1581</v>
      </c>
      <c r="B1133" s="2">
        <v>46173</v>
      </c>
      <c r="C1133" t="s">
        <v>411</v>
      </c>
      <c r="D1133" t="s">
        <v>412</v>
      </c>
      <c r="E1133" t="str">
        <f>_xlfn.XLOOKUP(Sales[[#This Row],[Product Name]],Products[Product Name],Products[Category])</f>
        <v>Combo Meals</v>
      </c>
      <c r="F1133" t="s">
        <v>447</v>
      </c>
      <c r="G1133" t="s">
        <v>450</v>
      </c>
      <c r="H1133">
        <v>39</v>
      </c>
      <c r="I1133" s="5">
        <f>_xlfn.XLOOKUP(Sales[[#This Row],[Product Name]],Products[Product Name],Products[Selling Price (CAD)])</f>
        <v>10.99</v>
      </c>
      <c r="J1133" s="5">
        <f>PRODUCT(Sales[[#This Row],[Quantity Sold]],Sales[[#This Row],[Unit Selling Price (CAD)]])</f>
        <v>428.61</v>
      </c>
    </row>
    <row r="1134" spans="1:10">
      <c r="A1134" t="s">
        <v>1582</v>
      </c>
      <c r="B1134" s="2">
        <v>46173</v>
      </c>
      <c r="C1134" t="s">
        <v>103</v>
      </c>
      <c r="D1134" t="s">
        <v>104</v>
      </c>
      <c r="E1134" t="str">
        <f>_xlfn.XLOOKUP(Sales[[#This Row],[Product Name]],Products[Product Name],Products[Category])</f>
        <v>Chicken</v>
      </c>
      <c r="F1134" t="s">
        <v>447</v>
      </c>
      <c r="G1134" t="s">
        <v>450</v>
      </c>
      <c r="H1134">
        <v>60</v>
      </c>
      <c r="I1134" s="5">
        <f>_xlfn.XLOOKUP(Sales[[#This Row],[Product Name]],Products[Product Name],Products[Selling Price (CAD)])</f>
        <v>7.99</v>
      </c>
      <c r="J1134" s="5">
        <f>PRODUCT(Sales[[#This Row],[Quantity Sold]],Sales[[#This Row],[Unit Selling Price (CAD)]])</f>
        <v>479.40000000000003</v>
      </c>
    </row>
    <row r="1135" spans="1:10">
      <c r="A1135" t="s">
        <v>1583</v>
      </c>
      <c r="B1135" s="2">
        <v>46173</v>
      </c>
      <c r="C1135" t="s">
        <v>54</v>
      </c>
      <c r="D1135" t="s">
        <v>55</v>
      </c>
      <c r="E1135" t="str">
        <f>_xlfn.XLOOKUP(Sales[[#This Row],[Product Name]],Products[Product Name],Products[Category])</f>
        <v>Burgers</v>
      </c>
      <c r="F1135" t="s">
        <v>444</v>
      </c>
      <c r="G1135" t="s">
        <v>445</v>
      </c>
      <c r="H1135">
        <v>80</v>
      </c>
      <c r="I1135" s="5">
        <f>_xlfn.XLOOKUP(Sales[[#This Row],[Product Name]],Products[Product Name],Products[Selling Price (CAD)])</f>
        <v>8.99</v>
      </c>
      <c r="J1135" s="5">
        <f>PRODUCT(Sales[[#This Row],[Quantity Sold]],Sales[[#This Row],[Unit Selling Price (CAD)]])</f>
        <v>719.2</v>
      </c>
    </row>
    <row r="1136" spans="1:10">
      <c r="A1136" t="s">
        <v>1584</v>
      </c>
      <c r="B1136" s="2">
        <v>46173</v>
      </c>
      <c r="C1136" t="s">
        <v>101</v>
      </c>
      <c r="D1136" t="s">
        <v>102</v>
      </c>
      <c r="E1136" t="str">
        <f>_xlfn.XLOOKUP(Sales[[#This Row],[Product Name]],Products[Product Name],Products[Category])</f>
        <v>Chicken</v>
      </c>
      <c r="F1136" t="s">
        <v>444</v>
      </c>
      <c r="G1136" t="s">
        <v>450</v>
      </c>
      <c r="H1136">
        <v>54</v>
      </c>
      <c r="I1136" s="5">
        <f>_xlfn.XLOOKUP(Sales[[#This Row],[Product Name]],Products[Product Name],Products[Selling Price (CAD)])</f>
        <v>7.99</v>
      </c>
      <c r="J1136" s="5">
        <f>PRODUCT(Sales[[#This Row],[Quantity Sold]],Sales[[#This Row],[Unit Selling Price (CAD)]])</f>
        <v>431.46000000000004</v>
      </c>
    </row>
    <row r="1137" spans="1:10">
      <c r="A1137" t="s">
        <v>1585</v>
      </c>
      <c r="B1137" s="2">
        <v>46173</v>
      </c>
      <c r="C1137" t="s">
        <v>103</v>
      </c>
      <c r="D1137" t="s">
        <v>104</v>
      </c>
      <c r="E1137" t="str">
        <f>_xlfn.XLOOKUP(Sales[[#This Row],[Product Name]],Products[Product Name],Products[Category])</f>
        <v>Chicken</v>
      </c>
      <c r="F1137" t="s">
        <v>449</v>
      </c>
      <c r="G1137" t="s">
        <v>450</v>
      </c>
      <c r="H1137">
        <v>57</v>
      </c>
      <c r="I1137" s="5">
        <f>_xlfn.XLOOKUP(Sales[[#This Row],[Product Name]],Products[Product Name],Products[Selling Price (CAD)])</f>
        <v>7.99</v>
      </c>
      <c r="J1137" s="5">
        <f>PRODUCT(Sales[[#This Row],[Quantity Sold]],Sales[[#This Row],[Unit Selling Price (CAD)]])</f>
        <v>455.43</v>
      </c>
    </row>
    <row r="1138" spans="1:10">
      <c r="A1138" t="s">
        <v>1586</v>
      </c>
      <c r="B1138" s="2">
        <v>46173</v>
      </c>
      <c r="C1138" t="s">
        <v>147</v>
      </c>
      <c r="D1138" t="s">
        <v>148</v>
      </c>
      <c r="E1138" t="str">
        <f>_xlfn.XLOOKUP(Sales[[#This Row],[Product Name]],Products[Product Name],Products[Category])</f>
        <v>Breakfast</v>
      </c>
      <c r="F1138" t="s">
        <v>444</v>
      </c>
      <c r="G1138" t="s">
        <v>450</v>
      </c>
      <c r="H1138">
        <v>69</v>
      </c>
      <c r="I1138" s="5">
        <f>_xlfn.XLOOKUP(Sales[[#This Row],[Product Name]],Products[Product Name],Products[Selling Price (CAD)])</f>
        <v>4.99</v>
      </c>
      <c r="J1138" s="5">
        <f>PRODUCT(Sales[[#This Row],[Quantity Sold]],Sales[[#This Row],[Unit Selling Price (CAD)]])</f>
        <v>344.31</v>
      </c>
    </row>
    <row r="1139" spans="1:10">
      <c r="A1139" t="s">
        <v>1587</v>
      </c>
      <c r="B1139" s="2">
        <v>46173</v>
      </c>
      <c r="C1139" t="s">
        <v>341</v>
      </c>
      <c r="D1139" t="s">
        <v>342</v>
      </c>
      <c r="E1139" t="str">
        <f>_xlfn.XLOOKUP(Sales[[#This Row],[Product Name]],Products[Product Name],Products[Category])</f>
        <v>Desserts</v>
      </c>
      <c r="F1139" t="s">
        <v>449</v>
      </c>
      <c r="G1139" t="s">
        <v>445</v>
      </c>
      <c r="H1139">
        <v>74</v>
      </c>
      <c r="I1139" s="5">
        <f>_xlfn.XLOOKUP(Sales[[#This Row],[Product Name]],Products[Product Name],Products[Selling Price (CAD)])</f>
        <v>1.49</v>
      </c>
      <c r="J1139" s="5">
        <f>PRODUCT(Sales[[#This Row],[Quantity Sold]],Sales[[#This Row],[Unit Selling Price (CAD)]])</f>
        <v>110.26</v>
      </c>
    </row>
    <row r="1140" spans="1:10">
      <c r="A1140" t="s">
        <v>1588</v>
      </c>
      <c r="B1140" s="2">
        <v>46174</v>
      </c>
      <c r="C1140" t="s">
        <v>60</v>
      </c>
      <c r="D1140" t="s">
        <v>61</v>
      </c>
      <c r="E1140" t="str">
        <f>_xlfn.XLOOKUP(Sales[[#This Row],[Product Name]],Products[Product Name],Products[Category])</f>
        <v>Burgers</v>
      </c>
      <c r="F1140" t="s">
        <v>444</v>
      </c>
      <c r="G1140" t="s">
        <v>450</v>
      </c>
      <c r="H1140">
        <v>67</v>
      </c>
      <c r="I1140" s="5">
        <f>_xlfn.XLOOKUP(Sales[[#This Row],[Product Name]],Products[Product Name],Products[Selling Price (CAD)])</f>
        <v>6.99</v>
      </c>
      <c r="J1140" s="5">
        <f>PRODUCT(Sales[[#This Row],[Quantity Sold]],Sales[[#This Row],[Unit Selling Price (CAD)]])</f>
        <v>468.33000000000004</v>
      </c>
    </row>
    <row r="1141" spans="1:10">
      <c r="A1141" t="s">
        <v>1589</v>
      </c>
      <c r="B1141" s="2">
        <v>46174</v>
      </c>
      <c r="C1141" t="s">
        <v>58</v>
      </c>
      <c r="D1141" t="s">
        <v>59</v>
      </c>
      <c r="E1141" t="str">
        <f>_xlfn.XLOOKUP(Sales[[#This Row],[Product Name]],Products[Product Name],Products[Category])</f>
        <v>Burgers</v>
      </c>
      <c r="F1141" t="s">
        <v>444</v>
      </c>
      <c r="G1141" t="s">
        <v>450</v>
      </c>
      <c r="H1141">
        <v>55</v>
      </c>
      <c r="I1141" s="5">
        <f>_xlfn.XLOOKUP(Sales[[#This Row],[Product Name]],Products[Product Name],Products[Selling Price (CAD)])</f>
        <v>8.49</v>
      </c>
      <c r="J1141" s="5">
        <f>PRODUCT(Sales[[#This Row],[Quantity Sold]],Sales[[#This Row],[Unit Selling Price (CAD)]])</f>
        <v>466.95</v>
      </c>
    </row>
    <row r="1142" spans="1:10">
      <c r="A1142" t="s">
        <v>1590</v>
      </c>
      <c r="B1142" s="2">
        <v>46174</v>
      </c>
      <c r="C1142" t="s">
        <v>32</v>
      </c>
      <c r="D1142" t="s">
        <v>33</v>
      </c>
      <c r="E1142" t="str">
        <f>_xlfn.XLOOKUP(Sales[[#This Row],[Product Name]],Products[Product Name],Products[Category])</f>
        <v>Burgers</v>
      </c>
      <c r="F1142" t="s">
        <v>449</v>
      </c>
      <c r="G1142" t="s">
        <v>450</v>
      </c>
      <c r="H1142">
        <v>44</v>
      </c>
      <c r="I1142" s="5">
        <f>_xlfn.XLOOKUP(Sales[[#This Row],[Product Name]],Products[Product Name],Products[Selling Price (CAD)])</f>
        <v>9.99</v>
      </c>
      <c r="J1142" s="5">
        <f>PRODUCT(Sales[[#This Row],[Quantity Sold]],Sales[[#This Row],[Unit Selling Price (CAD)]])</f>
        <v>439.56</v>
      </c>
    </row>
    <row r="1143" spans="1:10">
      <c r="A1143" t="s">
        <v>1591</v>
      </c>
      <c r="B1143" s="2">
        <v>46174</v>
      </c>
      <c r="C1143" t="s">
        <v>402</v>
      </c>
      <c r="D1143" t="s">
        <v>403</v>
      </c>
      <c r="E1143" t="str">
        <f>_xlfn.XLOOKUP(Sales[[#This Row],[Product Name]],Products[Product Name],Products[Category])</f>
        <v>Sauces &amp; Add-ons</v>
      </c>
      <c r="F1143" t="s">
        <v>444</v>
      </c>
      <c r="G1143" t="s">
        <v>450</v>
      </c>
      <c r="H1143">
        <v>80</v>
      </c>
      <c r="I1143" s="5">
        <f>_xlfn.XLOOKUP(Sales[[#This Row],[Product Name]],Products[Product Name],Products[Selling Price (CAD)])</f>
        <v>1.49</v>
      </c>
      <c r="J1143" s="5">
        <f>PRODUCT(Sales[[#This Row],[Quantity Sold]],Sales[[#This Row],[Unit Selling Price (CAD)]])</f>
        <v>119.2</v>
      </c>
    </row>
    <row r="1144" spans="1:10">
      <c r="A1144" t="s">
        <v>1592</v>
      </c>
      <c r="B1144" s="2">
        <v>46174</v>
      </c>
      <c r="C1144" t="s">
        <v>259</v>
      </c>
      <c r="D1144" t="s">
        <v>260</v>
      </c>
      <c r="E1144" t="str">
        <f>_xlfn.XLOOKUP(Sales[[#This Row],[Product Name]],Products[Product Name],Products[Category])</f>
        <v>Beverages</v>
      </c>
      <c r="F1144" t="s">
        <v>447</v>
      </c>
      <c r="G1144" t="s">
        <v>450</v>
      </c>
      <c r="H1144">
        <v>69</v>
      </c>
      <c r="I1144" s="5">
        <f>_xlfn.XLOOKUP(Sales[[#This Row],[Product Name]],Products[Product Name],Products[Selling Price (CAD)])</f>
        <v>1.99</v>
      </c>
      <c r="J1144" s="5">
        <f>PRODUCT(Sales[[#This Row],[Quantity Sold]],Sales[[#This Row],[Unit Selling Price (CAD)]])</f>
        <v>137.31</v>
      </c>
    </row>
    <row r="1145" spans="1:10">
      <c r="A1145" t="s">
        <v>1593</v>
      </c>
      <c r="B1145" s="2">
        <v>46174</v>
      </c>
      <c r="C1145" t="s">
        <v>173</v>
      </c>
      <c r="D1145" t="s">
        <v>174</v>
      </c>
      <c r="E1145" t="str">
        <f>_xlfn.XLOOKUP(Sales[[#This Row],[Product Name]],Products[Product Name],Products[Category])</f>
        <v>Breakfast</v>
      </c>
      <c r="F1145" t="s">
        <v>444</v>
      </c>
      <c r="G1145" t="s">
        <v>450</v>
      </c>
      <c r="H1145">
        <v>72</v>
      </c>
      <c r="I1145" s="5">
        <f>_xlfn.XLOOKUP(Sales[[#This Row],[Product Name]],Products[Product Name],Products[Selling Price (CAD)])</f>
        <v>6.99</v>
      </c>
      <c r="J1145" s="5">
        <f>PRODUCT(Sales[[#This Row],[Quantity Sold]],Sales[[#This Row],[Unit Selling Price (CAD)]])</f>
        <v>503.28000000000003</v>
      </c>
    </row>
    <row r="1146" spans="1:10">
      <c r="A1146" t="s">
        <v>1594</v>
      </c>
      <c r="B1146" s="2">
        <v>46174</v>
      </c>
      <c r="C1146" t="s">
        <v>175</v>
      </c>
      <c r="D1146" t="s">
        <v>176</v>
      </c>
      <c r="E1146" t="str">
        <f>_xlfn.XLOOKUP(Sales[[#This Row],[Product Name]],Products[Product Name],Products[Category])</f>
        <v>Breakfast</v>
      </c>
      <c r="F1146" t="s">
        <v>449</v>
      </c>
      <c r="G1146" t="s">
        <v>454</v>
      </c>
      <c r="H1146">
        <v>73</v>
      </c>
      <c r="I1146" s="5">
        <f>_xlfn.XLOOKUP(Sales[[#This Row],[Product Name]],Products[Product Name],Products[Selling Price (CAD)])</f>
        <v>6.99</v>
      </c>
      <c r="J1146" s="5">
        <f>PRODUCT(Sales[[#This Row],[Quantity Sold]],Sales[[#This Row],[Unit Selling Price (CAD)]])</f>
        <v>510.27000000000004</v>
      </c>
    </row>
    <row r="1147" spans="1:10">
      <c r="A1147" t="s">
        <v>1595</v>
      </c>
      <c r="B1147" s="2">
        <v>46174</v>
      </c>
      <c r="C1147" t="s">
        <v>56</v>
      </c>
      <c r="D1147" t="s">
        <v>57</v>
      </c>
      <c r="E1147" t="str">
        <f>_xlfn.XLOOKUP(Sales[[#This Row],[Product Name]],Products[Product Name],Products[Category])</f>
        <v>Burgers</v>
      </c>
      <c r="F1147" t="s">
        <v>447</v>
      </c>
      <c r="G1147" t="s">
        <v>450</v>
      </c>
      <c r="H1147">
        <v>70</v>
      </c>
      <c r="I1147" s="5">
        <f>_xlfn.XLOOKUP(Sales[[#This Row],[Product Name]],Products[Product Name],Products[Selling Price (CAD)])</f>
        <v>6.49</v>
      </c>
      <c r="J1147" s="5">
        <f>PRODUCT(Sales[[#This Row],[Quantity Sold]],Sales[[#This Row],[Unit Selling Price (CAD)]])</f>
        <v>454.3</v>
      </c>
    </row>
    <row r="1148" spans="1:10">
      <c r="A1148" t="s">
        <v>1596</v>
      </c>
      <c r="B1148" s="2">
        <v>46174</v>
      </c>
      <c r="C1148" t="s">
        <v>407</v>
      </c>
      <c r="D1148" t="s">
        <v>408</v>
      </c>
      <c r="E1148" t="str">
        <f>_xlfn.XLOOKUP(Sales[[#This Row],[Product Name]],Products[Product Name],Products[Category])</f>
        <v>Combo Meals</v>
      </c>
      <c r="F1148" t="s">
        <v>444</v>
      </c>
      <c r="G1148" t="s">
        <v>450</v>
      </c>
      <c r="H1148">
        <v>45</v>
      </c>
      <c r="I1148" s="5">
        <f>_xlfn.XLOOKUP(Sales[[#This Row],[Product Name]],Products[Product Name],Products[Selling Price (CAD)])</f>
        <v>10.99</v>
      </c>
      <c r="J1148" s="5">
        <f>PRODUCT(Sales[[#This Row],[Quantity Sold]],Sales[[#This Row],[Unit Selling Price (CAD)]])</f>
        <v>494.55</v>
      </c>
    </row>
    <row r="1149" spans="1:10">
      <c r="A1149" t="s">
        <v>1597</v>
      </c>
      <c r="B1149" s="2">
        <v>46174</v>
      </c>
      <c r="C1149" t="s">
        <v>407</v>
      </c>
      <c r="D1149" t="s">
        <v>408</v>
      </c>
      <c r="E1149" t="str">
        <f>_xlfn.XLOOKUP(Sales[[#This Row],[Product Name]],Products[Product Name],Products[Category])</f>
        <v>Combo Meals</v>
      </c>
      <c r="F1149" t="s">
        <v>444</v>
      </c>
      <c r="G1149" t="s">
        <v>452</v>
      </c>
      <c r="H1149">
        <v>66</v>
      </c>
      <c r="I1149" s="5">
        <f>_xlfn.XLOOKUP(Sales[[#This Row],[Product Name]],Products[Product Name],Products[Selling Price (CAD)])</f>
        <v>10.99</v>
      </c>
      <c r="J1149" s="5">
        <f>PRODUCT(Sales[[#This Row],[Quantity Sold]],Sales[[#This Row],[Unit Selling Price (CAD)]])</f>
        <v>725.34</v>
      </c>
    </row>
    <row r="1150" spans="1:10">
      <c r="A1150" t="s">
        <v>1598</v>
      </c>
      <c r="B1150" s="2">
        <v>46175</v>
      </c>
      <c r="C1150" t="s">
        <v>269</v>
      </c>
      <c r="D1150" t="s">
        <v>270</v>
      </c>
      <c r="E1150" t="str">
        <f>_xlfn.XLOOKUP(Sales[[#This Row],[Product Name]],Products[Product Name],Products[Category])</f>
        <v>Beverages</v>
      </c>
      <c r="F1150" t="s">
        <v>444</v>
      </c>
      <c r="G1150" t="s">
        <v>450</v>
      </c>
      <c r="H1150">
        <v>37</v>
      </c>
      <c r="I1150" s="5">
        <f>_xlfn.XLOOKUP(Sales[[#This Row],[Product Name]],Products[Product Name],Products[Selling Price (CAD)])</f>
        <v>2.99</v>
      </c>
      <c r="J1150" s="5">
        <f>PRODUCT(Sales[[#This Row],[Quantity Sold]],Sales[[#This Row],[Unit Selling Price (CAD)]])</f>
        <v>110.63000000000001</v>
      </c>
    </row>
    <row r="1151" spans="1:10">
      <c r="A1151" t="s">
        <v>1599</v>
      </c>
      <c r="B1151" s="2">
        <v>46175</v>
      </c>
      <c r="C1151" t="s">
        <v>131</v>
      </c>
      <c r="D1151" t="s">
        <v>132</v>
      </c>
      <c r="E1151" t="str">
        <f>_xlfn.XLOOKUP(Sales[[#This Row],[Product Name]],Products[Product Name],Products[Category])</f>
        <v>Chicken</v>
      </c>
      <c r="F1151" t="s">
        <v>449</v>
      </c>
      <c r="G1151" t="s">
        <v>450</v>
      </c>
      <c r="H1151">
        <v>80</v>
      </c>
      <c r="I1151" s="5">
        <f>_xlfn.XLOOKUP(Sales[[#This Row],[Product Name]],Products[Product Name],Products[Selling Price (CAD)])</f>
        <v>8.99</v>
      </c>
      <c r="J1151" s="5">
        <f>PRODUCT(Sales[[#This Row],[Quantity Sold]],Sales[[#This Row],[Unit Selling Price (CAD)]])</f>
        <v>719.2</v>
      </c>
    </row>
    <row r="1152" spans="1:10">
      <c r="A1152" t="s">
        <v>1600</v>
      </c>
      <c r="B1152" s="2">
        <v>46175</v>
      </c>
      <c r="C1152" t="s">
        <v>169</v>
      </c>
      <c r="D1152" t="s">
        <v>170</v>
      </c>
      <c r="E1152" t="str">
        <f>_xlfn.XLOOKUP(Sales[[#This Row],[Product Name]],Products[Product Name],Products[Category])</f>
        <v>Breakfast</v>
      </c>
      <c r="F1152" t="s">
        <v>447</v>
      </c>
      <c r="G1152" t="s">
        <v>452</v>
      </c>
      <c r="H1152">
        <v>49</v>
      </c>
      <c r="I1152" s="5">
        <f>_xlfn.XLOOKUP(Sales[[#This Row],[Product Name]],Products[Product Name],Products[Selling Price (CAD)])</f>
        <v>2.99</v>
      </c>
      <c r="J1152" s="5">
        <f>PRODUCT(Sales[[#This Row],[Quantity Sold]],Sales[[#This Row],[Unit Selling Price (CAD)]])</f>
        <v>146.51000000000002</v>
      </c>
    </row>
    <row r="1153" spans="1:10">
      <c r="A1153" t="s">
        <v>1601</v>
      </c>
      <c r="B1153" s="2">
        <v>46175</v>
      </c>
      <c r="C1153" t="s">
        <v>58</v>
      </c>
      <c r="D1153" t="s">
        <v>59</v>
      </c>
      <c r="E1153" t="str">
        <f>_xlfn.XLOOKUP(Sales[[#This Row],[Product Name]],Products[Product Name],Products[Category])</f>
        <v>Burgers</v>
      </c>
      <c r="F1153" t="s">
        <v>444</v>
      </c>
      <c r="G1153" t="s">
        <v>450</v>
      </c>
      <c r="H1153">
        <v>100</v>
      </c>
      <c r="I1153" s="5">
        <f>_xlfn.XLOOKUP(Sales[[#This Row],[Product Name]],Products[Product Name],Products[Selling Price (CAD)])</f>
        <v>8.49</v>
      </c>
      <c r="J1153" s="5">
        <f>PRODUCT(Sales[[#This Row],[Quantity Sold]],Sales[[#This Row],[Unit Selling Price (CAD)]])</f>
        <v>849</v>
      </c>
    </row>
    <row r="1154" spans="1:10">
      <c r="A1154" t="s">
        <v>1602</v>
      </c>
      <c r="B1154" s="2">
        <v>46175</v>
      </c>
      <c r="C1154" t="s">
        <v>60</v>
      </c>
      <c r="D1154" t="s">
        <v>61</v>
      </c>
      <c r="E1154" t="str">
        <f>_xlfn.XLOOKUP(Sales[[#This Row],[Product Name]],Products[Product Name],Products[Category])</f>
        <v>Burgers</v>
      </c>
      <c r="F1154" t="s">
        <v>449</v>
      </c>
      <c r="G1154" t="s">
        <v>445</v>
      </c>
      <c r="H1154">
        <v>74</v>
      </c>
      <c r="I1154" s="5">
        <f>_xlfn.XLOOKUP(Sales[[#This Row],[Product Name]],Products[Product Name],Products[Selling Price (CAD)])</f>
        <v>6.99</v>
      </c>
      <c r="J1154" s="5">
        <f>PRODUCT(Sales[[#This Row],[Quantity Sold]],Sales[[#This Row],[Unit Selling Price (CAD)]])</f>
        <v>517.26</v>
      </c>
    </row>
    <row r="1155" spans="1:10">
      <c r="A1155" t="s">
        <v>1603</v>
      </c>
      <c r="B1155" s="2">
        <v>46175</v>
      </c>
      <c r="C1155" t="s">
        <v>201</v>
      </c>
      <c r="D1155" t="s">
        <v>202</v>
      </c>
      <c r="E1155" t="str">
        <f>_xlfn.XLOOKUP(Sales[[#This Row],[Product Name]],Products[Product Name],Products[Category])</f>
        <v>Sides</v>
      </c>
      <c r="F1155" t="s">
        <v>447</v>
      </c>
      <c r="G1155" t="s">
        <v>452</v>
      </c>
      <c r="H1155">
        <v>70</v>
      </c>
      <c r="I1155" s="5">
        <f>_xlfn.XLOOKUP(Sales[[#This Row],[Product Name]],Products[Product Name],Products[Selling Price (CAD)])</f>
        <v>3.99</v>
      </c>
      <c r="J1155" s="5">
        <f>PRODUCT(Sales[[#This Row],[Quantity Sold]],Sales[[#This Row],[Unit Selling Price (CAD)]])</f>
        <v>279.3</v>
      </c>
    </row>
    <row r="1156" spans="1:10">
      <c r="A1156" t="s">
        <v>1604</v>
      </c>
      <c r="B1156" s="2">
        <v>46176</v>
      </c>
      <c r="C1156" t="s">
        <v>66</v>
      </c>
      <c r="D1156" t="s">
        <v>67</v>
      </c>
      <c r="E1156" t="str">
        <f>_xlfn.XLOOKUP(Sales[[#This Row],[Product Name]],Products[Product Name],Products[Category])</f>
        <v>Burgers</v>
      </c>
      <c r="F1156" t="s">
        <v>444</v>
      </c>
      <c r="G1156" t="s">
        <v>445</v>
      </c>
      <c r="H1156">
        <v>100</v>
      </c>
      <c r="I1156" s="5">
        <f>_xlfn.XLOOKUP(Sales[[#This Row],[Product Name]],Products[Product Name],Products[Selling Price (CAD)])</f>
        <v>8.49</v>
      </c>
      <c r="J1156" s="5">
        <f>PRODUCT(Sales[[#This Row],[Quantity Sold]],Sales[[#This Row],[Unit Selling Price (CAD)]])</f>
        <v>849</v>
      </c>
    </row>
    <row r="1157" spans="1:10">
      <c r="A1157" t="s">
        <v>1605</v>
      </c>
      <c r="B1157" s="2">
        <v>46176</v>
      </c>
      <c r="C1157" t="s">
        <v>259</v>
      </c>
      <c r="D1157" t="s">
        <v>260</v>
      </c>
      <c r="E1157" t="str">
        <f>_xlfn.XLOOKUP(Sales[[#This Row],[Product Name]],Products[Product Name],Products[Category])</f>
        <v>Beverages</v>
      </c>
      <c r="F1157" t="s">
        <v>444</v>
      </c>
      <c r="G1157" t="s">
        <v>450</v>
      </c>
      <c r="H1157">
        <v>41</v>
      </c>
      <c r="I1157" s="5">
        <f>_xlfn.XLOOKUP(Sales[[#This Row],[Product Name]],Products[Product Name],Products[Selling Price (CAD)])</f>
        <v>1.99</v>
      </c>
      <c r="J1157" s="5">
        <f>PRODUCT(Sales[[#This Row],[Quantity Sold]],Sales[[#This Row],[Unit Selling Price (CAD)]])</f>
        <v>81.59</v>
      </c>
    </row>
    <row r="1158" spans="1:10">
      <c r="A1158" t="s">
        <v>1606</v>
      </c>
      <c r="B1158" s="2">
        <v>46176</v>
      </c>
      <c r="C1158" t="s">
        <v>415</v>
      </c>
      <c r="D1158" t="s">
        <v>416</v>
      </c>
      <c r="E1158" t="str">
        <f>_xlfn.XLOOKUP(Sales[[#This Row],[Product Name]],Products[Product Name],Products[Category])</f>
        <v>Combo Meals</v>
      </c>
      <c r="F1158" t="s">
        <v>444</v>
      </c>
      <c r="G1158" t="s">
        <v>454</v>
      </c>
      <c r="H1158">
        <v>73</v>
      </c>
      <c r="I1158" s="5">
        <f>_xlfn.XLOOKUP(Sales[[#This Row],[Product Name]],Products[Product Name],Products[Selling Price (CAD)])</f>
        <v>9.99</v>
      </c>
      <c r="J1158" s="5">
        <f>PRODUCT(Sales[[#This Row],[Quantity Sold]],Sales[[#This Row],[Unit Selling Price (CAD)]])</f>
        <v>729.27</v>
      </c>
    </row>
    <row r="1159" spans="1:10">
      <c r="A1159" t="s">
        <v>1607</v>
      </c>
      <c r="B1159" s="2">
        <v>46176</v>
      </c>
      <c r="C1159" t="s">
        <v>46</v>
      </c>
      <c r="D1159" t="s">
        <v>47</v>
      </c>
      <c r="E1159" t="str">
        <f>_xlfn.XLOOKUP(Sales[[#This Row],[Product Name]],Products[Product Name],Products[Category])</f>
        <v>Burgers</v>
      </c>
      <c r="F1159" t="s">
        <v>447</v>
      </c>
      <c r="G1159" t="s">
        <v>450</v>
      </c>
      <c r="H1159">
        <v>42</v>
      </c>
      <c r="I1159" s="5">
        <f>_xlfn.XLOOKUP(Sales[[#This Row],[Product Name]],Products[Product Name],Products[Selling Price (CAD)])</f>
        <v>8.49</v>
      </c>
      <c r="J1159" s="5">
        <f>PRODUCT(Sales[[#This Row],[Quantity Sold]],Sales[[#This Row],[Unit Selling Price (CAD)]])</f>
        <v>356.58</v>
      </c>
    </row>
    <row r="1160" spans="1:10">
      <c r="A1160" t="s">
        <v>1608</v>
      </c>
      <c r="B1160" s="2">
        <v>46176</v>
      </c>
      <c r="C1160" t="s">
        <v>95</v>
      </c>
      <c r="D1160" t="s">
        <v>96</v>
      </c>
      <c r="E1160" t="str">
        <f>_xlfn.XLOOKUP(Sales[[#This Row],[Product Name]],Products[Product Name],Products[Category])</f>
        <v>Chicken</v>
      </c>
      <c r="F1160" t="s">
        <v>447</v>
      </c>
      <c r="G1160" t="s">
        <v>452</v>
      </c>
      <c r="H1160">
        <v>100</v>
      </c>
      <c r="I1160" s="5">
        <f>_xlfn.XLOOKUP(Sales[[#This Row],[Product Name]],Products[Product Name],Products[Selling Price (CAD)])</f>
        <v>7.49</v>
      </c>
      <c r="J1160" s="5">
        <f>PRODUCT(Sales[[#This Row],[Quantity Sold]],Sales[[#This Row],[Unit Selling Price (CAD)]])</f>
        <v>749</v>
      </c>
    </row>
    <row r="1161" spans="1:10">
      <c r="A1161" t="s">
        <v>1609</v>
      </c>
      <c r="B1161" s="2">
        <v>46176</v>
      </c>
      <c r="C1161" t="s">
        <v>255</v>
      </c>
      <c r="D1161" t="s">
        <v>256</v>
      </c>
      <c r="E1161" t="str">
        <f>_xlfn.XLOOKUP(Sales[[#This Row],[Product Name]],Products[Product Name],Products[Category])</f>
        <v>Beverages</v>
      </c>
      <c r="F1161" t="s">
        <v>447</v>
      </c>
      <c r="G1161" t="s">
        <v>445</v>
      </c>
      <c r="H1161">
        <v>36</v>
      </c>
      <c r="I1161" s="5">
        <f>_xlfn.XLOOKUP(Sales[[#This Row],[Product Name]],Products[Product Name],Products[Selling Price (CAD)])</f>
        <v>2.99</v>
      </c>
      <c r="J1161" s="5">
        <f>PRODUCT(Sales[[#This Row],[Quantity Sold]],Sales[[#This Row],[Unit Selling Price (CAD)]])</f>
        <v>107.64000000000001</v>
      </c>
    </row>
    <row r="1162" spans="1:10">
      <c r="A1162" t="s">
        <v>1610</v>
      </c>
      <c r="B1162" s="2">
        <v>46176</v>
      </c>
      <c r="C1162" t="s">
        <v>147</v>
      </c>
      <c r="D1162" t="s">
        <v>148</v>
      </c>
      <c r="E1162" t="str">
        <f>_xlfn.XLOOKUP(Sales[[#This Row],[Product Name]],Products[Product Name],Products[Category])</f>
        <v>Breakfast</v>
      </c>
      <c r="F1162" t="s">
        <v>449</v>
      </c>
      <c r="G1162" t="s">
        <v>452</v>
      </c>
      <c r="H1162">
        <v>120</v>
      </c>
      <c r="I1162" s="5">
        <f>_xlfn.XLOOKUP(Sales[[#This Row],[Product Name]],Products[Product Name],Products[Selling Price (CAD)])</f>
        <v>4.99</v>
      </c>
      <c r="J1162" s="5">
        <f>PRODUCT(Sales[[#This Row],[Quantity Sold]],Sales[[#This Row],[Unit Selling Price (CAD)]])</f>
        <v>598.80000000000007</v>
      </c>
    </row>
    <row r="1163" spans="1:10">
      <c r="A1163" t="s">
        <v>1611</v>
      </c>
      <c r="B1163" s="2">
        <v>46177</v>
      </c>
      <c r="C1163" t="s">
        <v>243</v>
      </c>
      <c r="D1163" t="s">
        <v>244</v>
      </c>
      <c r="E1163" t="str">
        <f>_xlfn.XLOOKUP(Sales[[#This Row],[Product Name]],Products[Product Name],Products[Category])</f>
        <v>Salads</v>
      </c>
      <c r="F1163" t="s">
        <v>444</v>
      </c>
      <c r="G1163" t="s">
        <v>452</v>
      </c>
      <c r="H1163">
        <v>38</v>
      </c>
      <c r="I1163" s="5">
        <f>_xlfn.XLOOKUP(Sales[[#This Row],[Product Name]],Products[Product Name],Products[Selling Price (CAD)])</f>
        <v>6.99</v>
      </c>
      <c r="J1163" s="5">
        <f>PRODUCT(Sales[[#This Row],[Quantity Sold]],Sales[[#This Row],[Unit Selling Price (CAD)]])</f>
        <v>265.62</v>
      </c>
    </row>
    <row r="1164" spans="1:10">
      <c r="A1164" t="s">
        <v>1612</v>
      </c>
      <c r="B1164" s="2">
        <v>46177</v>
      </c>
      <c r="C1164" t="s">
        <v>68</v>
      </c>
      <c r="D1164" t="s">
        <v>69</v>
      </c>
      <c r="E1164" t="str">
        <f>_xlfn.XLOOKUP(Sales[[#This Row],[Product Name]],Products[Product Name],Products[Category])</f>
        <v>Burgers</v>
      </c>
      <c r="F1164" t="s">
        <v>449</v>
      </c>
      <c r="G1164" t="s">
        <v>450</v>
      </c>
      <c r="H1164">
        <v>150</v>
      </c>
      <c r="I1164" s="5">
        <f>_xlfn.XLOOKUP(Sales[[#This Row],[Product Name]],Products[Product Name],Products[Selling Price (CAD)])</f>
        <v>6.99</v>
      </c>
      <c r="J1164" s="5">
        <f>PRODUCT(Sales[[#This Row],[Quantity Sold]],Sales[[#This Row],[Unit Selling Price (CAD)]])</f>
        <v>1048.5</v>
      </c>
    </row>
    <row r="1165" spans="1:10">
      <c r="A1165" t="s">
        <v>1613</v>
      </c>
      <c r="B1165" s="2">
        <v>46177</v>
      </c>
      <c r="C1165" t="s">
        <v>317</v>
      </c>
      <c r="D1165" t="s">
        <v>318</v>
      </c>
      <c r="E1165" t="str">
        <f>_xlfn.XLOOKUP(Sales[[#This Row],[Product Name]],Products[Product Name],Products[Category])</f>
        <v>Beverages</v>
      </c>
      <c r="F1165" t="s">
        <v>449</v>
      </c>
      <c r="G1165" t="s">
        <v>450</v>
      </c>
      <c r="H1165">
        <v>64</v>
      </c>
      <c r="I1165" s="5">
        <f>_xlfn.XLOOKUP(Sales[[#This Row],[Product Name]],Products[Product Name],Products[Selling Price (CAD)])</f>
        <v>3.99</v>
      </c>
      <c r="J1165" s="5">
        <f>PRODUCT(Sales[[#This Row],[Quantity Sold]],Sales[[#This Row],[Unit Selling Price (CAD)]])</f>
        <v>255.36</v>
      </c>
    </row>
    <row r="1166" spans="1:10">
      <c r="A1166" t="s">
        <v>1614</v>
      </c>
      <c r="B1166" s="2">
        <v>46177</v>
      </c>
      <c r="C1166" t="s">
        <v>313</v>
      </c>
      <c r="D1166" t="s">
        <v>314</v>
      </c>
      <c r="E1166" t="str">
        <f>_xlfn.XLOOKUP(Sales[[#This Row],[Product Name]],Products[Product Name],Products[Category])</f>
        <v>Beverages</v>
      </c>
      <c r="F1166" t="s">
        <v>447</v>
      </c>
      <c r="G1166" t="s">
        <v>450</v>
      </c>
      <c r="H1166">
        <v>90</v>
      </c>
      <c r="I1166" s="5">
        <f>_xlfn.XLOOKUP(Sales[[#This Row],[Product Name]],Products[Product Name],Products[Selling Price (CAD)])</f>
        <v>3.99</v>
      </c>
      <c r="J1166" s="5">
        <f>PRODUCT(Sales[[#This Row],[Quantity Sold]],Sales[[#This Row],[Unit Selling Price (CAD)]])</f>
        <v>359.1</v>
      </c>
    </row>
    <row r="1167" spans="1:10">
      <c r="A1167" t="s">
        <v>1615</v>
      </c>
      <c r="B1167" s="2">
        <v>46177</v>
      </c>
      <c r="C1167" t="s">
        <v>203</v>
      </c>
      <c r="D1167" t="s">
        <v>204</v>
      </c>
      <c r="E1167" t="str">
        <f>_xlfn.XLOOKUP(Sales[[#This Row],[Product Name]],Products[Product Name],Products[Category])</f>
        <v>Sides</v>
      </c>
      <c r="F1167" t="s">
        <v>449</v>
      </c>
      <c r="G1167" t="s">
        <v>454</v>
      </c>
      <c r="H1167">
        <v>73</v>
      </c>
      <c r="I1167" s="5">
        <f>_xlfn.XLOOKUP(Sales[[#This Row],[Product Name]],Products[Product Name],Products[Selling Price (CAD)])</f>
        <v>4.49</v>
      </c>
      <c r="J1167" s="5">
        <f>PRODUCT(Sales[[#This Row],[Quantity Sold]],Sales[[#This Row],[Unit Selling Price (CAD)]])</f>
        <v>327.77000000000004</v>
      </c>
    </row>
    <row r="1168" spans="1:10">
      <c r="A1168" t="s">
        <v>1616</v>
      </c>
      <c r="B1168" s="2">
        <v>46177</v>
      </c>
      <c r="C1168" t="s">
        <v>299</v>
      </c>
      <c r="D1168" t="s">
        <v>300</v>
      </c>
      <c r="E1168" t="str">
        <f>_xlfn.XLOOKUP(Sales[[#This Row],[Product Name]],Products[Product Name],Products[Category])</f>
        <v>Beverages</v>
      </c>
      <c r="F1168" t="s">
        <v>444</v>
      </c>
      <c r="G1168" t="s">
        <v>452</v>
      </c>
      <c r="H1168">
        <v>69</v>
      </c>
      <c r="I1168" s="5">
        <f>_xlfn.XLOOKUP(Sales[[#This Row],[Product Name]],Products[Product Name],Products[Selling Price (CAD)])</f>
        <v>2.4900000000000002</v>
      </c>
      <c r="J1168" s="5">
        <f>PRODUCT(Sales[[#This Row],[Quantity Sold]],Sales[[#This Row],[Unit Selling Price (CAD)]])</f>
        <v>171.81</v>
      </c>
    </row>
    <row r="1169" spans="1:10">
      <c r="A1169" t="s">
        <v>1617</v>
      </c>
      <c r="B1169" s="2">
        <v>46177</v>
      </c>
      <c r="C1169" t="s">
        <v>133</v>
      </c>
      <c r="D1169" t="s">
        <v>134</v>
      </c>
      <c r="E1169" t="str">
        <f>_xlfn.XLOOKUP(Sales[[#This Row],[Product Name]],Products[Product Name],Products[Category])</f>
        <v>Breakfast</v>
      </c>
      <c r="F1169" t="s">
        <v>449</v>
      </c>
      <c r="G1169" t="s">
        <v>450</v>
      </c>
      <c r="H1169">
        <v>42</v>
      </c>
      <c r="I1169" s="5">
        <f>_xlfn.XLOOKUP(Sales[[#This Row],[Product Name]],Products[Product Name],Products[Selling Price (CAD)])</f>
        <v>4.99</v>
      </c>
      <c r="J1169" s="5">
        <f>PRODUCT(Sales[[#This Row],[Quantity Sold]],Sales[[#This Row],[Unit Selling Price (CAD)]])</f>
        <v>209.58</v>
      </c>
    </row>
    <row r="1170" spans="1:10">
      <c r="A1170" t="s">
        <v>1618</v>
      </c>
      <c r="B1170" s="2">
        <v>46178</v>
      </c>
      <c r="C1170" t="s">
        <v>257</v>
      </c>
      <c r="D1170" t="s">
        <v>258</v>
      </c>
      <c r="E1170" t="str">
        <f>_xlfn.XLOOKUP(Sales[[#This Row],[Product Name]],Products[Product Name],Products[Category])</f>
        <v>Beverages</v>
      </c>
      <c r="F1170" t="s">
        <v>444</v>
      </c>
      <c r="G1170" t="s">
        <v>445</v>
      </c>
      <c r="H1170">
        <v>42</v>
      </c>
      <c r="I1170" s="5">
        <f>_xlfn.XLOOKUP(Sales[[#This Row],[Product Name]],Products[Product Name],Products[Selling Price (CAD)])</f>
        <v>2.99</v>
      </c>
      <c r="J1170" s="5">
        <f>PRODUCT(Sales[[#This Row],[Quantity Sold]],Sales[[#This Row],[Unit Selling Price (CAD)]])</f>
        <v>125.58000000000001</v>
      </c>
    </row>
    <row r="1171" spans="1:10">
      <c r="A1171" t="s">
        <v>1619</v>
      </c>
      <c r="B1171" s="2">
        <v>46178</v>
      </c>
      <c r="C1171" t="s">
        <v>313</v>
      </c>
      <c r="D1171" t="s">
        <v>314</v>
      </c>
      <c r="E1171" t="str">
        <f>_xlfn.XLOOKUP(Sales[[#This Row],[Product Name]],Products[Product Name],Products[Category])</f>
        <v>Beverages</v>
      </c>
      <c r="F1171" t="s">
        <v>449</v>
      </c>
      <c r="G1171" t="s">
        <v>454</v>
      </c>
      <c r="H1171">
        <v>77</v>
      </c>
      <c r="I1171" s="5">
        <f>_xlfn.XLOOKUP(Sales[[#This Row],[Product Name]],Products[Product Name],Products[Selling Price (CAD)])</f>
        <v>3.99</v>
      </c>
      <c r="J1171" s="5">
        <f>PRODUCT(Sales[[#This Row],[Quantity Sold]],Sales[[#This Row],[Unit Selling Price (CAD)]])</f>
        <v>307.23</v>
      </c>
    </row>
    <row r="1172" spans="1:10">
      <c r="A1172" t="s">
        <v>1620</v>
      </c>
      <c r="B1172" s="2">
        <v>46178</v>
      </c>
      <c r="C1172" t="s">
        <v>382</v>
      </c>
      <c r="D1172" t="s">
        <v>383</v>
      </c>
      <c r="E1172" t="str">
        <f>_xlfn.XLOOKUP(Sales[[#This Row],[Product Name]],Products[Product Name],Products[Category])</f>
        <v>Kids Meals</v>
      </c>
      <c r="F1172" t="s">
        <v>444</v>
      </c>
      <c r="G1172" t="s">
        <v>454</v>
      </c>
      <c r="H1172">
        <v>41</v>
      </c>
      <c r="I1172" s="5">
        <f>_xlfn.XLOOKUP(Sales[[#This Row],[Product Name]],Products[Product Name],Products[Selling Price (CAD)])</f>
        <v>5.99</v>
      </c>
      <c r="J1172" s="5">
        <f>PRODUCT(Sales[[#This Row],[Quantity Sold]],Sales[[#This Row],[Unit Selling Price (CAD)]])</f>
        <v>245.59</v>
      </c>
    </row>
    <row r="1173" spans="1:10">
      <c r="A1173" t="s">
        <v>1621</v>
      </c>
      <c r="B1173" s="2">
        <v>46178</v>
      </c>
      <c r="C1173" t="s">
        <v>147</v>
      </c>
      <c r="D1173" t="s">
        <v>148</v>
      </c>
      <c r="E1173" t="str">
        <f>_xlfn.XLOOKUP(Sales[[#This Row],[Product Name]],Products[Product Name],Products[Category])</f>
        <v>Breakfast</v>
      </c>
      <c r="F1173" t="s">
        <v>447</v>
      </c>
      <c r="G1173" t="s">
        <v>450</v>
      </c>
      <c r="H1173">
        <v>200</v>
      </c>
      <c r="I1173" s="5">
        <f>_xlfn.XLOOKUP(Sales[[#This Row],[Product Name]],Products[Product Name],Products[Selling Price (CAD)])</f>
        <v>4.99</v>
      </c>
      <c r="J1173" s="5">
        <f>PRODUCT(Sales[[#This Row],[Quantity Sold]],Sales[[#This Row],[Unit Selling Price (CAD)]])</f>
        <v>998</v>
      </c>
    </row>
    <row r="1174" spans="1:10">
      <c r="A1174" t="s">
        <v>1622</v>
      </c>
      <c r="B1174" s="2">
        <v>46178</v>
      </c>
      <c r="C1174" t="s">
        <v>74</v>
      </c>
      <c r="D1174" t="s">
        <v>75</v>
      </c>
      <c r="E1174" t="str">
        <f>_xlfn.XLOOKUP(Sales[[#This Row],[Product Name]],Products[Product Name],Products[Category])</f>
        <v>Burgers</v>
      </c>
      <c r="F1174" t="s">
        <v>444</v>
      </c>
      <c r="G1174" t="s">
        <v>450</v>
      </c>
      <c r="H1174">
        <v>150</v>
      </c>
      <c r="I1174" s="5">
        <f>_xlfn.XLOOKUP(Sales[[#This Row],[Product Name]],Products[Product Name],Products[Selling Price (CAD)])</f>
        <v>8.99</v>
      </c>
      <c r="J1174" s="5">
        <f>PRODUCT(Sales[[#This Row],[Quantity Sold]],Sales[[#This Row],[Unit Selling Price (CAD)]])</f>
        <v>1348.5</v>
      </c>
    </row>
    <row r="1175" spans="1:10">
      <c r="A1175" t="s">
        <v>1623</v>
      </c>
      <c r="B1175" s="2">
        <v>46178</v>
      </c>
      <c r="C1175" t="s">
        <v>38</v>
      </c>
      <c r="D1175" t="s">
        <v>39</v>
      </c>
      <c r="E1175" t="str">
        <f>_xlfn.XLOOKUP(Sales[[#This Row],[Product Name]],Products[Product Name],Products[Category])</f>
        <v>Burgers</v>
      </c>
      <c r="F1175" t="s">
        <v>444</v>
      </c>
      <c r="G1175" t="s">
        <v>445</v>
      </c>
      <c r="H1175">
        <v>90</v>
      </c>
      <c r="I1175" s="5">
        <f>_xlfn.XLOOKUP(Sales[[#This Row],[Product Name]],Products[Product Name],Products[Selling Price (CAD)])</f>
        <v>10.99</v>
      </c>
      <c r="J1175" s="5">
        <f>PRODUCT(Sales[[#This Row],[Quantity Sold]],Sales[[#This Row],[Unit Selling Price (CAD)]])</f>
        <v>989.1</v>
      </c>
    </row>
    <row r="1176" spans="1:10">
      <c r="A1176" t="s">
        <v>1624</v>
      </c>
      <c r="B1176" s="2">
        <v>46178</v>
      </c>
      <c r="C1176" t="s">
        <v>239</v>
      </c>
      <c r="D1176" t="s">
        <v>240</v>
      </c>
      <c r="E1176" t="str">
        <f>_xlfn.XLOOKUP(Sales[[#This Row],[Product Name]],Products[Product Name],Products[Category])</f>
        <v>Salads</v>
      </c>
      <c r="F1176" t="s">
        <v>444</v>
      </c>
      <c r="G1176" t="s">
        <v>452</v>
      </c>
      <c r="H1176">
        <v>50</v>
      </c>
      <c r="I1176" s="5">
        <f>_xlfn.XLOOKUP(Sales[[#This Row],[Product Name]],Products[Product Name],Products[Selling Price (CAD)])</f>
        <v>9.49</v>
      </c>
      <c r="J1176" s="5">
        <f>PRODUCT(Sales[[#This Row],[Quantity Sold]],Sales[[#This Row],[Unit Selling Price (CAD)]])</f>
        <v>474.5</v>
      </c>
    </row>
    <row r="1177" spans="1:10">
      <c r="A1177" t="s">
        <v>1625</v>
      </c>
      <c r="B1177" s="2">
        <v>46178</v>
      </c>
      <c r="C1177" t="s">
        <v>89</v>
      </c>
      <c r="D1177" t="s">
        <v>90</v>
      </c>
      <c r="E1177" t="str">
        <f>_xlfn.XLOOKUP(Sales[[#This Row],[Product Name]],Products[Product Name],Products[Category])</f>
        <v>Chicken</v>
      </c>
      <c r="F1177" t="s">
        <v>447</v>
      </c>
      <c r="G1177" t="s">
        <v>452</v>
      </c>
      <c r="H1177">
        <v>42</v>
      </c>
      <c r="I1177" s="5">
        <f>_xlfn.XLOOKUP(Sales[[#This Row],[Product Name]],Products[Product Name],Products[Selling Price (CAD)])</f>
        <v>7.49</v>
      </c>
      <c r="J1177" s="5">
        <f>PRODUCT(Sales[[#This Row],[Quantity Sold]],Sales[[#This Row],[Unit Selling Price (CAD)]])</f>
        <v>314.58</v>
      </c>
    </row>
    <row r="1178" spans="1:10">
      <c r="A1178" t="s">
        <v>1626</v>
      </c>
      <c r="B1178" s="2">
        <v>46179</v>
      </c>
      <c r="C1178" t="s">
        <v>271</v>
      </c>
      <c r="D1178" t="s">
        <v>272</v>
      </c>
      <c r="E1178" t="str">
        <f>_xlfn.XLOOKUP(Sales[[#This Row],[Product Name]],Products[Product Name],Products[Category])</f>
        <v>Beverages</v>
      </c>
      <c r="F1178" t="s">
        <v>449</v>
      </c>
      <c r="G1178" t="s">
        <v>450</v>
      </c>
      <c r="H1178">
        <v>79</v>
      </c>
      <c r="I1178" s="5">
        <f>_xlfn.XLOOKUP(Sales[[#This Row],[Product Name]],Products[Product Name],Products[Selling Price (CAD)])</f>
        <v>1.99</v>
      </c>
      <c r="J1178" s="5">
        <f>PRODUCT(Sales[[#This Row],[Quantity Sold]],Sales[[#This Row],[Unit Selling Price (CAD)]])</f>
        <v>157.21</v>
      </c>
    </row>
    <row r="1179" spans="1:10">
      <c r="A1179" t="s">
        <v>1627</v>
      </c>
      <c r="B1179" s="2">
        <v>46179</v>
      </c>
      <c r="C1179" t="s">
        <v>175</v>
      </c>
      <c r="D1179" t="s">
        <v>176</v>
      </c>
      <c r="E1179" t="str">
        <f>_xlfn.XLOOKUP(Sales[[#This Row],[Product Name]],Products[Product Name],Products[Category])</f>
        <v>Breakfast</v>
      </c>
      <c r="F1179" t="s">
        <v>449</v>
      </c>
      <c r="G1179" t="s">
        <v>450</v>
      </c>
      <c r="H1179">
        <v>77</v>
      </c>
      <c r="I1179" s="5">
        <f>_xlfn.XLOOKUP(Sales[[#This Row],[Product Name]],Products[Product Name],Products[Selling Price (CAD)])</f>
        <v>6.99</v>
      </c>
      <c r="J1179" s="5">
        <f>PRODUCT(Sales[[#This Row],[Quantity Sold]],Sales[[#This Row],[Unit Selling Price (CAD)]])</f>
        <v>538.23</v>
      </c>
    </row>
    <row r="1180" spans="1:10">
      <c r="A1180" t="s">
        <v>1628</v>
      </c>
      <c r="B1180" s="2">
        <v>46179</v>
      </c>
      <c r="C1180" t="s">
        <v>193</v>
      </c>
      <c r="D1180" t="s">
        <v>194</v>
      </c>
      <c r="E1180" t="str">
        <f>_xlfn.XLOOKUP(Sales[[#This Row],[Product Name]],Products[Product Name],Products[Category])</f>
        <v>Sides</v>
      </c>
      <c r="F1180" t="s">
        <v>449</v>
      </c>
      <c r="G1180" t="s">
        <v>450</v>
      </c>
      <c r="H1180">
        <v>78</v>
      </c>
      <c r="I1180" s="5">
        <f>_xlfn.XLOOKUP(Sales[[#This Row],[Product Name]],Products[Product Name],Products[Selling Price (CAD)])</f>
        <v>4.99</v>
      </c>
      <c r="J1180" s="5">
        <f>PRODUCT(Sales[[#This Row],[Quantity Sold]],Sales[[#This Row],[Unit Selling Price (CAD)]])</f>
        <v>389.22</v>
      </c>
    </row>
    <row r="1181" spans="1:10">
      <c r="A1181" t="s">
        <v>1629</v>
      </c>
      <c r="B1181" s="2">
        <v>46179</v>
      </c>
      <c r="C1181" t="s">
        <v>301</v>
      </c>
      <c r="D1181" t="s">
        <v>302</v>
      </c>
      <c r="E1181" t="str">
        <f>_xlfn.XLOOKUP(Sales[[#This Row],[Product Name]],Products[Product Name],Products[Category])</f>
        <v>Beverages</v>
      </c>
      <c r="F1181" t="s">
        <v>449</v>
      </c>
      <c r="G1181" t="s">
        <v>452</v>
      </c>
      <c r="H1181">
        <v>32</v>
      </c>
      <c r="I1181" s="5">
        <f>_xlfn.XLOOKUP(Sales[[#This Row],[Product Name]],Products[Product Name],Products[Selling Price (CAD)])</f>
        <v>1.99</v>
      </c>
      <c r="J1181" s="5">
        <f>PRODUCT(Sales[[#This Row],[Quantity Sold]],Sales[[#This Row],[Unit Selling Price (CAD)]])</f>
        <v>63.68</v>
      </c>
    </row>
    <row r="1182" spans="1:10">
      <c r="A1182" t="s">
        <v>1630</v>
      </c>
      <c r="B1182" s="2">
        <v>46179</v>
      </c>
      <c r="C1182" t="s">
        <v>197</v>
      </c>
      <c r="D1182" t="s">
        <v>198</v>
      </c>
      <c r="E1182" t="str">
        <f>_xlfn.XLOOKUP(Sales[[#This Row],[Product Name]],Products[Product Name],Products[Category])</f>
        <v>Sides</v>
      </c>
      <c r="F1182" t="s">
        <v>447</v>
      </c>
      <c r="G1182" t="s">
        <v>450</v>
      </c>
      <c r="H1182">
        <v>69</v>
      </c>
      <c r="I1182" s="5">
        <f>_xlfn.XLOOKUP(Sales[[#This Row],[Product Name]],Products[Product Name],Products[Selling Price (CAD)])</f>
        <v>4.49</v>
      </c>
      <c r="J1182" s="5">
        <f>PRODUCT(Sales[[#This Row],[Quantity Sold]],Sales[[#This Row],[Unit Selling Price (CAD)]])</f>
        <v>309.81</v>
      </c>
    </row>
    <row r="1183" spans="1:10">
      <c r="A1183" t="s">
        <v>1631</v>
      </c>
      <c r="B1183" s="2">
        <v>46179</v>
      </c>
      <c r="C1183" t="s">
        <v>36</v>
      </c>
      <c r="D1183" t="s">
        <v>37</v>
      </c>
      <c r="E1183" t="str">
        <f>_xlfn.XLOOKUP(Sales[[#This Row],[Product Name]],Products[Product Name],Products[Category])</f>
        <v>Burgers</v>
      </c>
      <c r="F1183" t="s">
        <v>449</v>
      </c>
      <c r="G1183" t="s">
        <v>450</v>
      </c>
      <c r="H1183">
        <v>35</v>
      </c>
      <c r="I1183" s="5">
        <f>_xlfn.XLOOKUP(Sales[[#This Row],[Product Name]],Products[Product Name],Products[Selling Price (CAD)])</f>
        <v>8.99</v>
      </c>
      <c r="J1183" s="5">
        <f>PRODUCT(Sales[[#This Row],[Quantity Sold]],Sales[[#This Row],[Unit Selling Price (CAD)]])</f>
        <v>314.65000000000003</v>
      </c>
    </row>
    <row r="1184" spans="1:10">
      <c r="A1184" t="s">
        <v>1632</v>
      </c>
      <c r="B1184" s="2">
        <v>46179</v>
      </c>
      <c r="C1184" t="s">
        <v>378</v>
      </c>
      <c r="D1184" t="s">
        <v>379</v>
      </c>
      <c r="E1184" t="str">
        <f>_xlfn.XLOOKUP(Sales[[#This Row],[Product Name]],Products[Product Name],Products[Category])</f>
        <v>Kids Meals</v>
      </c>
      <c r="F1184" t="s">
        <v>444</v>
      </c>
      <c r="G1184" t="s">
        <v>452</v>
      </c>
      <c r="H1184">
        <v>58</v>
      </c>
      <c r="I1184" s="5">
        <f>_xlfn.XLOOKUP(Sales[[#This Row],[Product Name]],Products[Product Name],Products[Selling Price (CAD)])</f>
        <v>5.99</v>
      </c>
      <c r="J1184" s="5">
        <f>PRODUCT(Sales[[#This Row],[Quantity Sold]],Sales[[#This Row],[Unit Selling Price (CAD)]])</f>
        <v>347.42</v>
      </c>
    </row>
    <row r="1185" spans="1:10">
      <c r="A1185" t="s">
        <v>1633</v>
      </c>
      <c r="B1185" s="2">
        <v>46180</v>
      </c>
      <c r="C1185" t="s">
        <v>159</v>
      </c>
      <c r="D1185" t="s">
        <v>160</v>
      </c>
      <c r="E1185" t="str">
        <f>_xlfn.XLOOKUP(Sales[[#This Row],[Product Name]],Products[Product Name],Products[Category])</f>
        <v>Breakfast</v>
      </c>
      <c r="F1185" t="s">
        <v>444</v>
      </c>
      <c r="G1185" t="s">
        <v>450</v>
      </c>
      <c r="H1185">
        <v>50</v>
      </c>
      <c r="I1185" s="5">
        <f>_xlfn.XLOOKUP(Sales[[#This Row],[Product Name]],Products[Product Name],Products[Selling Price (CAD)])</f>
        <v>2.4900000000000002</v>
      </c>
      <c r="J1185" s="5">
        <f>PRODUCT(Sales[[#This Row],[Quantity Sold]],Sales[[#This Row],[Unit Selling Price (CAD)]])</f>
        <v>124.50000000000001</v>
      </c>
    </row>
    <row r="1186" spans="1:10">
      <c r="A1186" t="s">
        <v>1634</v>
      </c>
      <c r="B1186" s="2">
        <v>46180</v>
      </c>
      <c r="C1186" t="s">
        <v>345</v>
      </c>
      <c r="D1186" t="s">
        <v>346</v>
      </c>
      <c r="E1186" t="str">
        <f>_xlfn.XLOOKUP(Sales[[#This Row],[Product Name]],Products[Product Name],Products[Category])</f>
        <v>Desserts</v>
      </c>
      <c r="F1186" t="s">
        <v>444</v>
      </c>
      <c r="G1186" t="s">
        <v>454</v>
      </c>
      <c r="H1186">
        <v>36</v>
      </c>
      <c r="I1186" s="5">
        <f>_xlfn.XLOOKUP(Sales[[#This Row],[Product Name]],Products[Product Name],Products[Selling Price (CAD)])</f>
        <v>5.99</v>
      </c>
      <c r="J1186" s="5">
        <f>PRODUCT(Sales[[#This Row],[Quantity Sold]],Sales[[#This Row],[Unit Selling Price (CAD)]])</f>
        <v>215.64000000000001</v>
      </c>
    </row>
    <row r="1187" spans="1:10">
      <c r="A1187" t="s">
        <v>1635</v>
      </c>
      <c r="B1187" s="2">
        <v>46180</v>
      </c>
      <c r="C1187" t="s">
        <v>58</v>
      </c>
      <c r="D1187" t="s">
        <v>59</v>
      </c>
      <c r="E1187" t="str">
        <f>_xlfn.XLOOKUP(Sales[[#This Row],[Product Name]],Products[Product Name],Products[Category])</f>
        <v>Burgers</v>
      </c>
      <c r="F1187" t="s">
        <v>444</v>
      </c>
      <c r="G1187" t="s">
        <v>450</v>
      </c>
      <c r="H1187">
        <v>37</v>
      </c>
      <c r="I1187" s="5">
        <f>_xlfn.XLOOKUP(Sales[[#This Row],[Product Name]],Products[Product Name],Products[Selling Price (CAD)])</f>
        <v>8.49</v>
      </c>
      <c r="J1187" s="5">
        <f>PRODUCT(Sales[[#This Row],[Quantity Sold]],Sales[[#This Row],[Unit Selling Price (CAD)]])</f>
        <v>314.13</v>
      </c>
    </row>
    <row r="1188" spans="1:10">
      <c r="A1188" t="s">
        <v>1636</v>
      </c>
      <c r="B1188" s="2">
        <v>46180</v>
      </c>
      <c r="C1188" t="s">
        <v>135</v>
      </c>
      <c r="D1188" t="s">
        <v>136</v>
      </c>
      <c r="E1188" t="str">
        <f>_xlfn.XLOOKUP(Sales[[#This Row],[Product Name]],Products[Product Name],Products[Category])</f>
        <v>Breakfast</v>
      </c>
      <c r="F1188" t="s">
        <v>447</v>
      </c>
      <c r="G1188" t="s">
        <v>454</v>
      </c>
      <c r="H1188">
        <v>40</v>
      </c>
      <c r="I1188" s="5">
        <f>_xlfn.XLOOKUP(Sales[[#This Row],[Product Name]],Products[Product Name],Products[Selling Price (CAD)])</f>
        <v>4.99</v>
      </c>
      <c r="J1188" s="5">
        <f>PRODUCT(Sales[[#This Row],[Quantity Sold]],Sales[[#This Row],[Unit Selling Price (CAD)]])</f>
        <v>199.60000000000002</v>
      </c>
    </row>
    <row r="1189" spans="1:10">
      <c r="A1189" t="s">
        <v>1637</v>
      </c>
      <c r="B1189" s="2">
        <v>46180</v>
      </c>
      <c r="C1189" t="s">
        <v>303</v>
      </c>
      <c r="D1189" t="s">
        <v>304</v>
      </c>
      <c r="E1189" t="str">
        <f>_xlfn.XLOOKUP(Sales[[#This Row],[Product Name]],Products[Product Name],Products[Category])</f>
        <v>Beverages</v>
      </c>
      <c r="F1189" t="s">
        <v>449</v>
      </c>
      <c r="G1189" t="s">
        <v>445</v>
      </c>
      <c r="H1189">
        <v>35</v>
      </c>
      <c r="I1189" s="5">
        <f>_xlfn.XLOOKUP(Sales[[#This Row],[Product Name]],Products[Product Name],Products[Selling Price (CAD)])</f>
        <v>2.4900000000000002</v>
      </c>
      <c r="J1189" s="5">
        <f>PRODUCT(Sales[[#This Row],[Quantity Sold]],Sales[[#This Row],[Unit Selling Price (CAD)]])</f>
        <v>87.15</v>
      </c>
    </row>
    <row r="1190" spans="1:10">
      <c r="A1190" t="s">
        <v>1638</v>
      </c>
      <c r="B1190" s="2">
        <v>46180</v>
      </c>
      <c r="C1190" t="s">
        <v>129</v>
      </c>
      <c r="D1190" t="s">
        <v>130</v>
      </c>
      <c r="E1190" t="str">
        <f>_xlfn.XLOOKUP(Sales[[#This Row],[Product Name]],Products[Product Name],Products[Category])</f>
        <v>Chicken</v>
      </c>
      <c r="F1190" t="s">
        <v>444</v>
      </c>
      <c r="G1190" t="s">
        <v>450</v>
      </c>
      <c r="H1190">
        <v>73</v>
      </c>
      <c r="I1190" s="5">
        <f>_xlfn.XLOOKUP(Sales[[#This Row],[Product Name]],Products[Product Name],Products[Selling Price (CAD)])</f>
        <v>11.99</v>
      </c>
      <c r="J1190" s="5">
        <f>PRODUCT(Sales[[#This Row],[Quantity Sold]],Sales[[#This Row],[Unit Selling Price (CAD)]])</f>
        <v>875.27</v>
      </c>
    </row>
    <row r="1191" spans="1:10">
      <c r="A1191" t="s">
        <v>1639</v>
      </c>
      <c r="B1191" s="2">
        <v>46180</v>
      </c>
      <c r="C1191" t="s">
        <v>265</v>
      </c>
      <c r="D1191" t="s">
        <v>266</v>
      </c>
      <c r="E1191" t="str">
        <f>_xlfn.XLOOKUP(Sales[[#This Row],[Product Name]],Products[Product Name],Products[Category])</f>
        <v>Beverages</v>
      </c>
      <c r="F1191" t="s">
        <v>444</v>
      </c>
      <c r="G1191" t="s">
        <v>450</v>
      </c>
      <c r="H1191">
        <v>63</v>
      </c>
      <c r="I1191" s="5">
        <f>_xlfn.XLOOKUP(Sales[[#This Row],[Product Name]],Products[Product Name],Products[Selling Price (CAD)])</f>
        <v>1.99</v>
      </c>
      <c r="J1191" s="5">
        <f>PRODUCT(Sales[[#This Row],[Quantity Sold]],Sales[[#This Row],[Unit Selling Price (CAD)]])</f>
        <v>125.37</v>
      </c>
    </row>
    <row r="1192" spans="1:10">
      <c r="A1192" t="s">
        <v>1640</v>
      </c>
      <c r="B1192" s="2">
        <v>46180</v>
      </c>
      <c r="C1192" t="s">
        <v>223</v>
      </c>
      <c r="D1192" t="s">
        <v>224</v>
      </c>
      <c r="E1192" t="str">
        <f>_xlfn.XLOOKUP(Sales[[#This Row],[Product Name]],Products[Product Name],Products[Category])</f>
        <v>Salads</v>
      </c>
      <c r="F1192" t="s">
        <v>444</v>
      </c>
      <c r="G1192" t="s">
        <v>454</v>
      </c>
      <c r="H1192">
        <v>35</v>
      </c>
      <c r="I1192" s="5">
        <f>_xlfn.XLOOKUP(Sales[[#This Row],[Product Name]],Products[Product Name],Products[Selling Price (CAD)])</f>
        <v>8.99</v>
      </c>
      <c r="J1192" s="5">
        <f>PRODUCT(Sales[[#This Row],[Quantity Sold]],Sales[[#This Row],[Unit Selling Price (CAD)]])</f>
        <v>314.65000000000003</v>
      </c>
    </row>
    <row r="1193" spans="1:10">
      <c r="A1193" t="s">
        <v>1641</v>
      </c>
      <c r="B1193" s="2">
        <v>46180</v>
      </c>
      <c r="C1193" t="s">
        <v>175</v>
      </c>
      <c r="D1193" t="s">
        <v>176</v>
      </c>
      <c r="E1193" t="str">
        <f>_xlfn.XLOOKUP(Sales[[#This Row],[Product Name]],Products[Product Name],Products[Category])</f>
        <v>Breakfast</v>
      </c>
      <c r="F1193" t="s">
        <v>447</v>
      </c>
      <c r="G1193" t="s">
        <v>452</v>
      </c>
      <c r="H1193">
        <v>62</v>
      </c>
      <c r="I1193" s="5">
        <f>_xlfn.XLOOKUP(Sales[[#This Row],[Product Name]],Products[Product Name],Products[Selling Price (CAD)])</f>
        <v>6.99</v>
      </c>
      <c r="J1193" s="5">
        <f>PRODUCT(Sales[[#This Row],[Quantity Sold]],Sales[[#This Row],[Unit Selling Price (CAD)]])</f>
        <v>433.38</v>
      </c>
    </row>
    <row r="1194" spans="1:10">
      <c r="A1194" t="s">
        <v>1642</v>
      </c>
      <c r="B1194" s="2">
        <v>46181</v>
      </c>
      <c r="C1194" t="s">
        <v>145</v>
      </c>
      <c r="D1194" t="s">
        <v>146</v>
      </c>
      <c r="E1194" t="str">
        <f>_xlfn.XLOOKUP(Sales[[#This Row],[Product Name]],Products[Product Name],Products[Category])</f>
        <v>Breakfast</v>
      </c>
      <c r="F1194" t="s">
        <v>449</v>
      </c>
      <c r="G1194" t="s">
        <v>452</v>
      </c>
      <c r="H1194">
        <v>71</v>
      </c>
      <c r="I1194" s="5">
        <f>_xlfn.XLOOKUP(Sales[[#This Row],[Product Name]],Products[Product Name],Products[Selling Price (CAD)])</f>
        <v>4.99</v>
      </c>
      <c r="J1194" s="5">
        <f>PRODUCT(Sales[[#This Row],[Quantity Sold]],Sales[[#This Row],[Unit Selling Price (CAD)]])</f>
        <v>354.29</v>
      </c>
    </row>
    <row r="1195" spans="1:10">
      <c r="A1195" t="s">
        <v>1643</v>
      </c>
      <c r="B1195" s="2">
        <v>46181</v>
      </c>
      <c r="C1195" t="s">
        <v>195</v>
      </c>
      <c r="D1195" t="s">
        <v>196</v>
      </c>
      <c r="E1195" t="str">
        <f>_xlfn.XLOOKUP(Sales[[#This Row],[Product Name]],Products[Product Name],Products[Category])</f>
        <v>Sides</v>
      </c>
      <c r="F1195" t="s">
        <v>449</v>
      </c>
      <c r="G1195" t="s">
        <v>454</v>
      </c>
      <c r="H1195">
        <v>31</v>
      </c>
      <c r="I1195" s="5">
        <f>_xlfn.XLOOKUP(Sales[[#This Row],[Product Name]],Products[Product Name],Products[Selling Price (CAD)])</f>
        <v>3.49</v>
      </c>
      <c r="J1195" s="5">
        <f>PRODUCT(Sales[[#This Row],[Quantity Sold]],Sales[[#This Row],[Unit Selling Price (CAD)]])</f>
        <v>108.19000000000001</v>
      </c>
    </row>
    <row r="1196" spans="1:10">
      <c r="A1196" t="s">
        <v>1644</v>
      </c>
      <c r="B1196" s="2">
        <v>46181</v>
      </c>
      <c r="C1196" t="s">
        <v>263</v>
      </c>
      <c r="D1196" t="s">
        <v>264</v>
      </c>
      <c r="E1196" t="str">
        <f>_xlfn.XLOOKUP(Sales[[#This Row],[Product Name]],Products[Product Name],Products[Category])</f>
        <v>Beverages</v>
      </c>
      <c r="F1196" t="s">
        <v>449</v>
      </c>
      <c r="G1196" t="s">
        <v>445</v>
      </c>
      <c r="H1196">
        <v>36</v>
      </c>
      <c r="I1196" s="5">
        <f>_xlfn.XLOOKUP(Sales[[#This Row],[Product Name]],Products[Product Name],Products[Selling Price (CAD)])</f>
        <v>2.99</v>
      </c>
      <c r="J1196" s="5">
        <f>PRODUCT(Sales[[#This Row],[Quantity Sold]],Sales[[#This Row],[Unit Selling Price (CAD)]])</f>
        <v>107.64000000000001</v>
      </c>
    </row>
    <row r="1197" spans="1:10">
      <c r="A1197" t="s">
        <v>1645</v>
      </c>
      <c r="B1197" s="2">
        <v>46181</v>
      </c>
      <c r="C1197" t="s">
        <v>109</v>
      </c>
      <c r="D1197" t="s">
        <v>110</v>
      </c>
      <c r="E1197" t="str">
        <f>_xlfn.XLOOKUP(Sales[[#This Row],[Product Name]],Products[Product Name],Products[Category])</f>
        <v>Chicken</v>
      </c>
      <c r="F1197" t="s">
        <v>447</v>
      </c>
      <c r="G1197" t="s">
        <v>450</v>
      </c>
      <c r="H1197">
        <v>33</v>
      </c>
      <c r="I1197" s="5">
        <f>_xlfn.XLOOKUP(Sales[[#This Row],[Product Name]],Products[Product Name],Products[Selling Price (CAD)])</f>
        <v>5.99</v>
      </c>
      <c r="J1197" s="5">
        <f>PRODUCT(Sales[[#This Row],[Quantity Sold]],Sales[[#This Row],[Unit Selling Price (CAD)]])</f>
        <v>197.67000000000002</v>
      </c>
    </row>
    <row r="1198" spans="1:10">
      <c r="A1198" t="s">
        <v>1646</v>
      </c>
      <c r="B1198" s="2">
        <v>46182</v>
      </c>
      <c r="C1198" t="s">
        <v>205</v>
      </c>
      <c r="D1198" t="s">
        <v>206</v>
      </c>
      <c r="E1198" t="str">
        <f>_xlfn.XLOOKUP(Sales[[#This Row],[Product Name]],Products[Product Name],Products[Category])</f>
        <v>Sides</v>
      </c>
      <c r="F1198" t="s">
        <v>447</v>
      </c>
      <c r="G1198" t="s">
        <v>454</v>
      </c>
      <c r="H1198">
        <v>33</v>
      </c>
      <c r="I1198" s="5">
        <f>_xlfn.XLOOKUP(Sales[[#This Row],[Product Name]],Products[Product Name],Products[Selling Price (CAD)])</f>
        <v>4.99</v>
      </c>
      <c r="J1198" s="5">
        <f>PRODUCT(Sales[[#This Row],[Quantity Sold]],Sales[[#This Row],[Unit Selling Price (CAD)]])</f>
        <v>164.67000000000002</v>
      </c>
    </row>
    <row r="1199" spans="1:10">
      <c r="A1199" t="s">
        <v>1647</v>
      </c>
      <c r="B1199" s="2">
        <v>46182</v>
      </c>
      <c r="C1199" t="s">
        <v>115</v>
      </c>
      <c r="D1199" t="s">
        <v>116</v>
      </c>
      <c r="E1199" t="str">
        <f>_xlfn.XLOOKUP(Sales[[#This Row],[Product Name]],Products[Product Name],Products[Category])</f>
        <v>Chicken</v>
      </c>
      <c r="F1199" t="s">
        <v>449</v>
      </c>
      <c r="G1199" t="s">
        <v>450</v>
      </c>
      <c r="H1199">
        <v>70</v>
      </c>
      <c r="I1199" s="5">
        <f>_xlfn.XLOOKUP(Sales[[#This Row],[Product Name]],Products[Product Name],Products[Selling Price (CAD)])</f>
        <v>2.99</v>
      </c>
      <c r="J1199" s="5">
        <f>PRODUCT(Sales[[#This Row],[Quantity Sold]],Sales[[#This Row],[Unit Selling Price (CAD)]])</f>
        <v>209.3</v>
      </c>
    </row>
    <row r="1200" spans="1:10">
      <c r="A1200" t="s">
        <v>1648</v>
      </c>
      <c r="B1200" s="2">
        <v>46182</v>
      </c>
      <c r="C1200" t="s">
        <v>76</v>
      </c>
      <c r="D1200" t="s">
        <v>77</v>
      </c>
      <c r="E1200" t="str">
        <f>_xlfn.XLOOKUP(Sales[[#This Row],[Product Name]],Products[Product Name],Products[Category])</f>
        <v>Burgers</v>
      </c>
      <c r="F1200" t="s">
        <v>444</v>
      </c>
      <c r="G1200" t="s">
        <v>452</v>
      </c>
      <c r="H1200">
        <v>70</v>
      </c>
      <c r="I1200" s="5">
        <f>_xlfn.XLOOKUP(Sales[[#This Row],[Product Name]],Products[Product Name],Products[Selling Price (CAD)])</f>
        <v>2.99</v>
      </c>
      <c r="J1200" s="5">
        <f>PRODUCT(Sales[[#This Row],[Quantity Sold]],Sales[[#This Row],[Unit Selling Price (CAD)]])</f>
        <v>209.3</v>
      </c>
    </row>
    <row r="1201" spans="1:10">
      <c r="A1201" t="s">
        <v>1649</v>
      </c>
      <c r="B1201" s="2">
        <v>46182</v>
      </c>
      <c r="C1201" t="s">
        <v>80</v>
      </c>
      <c r="D1201" t="s">
        <v>81</v>
      </c>
      <c r="E1201" t="str">
        <f>_xlfn.XLOOKUP(Sales[[#This Row],[Product Name]],Products[Product Name],Products[Category])</f>
        <v>Burgers</v>
      </c>
      <c r="F1201" t="s">
        <v>449</v>
      </c>
      <c r="G1201" t="s">
        <v>450</v>
      </c>
      <c r="H1201">
        <v>56</v>
      </c>
      <c r="I1201" s="5">
        <f>_xlfn.XLOOKUP(Sales[[#This Row],[Product Name]],Products[Product Name],Products[Selling Price (CAD)])</f>
        <v>2.99</v>
      </c>
      <c r="J1201" s="5">
        <f>PRODUCT(Sales[[#This Row],[Quantity Sold]],Sales[[#This Row],[Unit Selling Price (CAD)]])</f>
        <v>167.44</v>
      </c>
    </row>
    <row r="1202" spans="1:10">
      <c r="A1202" t="s">
        <v>1650</v>
      </c>
      <c r="B1202" s="2">
        <v>46182</v>
      </c>
      <c r="C1202" t="s">
        <v>76</v>
      </c>
      <c r="D1202" t="s">
        <v>77</v>
      </c>
      <c r="E1202" t="str">
        <f>_xlfn.XLOOKUP(Sales[[#This Row],[Product Name]],Products[Product Name],Products[Category])</f>
        <v>Burgers</v>
      </c>
      <c r="F1202" t="s">
        <v>444</v>
      </c>
      <c r="G1202" t="s">
        <v>452</v>
      </c>
      <c r="H1202">
        <v>76</v>
      </c>
      <c r="I1202" s="5">
        <f>_xlfn.XLOOKUP(Sales[[#This Row],[Product Name]],Products[Product Name],Products[Selling Price (CAD)])</f>
        <v>2.99</v>
      </c>
      <c r="J1202" s="5">
        <f>PRODUCT(Sales[[#This Row],[Quantity Sold]],Sales[[#This Row],[Unit Selling Price (CAD)]])</f>
        <v>227.24</v>
      </c>
    </row>
    <row r="1203" spans="1:10">
      <c r="A1203" t="s">
        <v>1651</v>
      </c>
      <c r="B1203" s="2">
        <v>46182</v>
      </c>
      <c r="C1203" t="s">
        <v>125</v>
      </c>
      <c r="D1203" t="s">
        <v>126</v>
      </c>
      <c r="E1203" t="str">
        <f>_xlfn.XLOOKUP(Sales[[#This Row],[Product Name]],Products[Product Name],Products[Category])</f>
        <v>Chicken</v>
      </c>
      <c r="F1203" t="s">
        <v>449</v>
      </c>
      <c r="G1203" t="s">
        <v>450</v>
      </c>
      <c r="H1203">
        <v>80</v>
      </c>
      <c r="I1203" s="5">
        <f>_xlfn.XLOOKUP(Sales[[#This Row],[Product Name]],Products[Product Name],Products[Selling Price (CAD)])</f>
        <v>4.99</v>
      </c>
      <c r="J1203" s="5">
        <f>PRODUCT(Sales[[#This Row],[Quantity Sold]],Sales[[#This Row],[Unit Selling Price (CAD)]])</f>
        <v>399.20000000000005</v>
      </c>
    </row>
    <row r="1204" spans="1:10">
      <c r="A1204" t="s">
        <v>1652</v>
      </c>
      <c r="B1204" s="2">
        <v>46182</v>
      </c>
      <c r="C1204" t="s">
        <v>303</v>
      </c>
      <c r="D1204" t="s">
        <v>304</v>
      </c>
      <c r="E1204" t="str">
        <f>_xlfn.XLOOKUP(Sales[[#This Row],[Product Name]],Products[Product Name],Products[Category])</f>
        <v>Beverages</v>
      </c>
      <c r="F1204" t="s">
        <v>444</v>
      </c>
      <c r="G1204" t="s">
        <v>454</v>
      </c>
      <c r="H1204">
        <v>77</v>
      </c>
      <c r="I1204" s="5">
        <f>_xlfn.XLOOKUP(Sales[[#This Row],[Product Name]],Products[Product Name],Products[Selling Price (CAD)])</f>
        <v>2.4900000000000002</v>
      </c>
      <c r="J1204" s="5">
        <f>PRODUCT(Sales[[#This Row],[Quantity Sold]],Sales[[#This Row],[Unit Selling Price (CAD)]])</f>
        <v>191.73000000000002</v>
      </c>
    </row>
    <row r="1205" spans="1:10">
      <c r="A1205" t="s">
        <v>1653</v>
      </c>
      <c r="B1205" s="2">
        <v>46183</v>
      </c>
      <c r="C1205" t="s">
        <v>111</v>
      </c>
      <c r="D1205" t="s">
        <v>112</v>
      </c>
      <c r="E1205" t="str">
        <f>_xlfn.XLOOKUP(Sales[[#This Row],[Product Name]],Products[Product Name],Products[Category])</f>
        <v>Chicken</v>
      </c>
      <c r="F1205" t="s">
        <v>444</v>
      </c>
      <c r="G1205" t="s">
        <v>452</v>
      </c>
      <c r="H1205">
        <v>67</v>
      </c>
      <c r="I1205" s="5">
        <f>_xlfn.XLOOKUP(Sales[[#This Row],[Product Name]],Products[Product Name],Products[Selling Price (CAD)])</f>
        <v>5.99</v>
      </c>
      <c r="J1205" s="5">
        <f>PRODUCT(Sales[[#This Row],[Quantity Sold]],Sales[[#This Row],[Unit Selling Price (CAD)]])</f>
        <v>401.33000000000004</v>
      </c>
    </row>
    <row r="1206" spans="1:10">
      <c r="A1206" t="s">
        <v>1654</v>
      </c>
      <c r="B1206" s="2">
        <v>46183</v>
      </c>
      <c r="C1206" t="s">
        <v>175</v>
      </c>
      <c r="D1206" t="s">
        <v>176</v>
      </c>
      <c r="E1206" t="str">
        <f>_xlfn.XLOOKUP(Sales[[#This Row],[Product Name]],Products[Product Name],Products[Category])</f>
        <v>Breakfast</v>
      </c>
      <c r="F1206" t="s">
        <v>444</v>
      </c>
      <c r="G1206" t="s">
        <v>450</v>
      </c>
      <c r="H1206">
        <v>48</v>
      </c>
      <c r="I1206" s="5">
        <f>_xlfn.XLOOKUP(Sales[[#This Row],[Product Name]],Products[Product Name],Products[Selling Price (CAD)])</f>
        <v>6.99</v>
      </c>
      <c r="J1206" s="5">
        <f>PRODUCT(Sales[[#This Row],[Quantity Sold]],Sales[[#This Row],[Unit Selling Price (CAD)]])</f>
        <v>335.52</v>
      </c>
    </row>
    <row r="1207" spans="1:10">
      <c r="A1207" t="s">
        <v>1655</v>
      </c>
      <c r="B1207" s="2">
        <v>46184</v>
      </c>
      <c r="C1207" t="s">
        <v>54</v>
      </c>
      <c r="D1207" t="s">
        <v>55</v>
      </c>
      <c r="E1207" t="str">
        <f>_xlfn.XLOOKUP(Sales[[#This Row],[Product Name]],Products[Product Name],Products[Category])</f>
        <v>Burgers</v>
      </c>
      <c r="F1207" t="s">
        <v>444</v>
      </c>
      <c r="G1207" t="s">
        <v>454</v>
      </c>
      <c r="H1207">
        <v>64</v>
      </c>
      <c r="I1207" s="5">
        <f>_xlfn.XLOOKUP(Sales[[#This Row],[Product Name]],Products[Product Name],Products[Selling Price (CAD)])</f>
        <v>8.99</v>
      </c>
      <c r="J1207" s="5">
        <f>PRODUCT(Sales[[#This Row],[Quantity Sold]],Sales[[#This Row],[Unit Selling Price (CAD)]])</f>
        <v>575.36</v>
      </c>
    </row>
    <row r="1208" spans="1:10">
      <c r="A1208" t="s">
        <v>1656</v>
      </c>
      <c r="B1208" s="2">
        <v>46184</v>
      </c>
      <c r="C1208" t="s">
        <v>291</v>
      </c>
      <c r="D1208" t="s">
        <v>292</v>
      </c>
      <c r="E1208" t="str">
        <f>_xlfn.XLOOKUP(Sales[[#This Row],[Product Name]],Products[Product Name],Products[Category])</f>
        <v>Beverages</v>
      </c>
      <c r="F1208" t="s">
        <v>444</v>
      </c>
      <c r="G1208" t="s">
        <v>450</v>
      </c>
      <c r="H1208">
        <v>72</v>
      </c>
      <c r="I1208" s="5">
        <f>_xlfn.XLOOKUP(Sales[[#This Row],[Product Name]],Products[Product Name],Products[Selling Price (CAD)])</f>
        <v>3.99</v>
      </c>
      <c r="J1208" s="5">
        <f>PRODUCT(Sales[[#This Row],[Quantity Sold]],Sales[[#This Row],[Unit Selling Price (CAD)]])</f>
        <v>287.28000000000003</v>
      </c>
    </row>
    <row r="1209" spans="1:10">
      <c r="A1209" t="s">
        <v>1657</v>
      </c>
      <c r="B1209" s="2">
        <v>46184</v>
      </c>
      <c r="C1209" t="s">
        <v>25</v>
      </c>
      <c r="D1209" t="s">
        <v>26</v>
      </c>
      <c r="E1209" t="str">
        <f>_xlfn.XLOOKUP(Sales[[#This Row],[Product Name]],Products[Product Name],Products[Category])</f>
        <v>Burgers</v>
      </c>
      <c r="F1209" t="s">
        <v>449</v>
      </c>
      <c r="G1209" t="s">
        <v>454</v>
      </c>
      <c r="H1209">
        <v>70</v>
      </c>
      <c r="I1209" s="5">
        <f>_xlfn.XLOOKUP(Sales[[#This Row],[Product Name]],Products[Product Name],Products[Selling Price (CAD)])</f>
        <v>5.99</v>
      </c>
      <c r="J1209" s="5">
        <f>PRODUCT(Sales[[#This Row],[Quantity Sold]],Sales[[#This Row],[Unit Selling Price (CAD)]])</f>
        <v>419.3</v>
      </c>
    </row>
    <row r="1210" spans="1:10">
      <c r="A1210" t="s">
        <v>1658</v>
      </c>
      <c r="B1210" s="2">
        <v>46184</v>
      </c>
      <c r="C1210" t="s">
        <v>255</v>
      </c>
      <c r="D1210" t="s">
        <v>256</v>
      </c>
      <c r="E1210" t="str">
        <f>_xlfn.XLOOKUP(Sales[[#This Row],[Product Name]],Products[Product Name],Products[Category])</f>
        <v>Beverages</v>
      </c>
      <c r="F1210" t="s">
        <v>447</v>
      </c>
      <c r="G1210" t="s">
        <v>445</v>
      </c>
      <c r="H1210">
        <v>58</v>
      </c>
      <c r="I1210" s="5">
        <f>_xlfn.XLOOKUP(Sales[[#This Row],[Product Name]],Products[Product Name],Products[Selling Price (CAD)])</f>
        <v>2.99</v>
      </c>
      <c r="J1210" s="5">
        <f>PRODUCT(Sales[[#This Row],[Quantity Sold]],Sales[[#This Row],[Unit Selling Price (CAD)]])</f>
        <v>173.42000000000002</v>
      </c>
    </row>
    <row r="1211" spans="1:10">
      <c r="A1211" t="s">
        <v>1659</v>
      </c>
      <c r="B1211" s="2">
        <v>46184</v>
      </c>
      <c r="C1211" t="s">
        <v>141</v>
      </c>
      <c r="D1211" t="s">
        <v>142</v>
      </c>
      <c r="E1211" t="str">
        <f>_xlfn.XLOOKUP(Sales[[#This Row],[Product Name]],Products[Product Name],Products[Category])</f>
        <v>Breakfast</v>
      </c>
      <c r="F1211" t="s">
        <v>444</v>
      </c>
      <c r="G1211" t="s">
        <v>450</v>
      </c>
      <c r="H1211">
        <v>39</v>
      </c>
      <c r="I1211" s="5">
        <f>_xlfn.XLOOKUP(Sales[[#This Row],[Product Name]],Products[Product Name],Products[Selling Price (CAD)])</f>
        <v>4.99</v>
      </c>
      <c r="J1211" s="5">
        <f>PRODUCT(Sales[[#This Row],[Quantity Sold]],Sales[[#This Row],[Unit Selling Price (CAD)]])</f>
        <v>194.61</v>
      </c>
    </row>
    <row r="1212" spans="1:10">
      <c r="A1212" t="s">
        <v>1660</v>
      </c>
      <c r="B1212" s="2">
        <v>46185</v>
      </c>
      <c r="C1212" t="s">
        <v>329</v>
      </c>
      <c r="D1212" t="s">
        <v>330</v>
      </c>
      <c r="E1212" t="str">
        <f>_xlfn.XLOOKUP(Sales[[#This Row],[Product Name]],Products[Product Name],Products[Category])</f>
        <v>Desserts</v>
      </c>
      <c r="F1212" t="s">
        <v>444</v>
      </c>
      <c r="G1212" t="s">
        <v>450</v>
      </c>
      <c r="H1212">
        <v>63</v>
      </c>
      <c r="I1212" s="5">
        <f>_xlfn.XLOOKUP(Sales[[#This Row],[Product Name]],Products[Product Name],Products[Selling Price (CAD)])</f>
        <v>2.99</v>
      </c>
      <c r="J1212" s="5">
        <f>PRODUCT(Sales[[#This Row],[Quantity Sold]],Sales[[#This Row],[Unit Selling Price (CAD)]])</f>
        <v>188.37</v>
      </c>
    </row>
    <row r="1213" spans="1:10">
      <c r="A1213" t="s">
        <v>1661</v>
      </c>
      <c r="B1213" s="2">
        <v>46185</v>
      </c>
      <c r="C1213" t="s">
        <v>34</v>
      </c>
      <c r="D1213" t="s">
        <v>35</v>
      </c>
      <c r="E1213" t="str">
        <f>_xlfn.XLOOKUP(Sales[[#This Row],[Product Name]],Products[Product Name],Products[Category])</f>
        <v>Burgers</v>
      </c>
      <c r="F1213" t="s">
        <v>447</v>
      </c>
      <c r="G1213" t="s">
        <v>450</v>
      </c>
      <c r="H1213">
        <v>35</v>
      </c>
      <c r="I1213" s="5">
        <f>_xlfn.XLOOKUP(Sales[[#This Row],[Product Name]],Products[Product Name],Products[Selling Price (CAD)])</f>
        <v>6.99</v>
      </c>
      <c r="J1213" s="5">
        <f>PRODUCT(Sales[[#This Row],[Quantity Sold]],Sales[[#This Row],[Unit Selling Price (CAD)]])</f>
        <v>244.65</v>
      </c>
    </row>
    <row r="1214" spans="1:10">
      <c r="A1214" t="s">
        <v>1662</v>
      </c>
      <c r="B1214" s="2">
        <v>46185</v>
      </c>
      <c r="C1214" t="s">
        <v>117</v>
      </c>
      <c r="D1214" t="s">
        <v>118</v>
      </c>
      <c r="E1214" t="str">
        <f>_xlfn.XLOOKUP(Sales[[#This Row],[Product Name]],Products[Product Name],Products[Category])</f>
        <v>Chicken</v>
      </c>
      <c r="F1214" t="s">
        <v>449</v>
      </c>
      <c r="G1214" t="s">
        <v>452</v>
      </c>
      <c r="H1214">
        <v>50</v>
      </c>
      <c r="I1214" s="5">
        <f>_xlfn.XLOOKUP(Sales[[#This Row],[Product Name]],Products[Product Name],Products[Selling Price (CAD)])</f>
        <v>4.99</v>
      </c>
      <c r="J1214" s="5">
        <f>PRODUCT(Sales[[#This Row],[Quantity Sold]],Sales[[#This Row],[Unit Selling Price (CAD)]])</f>
        <v>249.5</v>
      </c>
    </row>
    <row r="1215" spans="1:10">
      <c r="A1215" t="s">
        <v>1663</v>
      </c>
      <c r="B1215" s="2">
        <v>46185</v>
      </c>
      <c r="C1215" t="s">
        <v>203</v>
      </c>
      <c r="D1215" t="s">
        <v>204</v>
      </c>
      <c r="E1215" t="str">
        <f>_xlfn.XLOOKUP(Sales[[#This Row],[Product Name]],Products[Product Name],Products[Category])</f>
        <v>Sides</v>
      </c>
      <c r="F1215" t="s">
        <v>447</v>
      </c>
      <c r="G1215" t="s">
        <v>454</v>
      </c>
      <c r="H1215">
        <v>54</v>
      </c>
      <c r="I1215" s="5">
        <f>_xlfn.XLOOKUP(Sales[[#This Row],[Product Name]],Products[Product Name],Products[Selling Price (CAD)])</f>
        <v>4.49</v>
      </c>
      <c r="J1215" s="5">
        <f>PRODUCT(Sales[[#This Row],[Quantity Sold]],Sales[[#This Row],[Unit Selling Price (CAD)]])</f>
        <v>242.46</v>
      </c>
    </row>
    <row r="1216" spans="1:10">
      <c r="A1216" t="s">
        <v>1664</v>
      </c>
      <c r="B1216" s="2">
        <v>46185</v>
      </c>
      <c r="C1216" t="s">
        <v>281</v>
      </c>
      <c r="D1216" t="s">
        <v>282</v>
      </c>
      <c r="E1216" t="str">
        <f>_xlfn.XLOOKUP(Sales[[#This Row],[Product Name]],Products[Product Name],Products[Category])</f>
        <v>Beverages</v>
      </c>
      <c r="F1216" t="s">
        <v>444</v>
      </c>
      <c r="G1216" t="s">
        <v>445</v>
      </c>
      <c r="H1216">
        <v>80</v>
      </c>
      <c r="I1216" s="5">
        <f>_xlfn.XLOOKUP(Sales[[#This Row],[Product Name]],Products[Product Name],Products[Selling Price (CAD)])</f>
        <v>2.99</v>
      </c>
      <c r="J1216" s="5">
        <f>PRODUCT(Sales[[#This Row],[Quantity Sold]],Sales[[#This Row],[Unit Selling Price (CAD)]])</f>
        <v>239.20000000000002</v>
      </c>
    </row>
    <row r="1217" spans="1:10">
      <c r="A1217" t="s">
        <v>1665</v>
      </c>
      <c r="B1217" s="2">
        <v>46186</v>
      </c>
      <c r="C1217" t="s">
        <v>147</v>
      </c>
      <c r="D1217" t="s">
        <v>148</v>
      </c>
      <c r="E1217" t="str">
        <f>_xlfn.XLOOKUP(Sales[[#This Row],[Product Name]],Products[Product Name],Products[Category])</f>
        <v>Breakfast</v>
      </c>
      <c r="F1217" t="s">
        <v>449</v>
      </c>
      <c r="G1217" t="s">
        <v>454</v>
      </c>
      <c r="H1217">
        <v>48</v>
      </c>
      <c r="I1217" s="5">
        <f>_xlfn.XLOOKUP(Sales[[#This Row],[Product Name]],Products[Product Name],Products[Selling Price (CAD)])</f>
        <v>4.99</v>
      </c>
      <c r="J1217" s="5">
        <f>PRODUCT(Sales[[#This Row],[Quantity Sold]],Sales[[#This Row],[Unit Selling Price (CAD)]])</f>
        <v>239.52</v>
      </c>
    </row>
    <row r="1218" spans="1:10">
      <c r="A1218" t="s">
        <v>1666</v>
      </c>
      <c r="B1218" s="2">
        <v>46186</v>
      </c>
      <c r="C1218" t="s">
        <v>321</v>
      </c>
      <c r="D1218" t="s">
        <v>322</v>
      </c>
      <c r="E1218" t="str">
        <f>_xlfn.XLOOKUP(Sales[[#This Row],[Product Name]],Products[Product Name],Products[Category])</f>
        <v>Beverages</v>
      </c>
      <c r="F1218" t="s">
        <v>444</v>
      </c>
      <c r="G1218" t="s">
        <v>450</v>
      </c>
      <c r="H1218">
        <v>65</v>
      </c>
      <c r="I1218" s="5">
        <f>_xlfn.XLOOKUP(Sales[[#This Row],[Product Name]],Products[Product Name],Products[Selling Price (CAD)])</f>
        <v>2.4900000000000002</v>
      </c>
      <c r="J1218" s="5">
        <f>PRODUCT(Sales[[#This Row],[Quantity Sold]],Sales[[#This Row],[Unit Selling Price (CAD)]])</f>
        <v>161.85000000000002</v>
      </c>
    </row>
    <row r="1219" spans="1:10">
      <c r="A1219" t="s">
        <v>1667</v>
      </c>
      <c r="B1219" s="2">
        <v>46186</v>
      </c>
      <c r="C1219" t="s">
        <v>349</v>
      </c>
      <c r="D1219" t="s">
        <v>350</v>
      </c>
      <c r="E1219" t="str">
        <f>_xlfn.XLOOKUP(Sales[[#This Row],[Product Name]],Products[Product Name],Products[Category])</f>
        <v>Desserts</v>
      </c>
      <c r="F1219" t="s">
        <v>449</v>
      </c>
      <c r="G1219" t="s">
        <v>452</v>
      </c>
      <c r="H1219">
        <v>63</v>
      </c>
      <c r="I1219" s="5">
        <f>_xlfn.XLOOKUP(Sales[[#This Row],[Product Name]],Products[Product Name],Products[Selling Price (CAD)])</f>
        <v>4.99</v>
      </c>
      <c r="J1219" s="5">
        <f>PRODUCT(Sales[[#This Row],[Quantity Sold]],Sales[[#This Row],[Unit Selling Price (CAD)]])</f>
        <v>314.37</v>
      </c>
    </row>
    <row r="1220" spans="1:10">
      <c r="A1220" t="s">
        <v>1668</v>
      </c>
      <c r="B1220" s="2">
        <v>46186</v>
      </c>
      <c r="C1220" t="s">
        <v>351</v>
      </c>
      <c r="D1220" t="s">
        <v>352</v>
      </c>
      <c r="E1220" t="str">
        <f>_xlfn.XLOOKUP(Sales[[#This Row],[Product Name]],Products[Product Name],Products[Category])</f>
        <v>Desserts</v>
      </c>
      <c r="F1220" t="s">
        <v>449</v>
      </c>
      <c r="G1220" t="s">
        <v>450</v>
      </c>
      <c r="H1220">
        <v>47</v>
      </c>
      <c r="I1220" s="5">
        <f>_xlfn.XLOOKUP(Sales[[#This Row],[Product Name]],Products[Product Name],Products[Selling Price (CAD)])</f>
        <v>4.99</v>
      </c>
      <c r="J1220" s="5">
        <f>PRODUCT(Sales[[#This Row],[Quantity Sold]],Sales[[#This Row],[Unit Selling Price (CAD)]])</f>
        <v>234.53</v>
      </c>
    </row>
    <row r="1221" spans="1:10">
      <c r="A1221" t="s">
        <v>1669</v>
      </c>
      <c r="B1221" s="2">
        <v>46186</v>
      </c>
      <c r="C1221" t="s">
        <v>117</v>
      </c>
      <c r="D1221" t="s">
        <v>118</v>
      </c>
      <c r="E1221" t="str">
        <f>_xlfn.XLOOKUP(Sales[[#This Row],[Product Name]],Products[Product Name],Products[Category])</f>
        <v>Chicken</v>
      </c>
      <c r="F1221" t="s">
        <v>444</v>
      </c>
      <c r="G1221" t="s">
        <v>450</v>
      </c>
      <c r="H1221">
        <v>59</v>
      </c>
      <c r="I1221" s="5">
        <f>_xlfn.XLOOKUP(Sales[[#This Row],[Product Name]],Products[Product Name],Products[Selling Price (CAD)])</f>
        <v>4.99</v>
      </c>
      <c r="J1221" s="5">
        <f>PRODUCT(Sales[[#This Row],[Quantity Sold]],Sales[[#This Row],[Unit Selling Price (CAD)]])</f>
        <v>294.41000000000003</v>
      </c>
    </row>
    <row r="1222" spans="1:10">
      <c r="A1222" t="s">
        <v>1670</v>
      </c>
      <c r="B1222" s="2">
        <v>46186</v>
      </c>
      <c r="C1222" t="s">
        <v>265</v>
      </c>
      <c r="D1222" t="s">
        <v>266</v>
      </c>
      <c r="E1222" t="str">
        <f>_xlfn.XLOOKUP(Sales[[#This Row],[Product Name]],Products[Product Name],Products[Category])</f>
        <v>Beverages</v>
      </c>
      <c r="F1222" t="s">
        <v>444</v>
      </c>
      <c r="G1222" t="s">
        <v>450</v>
      </c>
      <c r="H1222">
        <v>40</v>
      </c>
      <c r="I1222" s="5">
        <f>_xlfn.XLOOKUP(Sales[[#This Row],[Product Name]],Products[Product Name],Products[Selling Price (CAD)])</f>
        <v>1.99</v>
      </c>
      <c r="J1222" s="5">
        <f>PRODUCT(Sales[[#This Row],[Quantity Sold]],Sales[[#This Row],[Unit Selling Price (CAD)]])</f>
        <v>79.599999999999994</v>
      </c>
    </row>
    <row r="1223" spans="1:10">
      <c r="A1223" t="s">
        <v>1671</v>
      </c>
      <c r="B1223" s="2">
        <v>46186</v>
      </c>
      <c r="C1223" t="s">
        <v>159</v>
      </c>
      <c r="D1223" t="s">
        <v>160</v>
      </c>
      <c r="E1223" t="str">
        <f>_xlfn.XLOOKUP(Sales[[#This Row],[Product Name]],Products[Product Name],Products[Category])</f>
        <v>Breakfast</v>
      </c>
      <c r="F1223" t="s">
        <v>449</v>
      </c>
      <c r="G1223" t="s">
        <v>452</v>
      </c>
      <c r="H1223">
        <v>66</v>
      </c>
      <c r="I1223" s="5">
        <f>_xlfn.XLOOKUP(Sales[[#This Row],[Product Name]],Products[Product Name],Products[Selling Price (CAD)])</f>
        <v>2.4900000000000002</v>
      </c>
      <c r="J1223" s="5">
        <f>PRODUCT(Sales[[#This Row],[Quantity Sold]],Sales[[#This Row],[Unit Selling Price (CAD)]])</f>
        <v>164.34</v>
      </c>
    </row>
    <row r="1224" spans="1:10">
      <c r="A1224" t="s">
        <v>1672</v>
      </c>
      <c r="B1224" s="2">
        <v>46187</v>
      </c>
      <c r="C1224" t="s">
        <v>237</v>
      </c>
      <c r="D1224" t="s">
        <v>238</v>
      </c>
      <c r="E1224" t="str">
        <f>_xlfn.XLOOKUP(Sales[[#This Row],[Product Name]],Products[Product Name],Products[Category])</f>
        <v>Salads</v>
      </c>
      <c r="F1224" t="s">
        <v>449</v>
      </c>
      <c r="G1224" t="s">
        <v>454</v>
      </c>
      <c r="H1224">
        <v>32</v>
      </c>
      <c r="I1224" s="5">
        <f>_xlfn.XLOOKUP(Sales[[#This Row],[Product Name]],Products[Product Name],Products[Selling Price (CAD)])</f>
        <v>8.99</v>
      </c>
      <c r="J1224" s="5">
        <f>PRODUCT(Sales[[#This Row],[Quantity Sold]],Sales[[#This Row],[Unit Selling Price (CAD)]])</f>
        <v>287.68</v>
      </c>
    </row>
    <row r="1225" spans="1:10">
      <c r="A1225" t="s">
        <v>1673</v>
      </c>
      <c r="B1225" s="2">
        <v>46187</v>
      </c>
      <c r="C1225" t="s">
        <v>111</v>
      </c>
      <c r="D1225" t="s">
        <v>112</v>
      </c>
      <c r="E1225" t="str">
        <f>_xlfn.XLOOKUP(Sales[[#This Row],[Product Name]],Products[Product Name],Products[Category])</f>
        <v>Chicken</v>
      </c>
      <c r="F1225" t="s">
        <v>444</v>
      </c>
      <c r="G1225" t="s">
        <v>450</v>
      </c>
      <c r="H1225">
        <v>74</v>
      </c>
      <c r="I1225" s="5">
        <f>_xlfn.XLOOKUP(Sales[[#This Row],[Product Name]],Products[Product Name],Products[Selling Price (CAD)])</f>
        <v>5.99</v>
      </c>
      <c r="J1225" s="5">
        <f>PRODUCT(Sales[[#This Row],[Quantity Sold]],Sales[[#This Row],[Unit Selling Price (CAD)]])</f>
        <v>443.26</v>
      </c>
    </row>
    <row r="1226" spans="1:10">
      <c r="A1226" t="s">
        <v>1674</v>
      </c>
      <c r="B1226" s="2">
        <v>46187</v>
      </c>
      <c r="C1226" t="s">
        <v>82</v>
      </c>
      <c r="D1226" t="s">
        <v>83</v>
      </c>
      <c r="E1226" t="str">
        <f>_xlfn.XLOOKUP(Sales[[#This Row],[Product Name]],Products[Product Name],Products[Category])</f>
        <v>Chicken</v>
      </c>
      <c r="F1226" t="s">
        <v>449</v>
      </c>
      <c r="G1226" t="s">
        <v>454</v>
      </c>
      <c r="H1226">
        <v>48</v>
      </c>
      <c r="I1226" s="5">
        <f>_xlfn.XLOOKUP(Sales[[#This Row],[Product Name]],Products[Product Name],Products[Selling Price (CAD)])</f>
        <v>6.99</v>
      </c>
      <c r="J1226" s="5">
        <f>PRODUCT(Sales[[#This Row],[Quantity Sold]],Sales[[#This Row],[Unit Selling Price (CAD)]])</f>
        <v>335.52</v>
      </c>
    </row>
    <row r="1227" spans="1:10">
      <c r="A1227" t="s">
        <v>1675</v>
      </c>
      <c r="B1227" s="2">
        <v>46187</v>
      </c>
      <c r="C1227" t="s">
        <v>321</v>
      </c>
      <c r="D1227" t="s">
        <v>322</v>
      </c>
      <c r="E1227" t="str">
        <f>_xlfn.XLOOKUP(Sales[[#This Row],[Product Name]],Products[Product Name],Products[Category])</f>
        <v>Beverages</v>
      </c>
      <c r="F1227" t="s">
        <v>444</v>
      </c>
      <c r="G1227" t="s">
        <v>450</v>
      </c>
      <c r="H1227">
        <v>42</v>
      </c>
      <c r="I1227" s="5">
        <f>_xlfn.XLOOKUP(Sales[[#This Row],[Product Name]],Products[Product Name],Products[Selling Price (CAD)])</f>
        <v>2.4900000000000002</v>
      </c>
      <c r="J1227" s="5">
        <f>PRODUCT(Sales[[#This Row],[Quantity Sold]],Sales[[#This Row],[Unit Selling Price (CAD)]])</f>
        <v>104.58000000000001</v>
      </c>
    </row>
    <row r="1228" spans="1:10">
      <c r="A1228" t="s">
        <v>1676</v>
      </c>
      <c r="B1228" s="2">
        <v>46187</v>
      </c>
      <c r="C1228" t="s">
        <v>291</v>
      </c>
      <c r="D1228" t="s">
        <v>292</v>
      </c>
      <c r="E1228" t="str">
        <f>_xlfn.XLOOKUP(Sales[[#This Row],[Product Name]],Products[Product Name],Products[Category])</f>
        <v>Beverages</v>
      </c>
      <c r="F1228" t="s">
        <v>444</v>
      </c>
      <c r="G1228" t="s">
        <v>450</v>
      </c>
      <c r="H1228">
        <v>38</v>
      </c>
      <c r="I1228" s="5">
        <f>_xlfn.XLOOKUP(Sales[[#This Row],[Product Name]],Products[Product Name],Products[Selling Price (CAD)])</f>
        <v>3.99</v>
      </c>
      <c r="J1228" s="5">
        <f>PRODUCT(Sales[[#This Row],[Quantity Sold]],Sales[[#This Row],[Unit Selling Price (CAD)]])</f>
        <v>151.62</v>
      </c>
    </row>
    <row r="1229" spans="1:10">
      <c r="A1229" t="s">
        <v>1677</v>
      </c>
      <c r="B1229" s="2">
        <v>46187</v>
      </c>
      <c r="C1229" t="s">
        <v>289</v>
      </c>
      <c r="D1229" t="s">
        <v>290</v>
      </c>
      <c r="E1229" t="str">
        <f>_xlfn.XLOOKUP(Sales[[#This Row],[Product Name]],Products[Product Name],Products[Category])</f>
        <v>Beverages</v>
      </c>
      <c r="F1229" t="s">
        <v>444</v>
      </c>
      <c r="G1229" t="s">
        <v>450</v>
      </c>
      <c r="H1229">
        <v>36</v>
      </c>
      <c r="I1229" s="5">
        <f>_xlfn.XLOOKUP(Sales[[#This Row],[Product Name]],Products[Product Name],Products[Selling Price (CAD)])</f>
        <v>2.99</v>
      </c>
      <c r="J1229" s="5">
        <f>PRODUCT(Sales[[#This Row],[Quantity Sold]],Sales[[#This Row],[Unit Selling Price (CAD)]])</f>
        <v>107.64000000000001</v>
      </c>
    </row>
    <row r="1230" spans="1:10">
      <c r="A1230" t="s">
        <v>1678</v>
      </c>
      <c r="B1230" s="2">
        <v>46187</v>
      </c>
      <c r="C1230" t="s">
        <v>137</v>
      </c>
      <c r="D1230" t="s">
        <v>138</v>
      </c>
      <c r="E1230" t="str">
        <f>_xlfn.XLOOKUP(Sales[[#This Row],[Product Name]],Products[Product Name],Products[Category])</f>
        <v>Breakfast</v>
      </c>
      <c r="F1230" t="s">
        <v>449</v>
      </c>
      <c r="G1230" t="s">
        <v>450</v>
      </c>
      <c r="H1230">
        <v>44</v>
      </c>
      <c r="I1230" s="5">
        <f>_xlfn.XLOOKUP(Sales[[#This Row],[Product Name]],Products[Product Name],Products[Selling Price (CAD)])</f>
        <v>4.99</v>
      </c>
      <c r="J1230" s="5">
        <f>PRODUCT(Sales[[#This Row],[Quantity Sold]],Sales[[#This Row],[Unit Selling Price (CAD)]])</f>
        <v>219.56</v>
      </c>
    </row>
    <row r="1231" spans="1:10">
      <c r="A1231" t="s">
        <v>1679</v>
      </c>
      <c r="B1231" s="2">
        <v>46187</v>
      </c>
      <c r="C1231" t="s">
        <v>277</v>
      </c>
      <c r="D1231" t="s">
        <v>278</v>
      </c>
      <c r="E1231" t="str">
        <f>_xlfn.XLOOKUP(Sales[[#This Row],[Product Name]],Products[Product Name],Products[Category])</f>
        <v>Beverages</v>
      </c>
      <c r="F1231" t="s">
        <v>449</v>
      </c>
      <c r="G1231" t="s">
        <v>454</v>
      </c>
      <c r="H1231">
        <v>65</v>
      </c>
      <c r="I1231" s="5">
        <f>_xlfn.XLOOKUP(Sales[[#This Row],[Product Name]],Products[Product Name],Products[Selling Price (CAD)])</f>
        <v>1.99</v>
      </c>
      <c r="J1231" s="5">
        <f>PRODUCT(Sales[[#This Row],[Quantity Sold]],Sales[[#This Row],[Unit Selling Price (CAD)]])</f>
        <v>129.35</v>
      </c>
    </row>
    <row r="1232" spans="1:10">
      <c r="A1232" t="s">
        <v>1680</v>
      </c>
      <c r="B1232" s="2">
        <v>46188</v>
      </c>
      <c r="C1232" t="s">
        <v>109</v>
      </c>
      <c r="D1232" t="s">
        <v>110</v>
      </c>
      <c r="E1232" t="str">
        <f>_xlfn.XLOOKUP(Sales[[#This Row],[Product Name]],Products[Product Name],Products[Category])</f>
        <v>Chicken</v>
      </c>
      <c r="F1232" t="s">
        <v>449</v>
      </c>
      <c r="G1232" t="s">
        <v>445</v>
      </c>
      <c r="H1232">
        <v>62</v>
      </c>
      <c r="I1232" s="5">
        <f>_xlfn.XLOOKUP(Sales[[#This Row],[Product Name]],Products[Product Name],Products[Selling Price (CAD)])</f>
        <v>5.99</v>
      </c>
      <c r="J1232" s="5">
        <f>PRODUCT(Sales[[#This Row],[Quantity Sold]],Sales[[#This Row],[Unit Selling Price (CAD)]])</f>
        <v>371.38</v>
      </c>
    </row>
    <row r="1233" spans="1:10">
      <c r="A1233" t="s">
        <v>1681</v>
      </c>
      <c r="B1233" s="2">
        <v>46188</v>
      </c>
      <c r="C1233" t="s">
        <v>25</v>
      </c>
      <c r="D1233" t="s">
        <v>26</v>
      </c>
      <c r="E1233" t="str">
        <f>_xlfn.XLOOKUP(Sales[[#This Row],[Product Name]],Products[Product Name],Products[Category])</f>
        <v>Burgers</v>
      </c>
      <c r="F1233" t="s">
        <v>447</v>
      </c>
      <c r="G1233" t="s">
        <v>452</v>
      </c>
      <c r="H1233">
        <v>69</v>
      </c>
      <c r="I1233" s="5">
        <f>_xlfn.XLOOKUP(Sales[[#This Row],[Product Name]],Products[Product Name],Products[Selling Price (CAD)])</f>
        <v>5.99</v>
      </c>
      <c r="J1233" s="5">
        <f>PRODUCT(Sales[[#This Row],[Quantity Sold]],Sales[[#This Row],[Unit Selling Price (CAD)]])</f>
        <v>413.31</v>
      </c>
    </row>
    <row r="1234" spans="1:10">
      <c r="A1234" t="s">
        <v>1682</v>
      </c>
      <c r="B1234" s="2">
        <v>46188</v>
      </c>
      <c r="C1234" t="s">
        <v>235</v>
      </c>
      <c r="D1234" t="s">
        <v>236</v>
      </c>
      <c r="E1234" t="str">
        <f>_xlfn.XLOOKUP(Sales[[#This Row],[Product Name]],Products[Product Name],Products[Category])</f>
        <v>Salads</v>
      </c>
      <c r="F1234" t="s">
        <v>444</v>
      </c>
      <c r="G1234" t="s">
        <v>454</v>
      </c>
      <c r="H1234">
        <v>69</v>
      </c>
      <c r="I1234" s="5">
        <f>_xlfn.XLOOKUP(Sales[[#This Row],[Product Name]],Products[Product Name],Products[Selling Price (CAD)])</f>
        <v>9.49</v>
      </c>
      <c r="J1234" s="5">
        <f>PRODUCT(Sales[[#This Row],[Quantity Sold]],Sales[[#This Row],[Unit Selling Price (CAD)]])</f>
        <v>654.81000000000006</v>
      </c>
    </row>
    <row r="1235" spans="1:10">
      <c r="A1235" t="s">
        <v>1683</v>
      </c>
      <c r="B1235" s="2">
        <v>46188</v>
      </c>
      <c r="C1235" t="s">
        <v>205</v>
      </c>
      <c r="D1235" t="s">
        <v>206</v>
      </c>
      <c r="E1235" t="str">
        <f>_xlfn.XLOOKUP(Sales[[#This Row],[Product Name]],Products[Product Name],Products[Category])</f>
        <v>Sides</v>
      </c>
      <c r="F1235" t="s">
        <v>449</v>
      </c>
      <c r="G1235" t="s">
        <v>454</v>
      </c>
      <c r="H1235">
        <v>54</v>
      </c>
      <c r="I1235" s="5">
        <f>_xlfn.XLOOKUP(Sales[[#This Row],[Product Name]],Products[Product Name],Products[Selling Price (CAD)])</f>
        <v>4.99</v>
      </c>
      <c r="J1235" s="5">
        <f>PRODUCT(Sales[[#This Row],[Quantity Sold]],Sales[[#This Row],[Unit Selling Price (CAD)]])</f>
        <v>269.46000000000004</v>
      </c>
    </row>
    <row r="1236" spans="1:10">
      <c r="A1236" t="s">
        <v>1684</v>
      </c>
      <c r="B1236" s="2">
        <v>46188</v>
      </c>
      <c r="C1236" t="s">
        <v>105</v>
      </c>
      <c r="D1236" t="s">
        <v>106</v>
      </c>
      <c r="E1236" t="str">
        <f>_xlfn.XLOOKUP(Sales[[#This Row],[Product Name]],Products[Product Name],Products[Category])</f>
        <v>Chicken</v>
      </c>
      <c r="F1236" t="s">
        <v>447</v>
      </c>
      <c r="G1236" t="s">
        <v>450</v>
      </c>
      <c r="H1236">
        <v>50</v>
      </c>
      <c r="I1236" s="5">
        <f>_xlfn.XLOOKUP(Sales[[#This Row],[Product Name]],Products[Product Name],Products[Selling Price (CAD)])</f>
        <v>4.99</v>
      </c>
      <c r="J1236" s="5">
        <f>PRODUCT(Sales[[#This Row],[Quantity Sold]],Sales[[#This Row],[Unit Selling Price (CAD)]])</f>
        <v>249.5</v>
      </c>
    </row>
    <row r="1237" spans="1:10">
      <c r="A1237" t="s">
        <v>1685</v>
      </c>
      <c r="B1237" s="2">
        <v>46188</v>
      </c>
      <c r="C1237" t="s">
        <v>54</v>
      </c>
      <c r="D1237" t="s">
        <v>55</v>
      </c>
      <c r="E1237" t="str">
        <f>_xlfn.XLOOKUP(Sales[[#This Row],[Product Name]],Products[Product Name],Products[Category])</f>
        <v>Burgers</v>
      </c>
      <c r="F1237" t="s">
        <v>444</v>
      </c>
      <c r="G1237" t="s">
        <v>454</v>
      </c>
      <c r="H1237">
        <v>67</v>
      </c>
      <c r="I1237" s="5">
        <f>_xlfn.XLOOKUP(Sales[[#This Row],[Product Name]],Products[Product Name],Products[Selling Price (CAD)])</f>
        <v>8.99</v>
      </c>
      <c r="J1237" s="5">
        <f>PRODUCT(Sales[[#This Row],[Quantity Sold]],Sales[[#This Row],[Unit Selling Price (CAD)]])</f>
        <v>602.33000000000004</v>
      </c>
    </row>
    <row r="1238" spans="1:10">
      <c r="A1238" t="s">
        <v>1686</v>
      </c>
      <c r="B1238" s="2">
        <v>46189</v>
      </c>
      <c r="C1238" t="s">
        <v>281</v>
      </c>
      <c r="D1238" t="s">
        <v>282</v>
      </c>
      <c r="E1238" t="str">
        <f>_xlfn.XLOOKUP(Sales[[#This Row],[Product Name]],Products[Product Name],Products[Category])</f>
        <v>Beverages</v>
      </c>
      <c r="F1238" t="s">
        <v>447</v>
      </c>
      <c r="G1238" t="s">
        <v>450</v>
      </c>
      <c r="H1238">
        <v>73</v>
      </c>
      <c r="I1238" s="5">
        <f>_xlfn.XLOOKUP(Sales[[#This Row],[Product Name]],Products[Product Name],Products[Selling Price (CAD)])</f>
        <v>2.99</v>
      </c>
      <c r="J1238" s="5">
        <f>PRODUCT(Sales[[#This Row],[Quantity Sold]],Sales[[#This Row],[Unit Selling Price (CAD)]])</f>
        <v>218.27</v>
      </c>
    </row>
    <row r="1239" spans="1:10">
      <c r="A1239" t="s">
        <v>1687</v>
      </c>
      <c r="B1239" s="2">
        <v>46189</v>
      </c>
      <c r="C1239" t="s">
        <v>295</v>
      </c>
      <c r="D1239" t="s">
        <v>296</v>
      </c>
      <c r="E1239" t="str">
        <f>_xlfn.XLOOKUP(Sales[[#This Row],[Product Name]],Products[Product Name],Products[Category])</f>
        <v>Beverages</v>
      </c>
      <c r="F1239" t="s">
        <v>447</v>
      </c>
      <c r="G1239" t="s">
        <v>445</v>
      </c>
      <c r="H1239">
        <v>38</v>
      </c>
      <c r="I1239" s="5">
        <f>_xlfn.XLOOKUP(Sales[[#This Row],[Product Name]],Products[Product Name],Products[Selling Price (CAD)])</f>
        <v>2.99</v>
      </c>
      <c r="J1239" s="5">
        <f>PRODUCT(Sales[[#This Row],[Quantity Sold]],Sales[[#This Row],[Unit Selling Price (CAD)]])</f>
        <v>113.62</v>
      </c>
    </row>
    <row r="1240" spans="1:10">
      <c r="A1240" t="s">
        <v>1688</v>
      </c>
      <c r="B1240" s="2">
        <v>46189</v>
      </c>
      <c r="C1240" t="s">
        <v>70</v>
      </c>
      <c r="D1240" t="s">
        <v>71</v>
      </c>
      <c r="E1240" t="str">
        <f>_xlfn.XLOOKUP(Sales[[#This Row],[Product Name]],Products[Product Name],Products[Category])</f>
        <v>Burgers</v>
      </c>
      <c r="F1240" t="s">
        <v>447</v>
      </c>
      <c r="G1240" t="s">
        <v>450</v>
      </c>
      <c r="H1240">
        <v>31</v>
      </c>
      <c r="I1240" s="5">
        <f>_xlfn.XLOOKUP(Sales[[#This Row],[Product Name]],Products[Product Name],Products[Selling Price (CAD)])</f>
        <v>8.99</v>
      </c>
      <c r="J1240" s="5">
        <f>PRODUCT(Sales[[#This Row],[Quantity Sold]],Sales[[#This Row],[Unit Selling Price (CAD)]])</f>
        <v>278.69</v>
      </c>
    </row>
    <row r="1241" spans="1:10">
      <c r="A1241" t="s">
        <v>1689</v>
      </c>
      <c r="B1241" s="2">
        <v>46189</v>
      </c>
      <c r="C1241" t="s">
        <v>155</v>
      </c>
      <c r="D1241" t="s">
        <v>156</v>
      </c>
      <c r="E1241" t="str">
        <f>_xlfn.XLOOKUP(Sales[[#This Row],[Product Name]],Products[Product Name],Products[Category])</f>
        <v>Breakfast</v>
      </c>
      <c r="F1241" t="s">
        <v>444</v>
      </c>
      <c r="G1241" t="s">
        <v>450</v>
      </c>
      <c r="H1241">
        <v>76</v>
      </c>
      <c r="I1241" s="5">
        <f>_xlfn.XLOOKUP(Sales[[#This Row],[Product Name]],Products[Product Name],Products[Selling Price (CAD)])</f>
        <v>4.99</v>
      </c>
      <c r="J1241" s="5">
        <f>PRODUCT(Sales[[#This Row],[Quantity Sold]],Sales[[#This Row],[Unit Selling Price (CAD)]])</f>
        <v>379.24</v>
      </c>
    </row>
    <row r="1242" spans="1:10">
      <c r="A1242" t="s">
        <v>1690</v>
      </c>
      <c r="B1242" s="2">
        <v>46189</v>
      </c>
      <c r="C1242" t="s">
        <v>419</v>
      </c>
      <c r="D1242" t="s">
        <v>420</v>
      </c>
      <c r="E1242" t="str">
        <f>_xlfn.XLOOKUP(Sales[[#This Row],[Product Name]],Products[Product Name],Products[Category])</f>
        <v>Combo Meals</v>
      </c>
      <c r="F1242" t="s">
        <v>447</v>
      </c>
      <c r="G1242" t="s">
        <v>452</v>
      </c>
      <c r="H1242">
        <v>40</v>
      </c>
      <c r="I1242" s="5">
        <f>_xlfn.XLOOKUP(Sales[[#This Row],[Product Name]],Products[Product Name],Products[Selling Price (CAD)])</f>
        <v>7.99</v>
      </c>
      <c r="J1242" s="5">
        <f>PRODUCT(Sales[[#This Row],[Quantity Sold]],Sales[[#This Row],[Unit Selling Price (CAD)]])</f>
        <v>319.60000000000002</v>
      </c>
    </row>
    <row r="1243" spans="1:10">
      <c r="A1243" t="s">
        <v>1691</v>
      </c>
      <c r="B1243" s="2">
        <v>46190</v>
      </c>
      <c r="C1243" t="s">
        <v>209</v>
      </c>
      <c r="D1243" t="s">
        <v>210</v>
      </c>
      <c r="E1243" t="str">
        <f>_xlfn.XLOOKUP(Sales[[#This Row],[Product Name]],Products[Product Name],Products[Category])</f>
        <v>Sides</v>
      </c>
      <c r="F1243" t="s">
        <v>447</v>
      </c>
      <c r="G1243" t="s">
        <v>445</v>
      </c>
      <c r="H1243">
        <v>72</v>
      </c>
      <c r="I1243" s="5">
        <f>_xlfn.XLOOKUP(Sales[[#This Row],[Product Name]],Products[Product Name],Products[Selling Price (CAD)])</f>
        <v>4.99</v>
      </c>
      <c r="J1243" s="5">
        <f>PRODUCT(Sales[[#This Row],[Quantity Sold]],Sales[[#This Row],[Unit Selling Price (CAD)]])</f>
        <v>359.28000000000003</v>
      </c>
    </row>
    <row r="1244" spans="1:10">
      <c r="A1244" t="s">
        <v>1692</v>
      </c>
      <c r="B1244" s="2">
        <v>46190</v>
      </c>
      <c r="C1244" t="s">
        <v>293</v>
      </c>
      <c r="D1244" t="s">
        <v>294</v>
      </c>
      <c r="E1244" t="str">
        <f>_xlfn.XLOOKUP(Sales[[#This Row],[Product Name]],Products[Product Name],Products[Category])</f>
        <v>Beverages</v>
      </c>
      <c r="F1244" t="s">
        <v>447</v>
      </c>
      <c r="G1244" t="s">
        <v>450</v>
      </c>
      <c r="H1244">
        <v>56</v>
      </c>
      <c r="I1244" s="5">
        <f>_xlfn.XLOOKUP(Sales[[#This Row],[Product Name]],Products[Product Name],Products[Selling Price (CAD)])</f>
        <v>3.99</v>
      </c>
      <c r="J1244" s="5">
        <f>PRODUCT(Sales[[#This Row],[Quantity Sold]],Sales[[#This Row],[Unit Selling Price (CAD)]])</f>
        <v>223.44</v>
      </c>
    </row>
    <row r="1245" spans="1:10">
      <c r="A1245" t="s">
        <v>1693</v>
      </c>
      <c r="B1245" s="2">
        <v>46190</v>
      </c>
      <c r="C1245" t="s">
        <v>111</v>
      </c>
      <c r="D1245" t="s">
        <v>112</v>
      </c>
      <c r="E1245" t="str">
        <f>_xlfn.XLOOKUP(Sales[[#This Row],[Product Name]],Products[Product Name],Products[Category])</f>
        <v>Chicken</v>
      </c>
      <c r="F1245" t="s">
        <v>444</v>
      </c>
      <c r="G1245" t="s">
        <v>454</v>
      </c>
      <c r="H1245">
        <v>58</v>
      </c>
      <c r="I1245" s="5">
        <f>_xlfn.XLOOKUP(Sales[[#This Row],[Product Name]],Products[Product Name],Products[Selling Price (CAD)])</f>
        <v>5.99</v>
      </c>
      <c r="J1245" s="5">
        <f>PRODUCT(Sales[[#This Row],[Quantity Sold]],Sales[[#This Row],[Unit Selling Price (CAD)]])</f>
        <v>347.42</v>
      </c>
    </row>
    <row r="1246" spans="1:10">
      <c r="A1246" t="s">
        <v>1694</v>
      </c>
      <c r="B1246" s="2">
        <v>46190</v>
      </c>
      <c r="C1246" t="s">
        <v>139</v>
      </c>
      <c r="D1246" t="s">
        <v>140</v>
      </c>
      <c r="E1246" t="str">
        <f>_xlfn.XLOOKUP(Sales[[#This Row],[Product Name]],Products[Product Name],Products[Category])</f>
        <v>Breakfast</v>
      </c>
      <c r="F1246" t="s">
        <v>444</v>
      </c>
      <c r="G1246" t="s">
        <v>452</v>
      </c>
      <c r="H1246">
        <v>65</v>
      </c>
      <c r="I1246" s="5">
        <f>_xlfn.XLOOKUP(Sales[[#This Row],[Product Name]],Products[Product Name],Products[Selling Price (CAD)])</f>
        <v>4.99</v>
      </c>
      <c r="J1246" s="5">
        <f>PRODUCT(Sales[[#This Row],[Quantity Sold]],Sales[[#This Row],[Unit Selling Price (CAD)]])</f>
        <v>324.35000000000002</v>
      </c>
    </row>
    <row r="1247" spans="1:10">
      <c r="A1247" t="s">
        <v>1695</v>
      </c>
      <c r="B1247" s="2">
        <v>46190</v>
      </c>
      <c r="C1247" t="s">
        <v>56</v>
      </c>
      <c r="D1247" t="s">
        <v>57</v>
      </c>
      <c r="E1247" t="str">
        <f>_xlfn.XLOOKUP(Sales[[#This Row],[Product Name]],Products[Product Name],Products[Category])</f>
        <v>Burgers</v>
      </c>
      <c r="F1247" t="s">
        <v>449</v>
      </c>
      <c r="G1247" t="s">
        <v>450</v>
      </c>
      <c r="H1247">
        <v>52</v>
      </c>
      <c r="I1247" s="5">
        <f>_xlfn.XLOOKUP(Sales[[#This Row],[Product Name]],Products[Product Name],Products[Selling Price (CAD)])</f>
        <v>6.49</v>
      </c>
      <c r="J1247" s="5">
        <f>PRODUCT(Sales[[#This Row],[Quantity Sold]],Sales[[#This Row],[Unit Selling Price (CAD)]])</f>
        <v>337.48</v>
      </c>
    </row>
    <row r="1248" spans="1:10">
      <c r="A1248" t="s">
        <v>1696</v>
      </c>
      <c r="B1248" s="2">
        <v>46190</v>
      </c>
      <c r="C1248" t="s">
        <v>183</v>
      </c>
      <c r="D1248" t="s">
        <v>184</v>
      </c>
      <c r="E1248" t="str">
        <f>_xlfn.XLOOKUP(Sales[[#This Row],[Product Name]],Products[Product Name],Products[Category])</f>
        <v>Sides</v>
      </c>
      <c r="F1248" t="s">
        <v>447</v>
      </c>
      <c r="G1248" t="s">
        <v>454</v>
      </c>
      <c r="H1248">
        <v>77</v>
      </c>
      <c r="I1248" s="5">
        <f>_xlfn.XLOOKUP(Sales[[#This Row],[Product Name]],Products[Product Name],Products[Selling Price (CAD)])</f>
        <v>2.99</v>
      </c>
      <c r="J1248" s="5">
        <f>PRODUCT(Sales[[#This Row],[Quantity Sold]],Sales[[#This Row],[Unit Selling Price (CAD)]])</f>
        <v>230.23000000000002</v>
      </c>
    </row>
    <row r="1249" spans="1:10">
      <c r="A1249" t="s">
        <v>1697</v>
      </c>
      <c r="B1249" s="2">
        <v>46190</v>
      </c>
      <c r="C1249" t="s">
        <v>52</v>
      </c>
      <c r="D1249" t="s">
        <v>53</v>
      </c>
      <c r="E1249" t="str">
        <f>_xlfn.XLOOKUP(Sales[[#This Row],[Product Name]],Products[Product Name],Products[Category])</f>
        <v>Burgers</v>
      </c>
      <c r="F1249" t="s">
        <v>447</v>
      </c>
      <c r="G1249" t="s">
        <v>450</v>
      </c>
      <c r="H1249">
        <v>54</v>
      </c>
      <c r="I1249" s="5">
        <f>_xlfn.XLOOKUP(Sales[[#This Row],[Product Name]],Products[Product Name],Products[Selling Price (CAD)])</f>
        <v>6.99</v>
      </c>
      <c r="J1249" s="5">
        <f>PRODUCT(Sales[[#This Row],[Quantity Sold]],Sales[[#This Row],[Unit Selling Price (CAD)]])</f>
        <v>377.46000000000004</v>
      </c>
    </row>
    <row r="1250" spans="1:10">
      <c r="A1250" t="s">
        <v>1698</v>
      </c>
      <c r="B1250" s="2">
        <v>46190</v>
      </c>
      <c r="C1250" t="s">
        <v>163</v>
      </c>
      <c r="D1250" t="s">
        <v>164</v>
      </c>
      <c r="E1250" t="str">
        <f>_xlfn.XLOOKUP(Sales[[#This Row],[Product Name]],Products[Product Name],Products[Category])</f>
        <v>Breakfast</v>
      </c>
      <c r="F1250" t="s">
        <v>444</v>
      </c>
      <c r="G1250" t="s">
        <v>450</v>
      </c>
      <c r="H1250">
        <v>50</v>
      </c>
      <c r="I1250" s="5">
        <f>_xlfn.XLOOKUP(Sales[[#This Row],[Product Name]],Products[Product Name],Products[Selling Price (CAD)])</f>
        <v>3.99</v>
      </c>
      <c r="J1250" s="5">
        <f>PRODUCT(Sales[[#This Row],[Quantity Sold]],Sales[[#This Row],[Unit Selling Price (CAD)]])</f>
        <v>199.5</v>
      </c>
    </row>
    <row r="1251" spans="1:10">
      <c r="A1251" t="s">
        <v>1699</v>
      </c>
      <c r="B1251" s="2">
        <v>46190</v>
      </c>
      <c r="C1251" t="s">
        <v>167</v>
      </c>
      <c r="D1251" t="s">
        <v>168</v>
      </c>
      <c r="E1251" t="str">
        <f>_xlfn.XLOOKUP(Sales[[#This Row],[Product Name]],Products[Product Name],Products[Category])</f>
        <v>Breakfast</v>
      </c>
      <c r="F1251" t="s">
        <v>444</v>
      </c>
      <c r="G1251" t="s">
        <v>445</v>
      </c>
      <c r="H1251">
        <v>68</v>
      </c>
      <c r="I1251" s="5">
        <f>_xlfn.XLOOKUP(Sales[[#This Row],[Product Name]],Products[Product Name],Products[Selling Price (CAD)])</f>
        <v>4.99</v>
      </c>
      <c r="J1251" s="5">
        <f>PRODUCT(Sales[[#This Row],[Quantity Sold]],Sales[[#This Row],[Unit Selling Price (CAD)]])</f>
        <v>339.32</v>
      </c>
    </row>
    <row r="1252" spans="1:10">
      <c r="A1252" t="s">
        <v>1700</v>
      </c>
      <c r="B1252" s="2">
        <v>46191</v>
      </c>
      <c r="C1252" t="s">
        <v>58</v>
      </c>
      <c r="D1252" t="s">
        <v>59</v>
      </c>
      <c r="E1252" t="str">
        <f>_xlfn.XLOOKUP(Sales[[#This Row],[Product Name]],Products[Product Name],Products[Category])</f>
        <v>Burgers</v>
      </c>
      <c r="F1252" t="s">
        <v>444</v>
      </c>
      <c r="G1252" t="s">
        <v>450</v>
      </c>
      <c r="H1252">
        <v>38</v>
      </c>
      <c r="I1252" s="5">
        <f>_xlfn.XLOOKUP(Sales[[#This Row],[Product Name]],Products[Product Name],Products[Selling Price (CAD)])</f>
        <v>8.49</v>
      </c>
      <c r="J1252" s="5">
        <f>PRODUCT(Sales[[#This Row],[Quantity Sold]],Sales[[#This Row],[Unit Selling Price (CAD)]])</f>
        <v>322.62</v>
      </c>
    </row>
    <row r="1253" spans="1:10">
      <c r="A1253" t="s">
        <v>1701</v>
      </c>
      <c r="B1253" s="2">
        <v>46191</v>
      </c>
      <c r="C1253" t="s">
        <v>386</v>
      </c>
      <c r="D1253" t="s">
        <v>387</v>
      </c>
      <c r="E1253" t="str">
        <f>_xlfn.XLOOKUP(Sales[[#This Row],[Product Name]],Products[Product Name],Products[Category])</f>
        <v>Sauces &amp; Add-ons</v>
      </c>
      <c r="F1253" t="s">
        <v>449</v>
      </c>
      <c r="G1253" t="s">
        <v>445</v>
      </c>
      <c r="H1253">
        <v>55</v>
      </c>
      <c r="I1253" s="5">
        <f>_xlfn.XLOOKUP(Sales[[#This Row],[Product Name]],Products[Product Name],Products[Selling Price (CAD)])</f>
        <v>0.25</v>
      </c>
      <c r="J1253" s="5">
        <f>PRODUCT(Sales[[#This Row],[Quantity Sold]],Sales[[#This Row],[Unit Selling Price (CAD)]])</f>
        <v>13.75</v>
      </c>
    </row>
    <row r="1254" spans="1:10">
      <c r="A1254" t="s">
        <v>1702</v>
      </c>
      <c r="B1254" s="2">
        <v>46191</v>
      </c>
      <c r="C1254" t="s">
        <v>62</v>
      </c>
      <c r="D1254" t="s">
        <v>63</v>
      </c>
      <c r="E1254" t="str">
        <f>_xlfn.XLOOKUP(Sales[[#This Row],[Product Name]],Products[Product Name],Products[Category])</f>
        <v>Burgers</v>
      </c>
      <c r="F1254" t="s">
        <v>447</v>
      </c>
      <c r="G1254" t="s">
        <v>450</v>
      </c>
      <c r="H1254">
        <v>42</v>
      </c>
      <c r="I1254" s="5">
        <f>_xlfn.XLOOKUP(Sales[[#This Row],[Product Name]],Products[Product Name],Products[Selling Price (CAD)])</f>
        <v>8.99</v>
      </c>
      <c r="J1254" s="5">
        <f>PRODUCT(Sales[[#This Row],[Quantity Sold]],Sales[[#This Row],[Unit Selling Price (CAD)]])</f>
        <v>377.58</v>
      </c>
    </row>
    <row r="1255" spans="1:10">
      <c r="A1255" t="s">
        <v>1703</v>
      </c>
      <c r="B1255" s="2">
        <v>46191</v>
      </c>
      <c r="C1255" t="s">
        <v>329</v>
      </c>
      <c r="D1255" t="s">
        <v>330</v>
      </c>
      <c r="E1255" t="str">
        <f>_xlfn.XLOOKUP(Sales[[#This Row],[Product Name]],Products[Product Name],Products[Category])</f>
        <v>Desserts</v>
      </c>
      <c r="F1255" t="s">
        <v>449</v>
      </c>
      <c r="G1255" t="s">
        <v>445</v>
      </c>
      <c r="H1255">
        <v>55</v>
      </c>
      <c r="I1255" s="5">
        <f>_xlfn.XLOOKUP(Sales[[#This Row],[Product Name]],Products[Product Name],Products[Selling Price (CAD)])</f>
        <v>2.99</v>
      </c>
      <c r="J1255" s="5">
        <f>PRODUCT(Sales[[#This Row],[Quantity Sold]],Sales[[#This Row],[Unit Selling Price (CAD)]])</f>
        <v>164.45000000000002</v>
      </c>
    </row>
    <row r="1256" spans="1:10">
      <c r="A1256" t="s">
        <v>1704</v>
      </c>
      <c r="B1256" s="2">
        <v>46191</v>
      </c>
      <c r="C1256" t="s">
        <v>40</v>
      </c>
      <c r="D1256" t="s">
        <v>41</v>
      </c>
      <c r="E1256" t="str">
        <f>_xlfn.XLOOKUP(Sales[[#This Row],[Product Name]],Products[Product Name],Products[Category])</f>
        <v>Burgers</v>
      </c>
      <c r="F1256" t="s">
        <v>449</v>
      </c>
      <c r="G1256" t="s">
        <v>445</v>
      </c>
      <c r="H1256">
        <v>61</v>
      </c>
      <c r="I1256" s="5">
        <f>_xlfn.XLOOKUP(Sales[[#This Row],[Product Name]],Products[Product Name],Products[Selling Price (CAD)])</f>
        <v>6.99</v>
      </c>
      <c r="J1256" s="5">
        <f>PRODUCT(Sales[[#This Row],[Quantity Sold]],Sales[[#This Row],[Unit Selling Price (CAD)]])</f>
        <v>426.39</v>
      </c>
    </row>
    <row r="1257" spans="1:10">
      <c r="A1257" t="s">
        <v>1705</v>
      </c>
      <c r="B1257" s="2">
        <v>46191</v>
      </c>
      <c r="C1257" t="s">
        <v>273</v>
      </c>
      <c r="D1257" t="s">
        <v>274</v>
      </c>
      <c r="E1257" t="str">
        <f>_xlfn.XLOOKUP(Sales[[#This Row],[Product Name]],Products[Product Name],Products[Category])</f>
        <v>Beverages</v>
      </c>
      <c r="F1257" t="s">
        <v>444</v>
      </c>
      <c r="G1257" t="s">
        <v>454</v>
      </c>
      <c r="H1257">
        <v>36</v>
      </c>
      <c r="I1257" s="5">
        <f>_xlfn.XLOOKUP(Sales[[#This Row],[Product Name]],Products[Product Name],Products[Selling Price (CAD)])</f>
        <v>2.99</v>
      </c>
      <c r="J1257" s="5">
        <f>PRODUCT(Sales[[#This Row],[Quantity Sold]],Sales[[#This Row],[Unit Selling Price (CAD)]])</f>
        <v>107.64000000000001</v>
      </c>
    </row>
    <row r="1258" spans="1:10">
      <c r="A1258" t="s">
        <v>1706</v>
      </c>
      <c r="B1258" s="2">
        <v>46191</v>
      </c>
      <c r="C1258" t="s">
        <v>301</v>
      </c>
      <c r="D1258" t="s">
        <v>302</v>
      </c>
      <c r="E1258" t="str">
        <f>_xlfn.XLOOKUP(Sales[[#This Row],[Product Name]],Products[Product Name],Products[Category])</f>
        <v>Beverages</v>
      </c>
      <c r="F1258" t="s">
        <v>449</v>
      </c>
      <c r="G1258" t="s">
        <v>450</v>
      </c>
      <c r="H1258">
        <v>77</v>
      </c>
      <c r="I1258" s="5">
        <f>_xlfn.XLOOKUP(Sales[[#This Row],[Product Name]],Products[Product Name],Products[Selling Price (CAD)])</f>
        <v>1.99</v>
      </c>
      <c r="J1258" s="5">
        <f>PRODUCT(Sales[[#This Row],[Quantity Sold]],Sales[[#This Row],[Unit Selling Price (CAD)]])</f>
        <v>153.22999999999999</v>
      </c>
    </row>
    <row r="1259" spans="1:10">
      <c r="A1259" t="s">
        <v>1707</v>
      </c>
      <c r="B1259" s="2">
        <v>46192</v>
      </c>
      <c r="C1259" t="s">
        <v>191</v>
      </c>
      <c r="D1259" t="s">
        <v>192</v>
      </c>
      <c r="E1259" t="str">
        <f>_xlfn.XLOOKUP(Sales[[#This Row],[Product Name]],Products[Product Name],Products[Category])</f>
        <v>Sides</v>
      </c>
      <c r="F1259" t="s">
        <v>449</v>
      </c>
      <c r="G1259" t="s">
        <v>454</v>
      </c>
      <c r="H1259">
        <v>39</v>
      </c>
      <c r="I1259" s="5">
        <f>_xlfn.XLOOKUP(Sales[[#This Row],[Product Name]],Products[Product Name],Products[Selling Price (CAD)])</f>
        <v>3.99</v>
      </c>
      <c r="J1259" s="5">
        <f>PRODUCT(Sales[[#This Row],[Quantity Sold]],Sales[[#This Row],[Unit Selling Price (CAD)]])</f>
        <v>155.61000000000001</v>
      </c>
    </row>
    <row r="1260" spans="1:10">
      <c r="A1260" t="s">
        <v>1708</v>
      </c>
      <c r="B1260" s="2">
        <v>46192</v>
      </c>
      <c r="C1260" t="s">
        <v>46</v>
      </c>
      <c r="D1260" t="s">
        <v>47</v>
      </c>
      <c r="E1260" t="str">
        <f>_xlfn.XLOOKUP(Sales[[#This Row],[Product Name]],Products[Product Name],Products[Category])</f>
        <v>Burgers</v>
      </c>
      <c r="F1260" t="s">
        <v>444</v>
      </c>
      <c r="G1260" t="s">
        <v>454</v>
      </c>
      <c r="H1260">
        <v>58</v>
      </c>
      <c r="I1260" s="5">
        <f>_xlfn.XLOOKUP(Sales[[#This Row],[Product Name]],Products[Product Name],Products[Selling Price (CAD)])</f>
        <v>8.49</v>
      </c>
      <c r="J1260" s="5">
        <f>PRODUCT(Sales[[#This Row],[Quantity Sold]],Sales[[#This Row],[Unit Selling Price (CAD)]])</f>
        <v>492.42</v>
      </c>
    </row>
    <row r="1261" spans="1:10">
      <c r="A1261" t="s">
        <v>1709</v>
      </c>
      <c r="B1261" s="2">
        <v>46192</v>
      </c>
      <c r="C1261" t="s">
        <v>50</v>
      </c>
      <c r="D1261" t="s">
        <v>51</v>
      </c>
      <c r="E1261" t="str">
        <f>_xlfn.XLOOKUP(Sales[[#This Row],[Product Name]],Products[Product Name],Products[Category])</f>
        <v>Burgers</v>
      </c>
      <c r="F1261" t="s">
        <v>444</v>
      </c>
      <c r="G1261" t="s">
        <v>452</v>
      </c>
      <c r="H1261">
        <v>50</v>
      </c>
      <c r="I1261" s="5">
        <f>_xlfn.XLOOKUP(Sales[[#This Row],[Product Name]],Products[Product Name],Products[Selling Price (CAD)])</f>
        <v>8.49</v>
      </c>
      <c r="J1261" s="5">
        <f>PRODUCT(Sales[[#This Row],[Quantity Sold]],Sales[[#This Row],[Unit Selling Price (CAD)]])</f>
        <v>424.5</v>
      </c>
    </row>
    <row r="1262" spans="1:10">
      <c r="A1262" t="s">
        <v>1710</v>
      </c>
      <c r="B1262" s="2">
        <v>46192</v>
      </c>
      <c r="C1262" t="s">
        <v>255</v>
      </c>
      <c r="D1262" t="s">
        <v>256</v>
      </c>
      <c r="E1262" t="str">
        <f>_xlfn.XLOOKUP(Sales[[#This Row],[Product Name]],Products[Product Name],Products[Category])</f>
        <v>Beverages</v>
      </c>
      <c r="F1262" t="s">
        <v>444</v>
      </c>
      <c r="G1262" t="s">
        <v>452</v>
      </c>
      <c r="H1262">
        <v>56</v>
      </c>
      <c r="I1262" s="5">
        <f>_xlfn.XLOOKUP(Sales[[#This Row],[Product Name]],Products[Product Name],Products[Selling Price (CAD)])</f>
        <v>2.99</v>
      </c>
      <c r="J1262" s="5">
        <f>PRODUCT(Sales[[#This Row],[Quantity Sold]],Sales[[#This Row],[Unit Selling Price (CAD)]])</f>
        <v>167.44</v>
      </c>
    </row>
    <row r="1263" spans="1:10">
      <c r="A1263" t="s">
        <v>1711</v>
      </c>
      <c r="B1263" s="2">
        <v>46192</v>
      </c>
      <c r="C1263" t="s">
        <v>62</v>
      </c>
      <c r="D1263" t="s">
        <v>63</v>
      </c>
      <c r="E1263" t="str">
        <f>_xlfn.XLOOKUP(Sales[[#This Row],[Product Name]],Products[Product Name],Products[Category])</f>
        <v>Burgers</v>
      </c>
      <c r="F1263" t="s">
        <v>447</v>
      </c>
      <c r="G1263" t="s">
        <v>452</v>
      </c>
      <c r="H1263">
        <v>66</v>
      </c>
      <c r="I1263" s="5">
        <f>_xlfn.XLOOKUP(Sales[[#This Row],[Product Name]],Products[Product Name],Products[Selling Price (CAD)])</f>
        <v>8.99</v>
      </c>
      <c r="J1263" s="5">
        <f>PRODUCT(Sales[[#This Row],[Quantity Sold]],Sales[[#This Row],[Unit Selling Price (CAD)]])</f>
        <v>593.34</v>
      </c>
    </row>
    <row r="1264" spans="1:10">
      <c r="A1264" t="s">
        <v>1712</v>
      </c>
      <c r="B1264" s="2">
        <v>46192</v>
      </c>
      <c r="C1264" t="s">
        <v>171</v>
      </c>
      <c r="D1264" t="s">
        <v>172</v>
      </c>
      <c r="E1264" t="str">
        <f>_xlfn.XLOOKUP(Sales[[#This Row],[Product Name]],Products[Product Name],Products[Category])</f>
        <v>Breakfast</v>
      </c>
      <c r="F1264" t="s">
        <v>447</v>
      </c>
      <c r="G1264" t="s">
        <v>454</v>
      </c>
      <c r="H1264">
        <v>55</v>
      </c>
      <c r="I1264" s="5">
        <f>_xlfn.XLOOKUP(Sales[[#This Row],[Product Name]],Products[Product Name],Products[Selling Price (CAD)])</f>
        <v>3.99</v>
      </c>
      <c r="J1264" s="5">
        <f>PRODUCT(Sales[[#This Row],[Quantity Sold]],Sales[[#This Row],[Unit Selling Price (CAD)]])</f>
        <v>219.45000000000002</v>
      </c>
    </row>
    <row r="1265" spans="1:10">
      <c r="A1265" t="s">
        <v>1713</v>
      </c>
      <c r="B1265" s="2">
        <v>46192</v>
      </c>
      <c r="C1265" t="s">
        <v>25</v>
      </c>
      <c r="D1265" t="s">
        <v>26</v>
      </c>
      <c r="E1265" t="str">
        <f>_xlfn.XLOOKUP(Sales[[#This Row],[Product Name]],Products[Product Name],Products[Category])</f>
        <v>Burgers</v>
      </c>
      <c r="F1265" t="s">
        <v>444</v>
      </c>
      <c r="G1265" t="s">
        <v>450</v>
      </c>
      <c r="H1265">
        <v>75</v>
      </c>
      <c r="I1265" s="5">
        <f>_xlfn.XLOOKUP(Sales[[#This Row],[Product Name]],Products[Product Name],Products[Selling Price (CAD)])</f>
        <v>5.99</v>
      </c>
      <c r="J1265" s="5">
        <f>PRODUCT(Sales[[#This Row],[Quantity Sold]],Sales[[#This Row],[Unit Selling Price (CAD)]])</f>
        <v>449.25</v>
      </c>
    </row>
    <row r="1266" spans="1:10">
      <c r="A1266" t="s">
        <v>1714</v>
      </c>
      <c r="B1266" s="2">
        <v>46192</v>
      </c>
      <c r="C1266" t="s">
        <v>179</v>
      </c>
      <c r="D1266" t="s">
        <v>180</v>
      </c>
      <c r="E1266" t="str">
        <f>_xlfn.XLOOKUP(Sales[[#This Row],[Product Name]],Products[Product Name],Products[Category])</f>
        <v>Breakfast</v>
      </c>
      <c r="F1266" t="s">
        <v>444</v>
      </c>
      <c r="G1266" t="s">
        <v>452</v>
      </c>
      <c r="H1266">
        <v>55</v>
      </c>
      <c r="I1266" s="5">
        <f>_xlfn.XLOOKUP(Sales[[#This Row],[Product Name]],Products[Product Name],Products[Selling Price (CAD)])</f>
        <v>4.99</v>
      </c>
      <c r="J1266" s="5">
        <f>PRODUCT(Sales[[#This Row],[Quantity Sold]],Sales[[#This Row],[Unit Selling Price (CAD)]])</f>
        <v>274.45</v>
      </c>
    </row>
    <row r="1267" spans="1:10">
      <c r="A1267" t="s">
        <v>1715</v>
      </c>
      <c r="B1267" s="2">
        <v>46193</v>
      </c>
      <c r="C1267" t="s">
        <v>305</v>
      </c>
      <c r="D1267" t="s">
        <v>306</v>
      </c>
      <c r="E1267" t="str">
        <f>_xlfn.XLOOKUP(Sales[[#This Row],[Product Name]],Products[Product Name],Products[Category])</f>
        <v>Beverages</v>
      </c>
      <c r="F1267" t="s">
        <v>447</v>
      </c>
      <c r="G1267" t="s">
        <v>450</v>
      </c>
      <c r="H1267">
        <v>41</v>
      </c>
      <c r="I1267" s="5">
        <f>_xlfn.XLOOKUP(Sales[[#This Row],[Product Name]],Products[Product Name],Products[Selling Price (CAD)])</f>
        <v>2.99</v>
      </c>
      <c r="J1267" s="5">
        <f>PRODUCT(Sales[[#This Row],[Quantity Sold]],Sales[[#This Row],[Unit Selling Price (CAD)]])</f>
        <v>122.59</v>
      </c>
    </row>
    <row r="1268" spans="1:10">
      <c r="A1268" t="s">
        <v>1716</v>
      </c>
      <c r="B1268" s="2">
        <v>46193</v>
      </c>
      <c r="C1268" t="s">
        <v>269</v>
      </c>
      <c r="D1268" t="s">
        <v>270</v>
      </c>
      <c r="E1268" t="str">
        <f>_xlfn.XLOOKUP(Sales[[#This Row],[Product Name]],Products[Product Name],Products[Category])</f>
        <v>Beverages</v>
      </c>
      <c r="F1268" t="s">
        <v>449</v>
      </c>
      <c r="G1268" t="s">
        <v>452</v>
      </c>
      <c r="H1268">
        <v>30</v>
      </c>
      <c r="I1268" s="5">
        <f>_xlfn.XLOOKUP(Sales[[#This Row],[Product Name]],Products[Product Name],Products[Selling Price (CAD)])</f>
        <v>2.99</v>
      </c>
      <c r="J1268" s="5">
        <f>PRODUCT(Sales[[#This Row],[Quantity Sold]],Sales[[#This Row],[Unit Selling Price (CAD)]])</f>
        <v>89.7</v>
      </c>
    </row>
    <row r="1269" spans="1:10">
      <c r="A1269" t="s">
        <v>1717</v>
      </c>
      <c r="B1269" s="2">
        <v>46193</v>
      </c>
      <c r="C1269" t="s">
        <v>187</v>
      </c>
      <c r="D1269" t="s">
        <v>188</v>
      </c>
      <c r="E1269" t="str">
        <f>_xlfn.XLOOKUP(Sales[[#This Row],[Product Name]],Products[Product Name],Products[Category])</f>
        <v>Sides</v>
      </c>
      <c r="F1269" t="s">
        <v>444</v>
      </c>
      <c r="G1269" t="s">
        <v>450</v>
      </c>
      <c r="H1269">
        <v>42</v>
      </c>
      <c r="I1269" s="5">
        <f>_xlfn.XLOOKUP(Sales[[#This Row],[Product Name]],Products[Product Name],Products[Selling Price (CAD)])</f>
        <v>4.49</v>
      </c>
      <c r="J1269" s="5">
        <f>PRODUCT(Sales[[#This Row],[Quantity Sold]],Sales[[#This Row],[Unit Selling Price (CAD)]])</f>
        <v>188.58</v>
      </c>
    </row>
    <row r="1270" spans="1:10">
      <c r="A1270" t="s">
        <v>1718</v>
      </c>
      <c r="B1270" s="2">
        <v>46193</v>
      </c>
      <c r="C1270" t="s">
        <v>165</v>
      </c>
      <c r="D1270" t="s">
        <v>166</v>
      </c>
      <c r="E1270" t="str">
        <f>_xlfn.XLOOKUP(Sales[[#This Row],[Product Name]],Products[Product Name],Products[Category])</f>
        <v>Breakfast</v>
      </c>
      <c r="F1270" t="s">
        <v>447</v>
      </c>
      <c r="G1270" t="s">
        <v>450</v>
      </c>
      <c r="H1270">
        <v>50</v>
      </c>
      <c r="I1270" s="5">
        <f>_xlfn.XLOOKUP(Sales[[#This Row],[Product Name]],Products[Product Name],Products[Selling Price (CAD)])</f>
        <v>3.99</v>
      </c>
      <c r="J1270" s="5">
        <f>PRODUCT(Sales[[#This Row],[Quantity Sold]],Sales[[#This Row],[Unit Selling Price (CAD)]])</f>
        <v>199.5</v>
      </c>
    </row>
    <row r="1271" spans="1:10">
      <c r="A1271" t="s">
        <v>1719</v>
      </c>
      <c r="B1271" s="2">
        <v>46193</v>
      </c>
      <c r="C1271" t="s">
        <v>285</v>
      </c>
      <c r="D1271" t="s">
        <v>286</v>
      </c>
      <c r="E1271" t="str">
        <f>_xlfn.XLOOKUP(Sales[[#This Row],[Product Name]],Products[Product Name],Products[Category])</f>
        <v>Beverages</v>
      </c>
      <c r="F1271" t="s">
        <v>449</v>
      </c>
      <c r="G1271" t="s">
        <v>452</v>
      </c>
      <c r="H1271">
        <v>31</v>
      </c>
      <c r="I1271" s="5">
        <f>_xlfn.XLOOKUP(Sales[[#This Row],[Product Name]],Products[Product Name],Products[Selling Price (CAD)])</f>
        <v>2.99</v>
      </c>
      <c r="J1271" s="5">
        <f>PRODUCT(Sales[[#This Row],[Quantity Sold]],Sales[[#This Row],[Unit Selling Price (CAD)]])</f>
        <v>92.690000000000012</v>
      </c>
    </row>
    <row r="1272" spans="1:10">
      <c r="A1272" t="s">
        <v>1720</v>
      </c>
      <c r="B1272" s="2">
        <v>46193</v>
      </c>
      <c r="C1272" t="s">
        <v>72</v>
      </c>
      <c r="D1272" t="s">
        <v>73</v>
      </c>
      <c r="E1272" t="str">
        <f>_xlfn.XLOOKUP(Sales[[#This Row],[Product Name]],Products[Product Name],Products[Category])</f>
        <v>Burgers</v>
      </c>
      <c r="F1272" t="s">
        <v>444</v>
      </c>
      <c r="G1272" t="s">
        <v>450</v>
      </c>
      <c r="H1272">
        <v>34</v>
      </c>
      <c r="I1272" s="5">
        <f>_xlfn.XLOOKUP(Sales[[#This Row],[Product Name]],Products[Product Name],Products[Selling Price (CAD)])</f>
        <v>6.99</v>
      </c>
      <c r="J1272" s="5">
        <f>PRODUCT(Sales[[#This Row],[Quantity Sold]],Sales[[#This Row],[Unit Selling Price (CAD)]])</f>
        <v>237.66</v>
      </c>
    </row>
    <row r="1273" spans="1:10">
      <c r="A1273" t="s">
        <v>1721</v>
      </c>
      <c r="B1273" s="2">
        <v>46193</v>
      </c>
      <c r="C1273" t="s">
        <v>76</v>
      </c>
      <c r="D1273" t="s">
        <v>77</v>
      </c>
      <c r="E1273" t="str">
        <f>_xlfn.XLOOKUP(Sales[[#This Row],[Product Name]],Products[Product Name],Products[Category])</f>
        <v>Burgers</v>
      </c>
      <c r="F1273" t="s">
        <v>444</v>
      </c>
      <c r="G1273" t="s">
        <v>450</v>
      </c>
      <c r="H1273">
        <v>69</v>
      </c>
      <c r="I1273" s="5">
        <f>_xlfn.XLOOKUP(Sales[[#This Row],[Product Name]],Products[Product Name],Products[Selling Price (CAD)])</f>
        <v>2.99</v>
      </c>
      <c r="J1273" s="5">
        <f>PRODUCT(Sales[[#This Row],[Quantity Sold]],Sales[[#This Row],[Unit Selling Price (CAD)]])</f>
        <v>206.31</v>
      </c>
    </row>
    <row r="1274" spans="1:10">
      <c r="A1274" t="s">
        <v>1722</v>
      </c>
      <c r="B1274" s="2">
        <v>46193</v>
      </c>
      <c r="C1274" t="s">
        <v>215</v>
      </c>
      <c r="D1274" t="s">
        <v>216</v>
      </c>
      <c r="E1274" t="str">
        <f>_xlfn.XLOOKUP(Sales[[#This Row],[Product Name]],Products[Product Name],Products[Category])</f>
        <v>Sides</v>
      </c>
      <c r="F1274" t="s">
        <v>444</v>
      </c>
      <c r="G1274" t="s">
        <v>454</v>
      </c>
      <c r="H1274">
        <v>31</v>
      </c>
      <c r="I1274" s="5">
        <f>_xlfn.XLOOKUP(Sales[[#This Row],[Product Name]],Products[Product Name],Products[Selling Price (CAD)])</f>
        <v>2.99</v>
      </c>
      <c r="J1274" s="5">
        <f>PRODUCT(Sales[[#This Row],[Quantity Sold]],Sales[[#This Row],[Unit Selling Price (CAD)]])</f>
        <v>92.690000000000012</v>
      </c>
    </row>
    <row r="1275" spans="1:10">
      <c r="A1275" t="s">
        <v>1723</v>
      </c>
      <c r="B1275" s="2">
        <v>46193</v>
      </c>
      <c r="C1275" t="s">
        <v>109</v>
      </c>
      <c r="D1275" t="s">
        <v>110</v>
      </c>
      <c r="E1275" t="str">
        <f>_xlfn.XLOOKUP(Sales[[#This Row],[Product Name]],Products[Product Name],Products[Category])</f>
        <v>Chicken</v>
      </c>
      <c r="F1275" t="s">
        <v>444</v>
      </c>
      <c r="G1275" t="s">
        <v>450</v>
      </c>
      <c r="H1275">
        <v>67</v>
      </c>
      <c r="I1275" s="5">
        <f>_xlfn.XLOOKUP(Sales[[#This Row],[Product Name]],Products[Product Name],Products[Selling Price (CAD)])</f>
        <v>5.99</v>
      </c>
      <c r="J1275" s="5">
        <f>PRODUCT(Sales[[#This Row],[Quantity Sold]],Sales[[#This Row],[Unit Selling Price (CAD)]])</f>
        <v>401.33000000000004</v>
      </c>
    </row>
    <row r="1276" spans="1:10">
      <c r="A1276" t="s">
        <v>1724</v>
      </c>
      <c r="B1276" s="2">
        <v>46193</v>
      </c>
      <c r="C1276" t="s">
        <v>251</v>
      </c>
      <c r="D1276" t="s">
        <v>252</v>
      </c>
      <c r="E1276" t="str">
        <f>_xlfn.XLOOKUP(Sales[[#This Row],[Product Name]],Products[Product Name],Products[Category])</f>
        <v>Salads</v>
      </c>
      <c r="F1276" t="s">
        <v>444</v>
      </c>
      <c r="G1276" t="s">
        <v>452</v>
      </c>
      <c r="H1276">
        <v>33</v>
      </c>
      <c r="I1276" s="5">
        <f>_xlfn.XLOOKUP(Sales[[#This Row],[Product Name]],Products[Product Name],Products[Selling Price (CAD)])</f>
        <v>7.49</v>
      </c>
      <c r="J1276" s="5">
        <f>PRODUCT(Sales[[#This Row],[Quantity Sold]],Sales[[#This Row],[Unit Selling Price (CAD)]])</f>
        <v>247.17000000000002</v>
      </c>
    </row>
    <row r="1277" spans="1:10">
      <c r="A1277" t="s">
        <v>1725</v>
      </c>
      <c r="B1277" s="2">
        <v>46193</v>
      </c>
      <c r="C1277" t="s">
        <v>386</v>
      </c>
      <c r="D1277" t="s">
        <v>387</v>
      </c>
      <c r="E1277" t="str">
        <f>_xlfn.XLOOKUP(Sales[[#This Row],[Product Name]],Products[Product Name],Products[Category])</f>
        <v>Sauces &amp; Add-ons</v>
      </c>
      <c r="F1277" t="s">
        <v>444</v>
      </c>
      <c r="G1277" t="s">
        <v>452</v>
      </c>
      <c r="H1277">
        <v>52</v>
      </c>
      <c r="I1277" s="5">
        <f>_xlfn.XLOOKUP(Sales[[#This Row],[Product Name]],Products[Product Name],Products[Selling Price (CAD)])</f>
        <v>0.25</v>
      </c>
      <c r="J1277" s="5">
        <f>PRODUCT(Sales[[#This Row],[Quantity Sold]],Sales[[#This Row],[Unit Selling Price (CAD)]])</f>
        <v>13</v>
      </c>
    </row>
    <row r="1278" spans="1:10">
      <c r="A1278" t="s">
        <v>1726</v>
      </c>
      <c r="B1278" s="2">
        <v>46193</v>
      </c>
      <c r="C1278" t="s">
        <v>163</v>
      </c>
      <c r="D1278" t="s">
        <v>164</v>
      </c>
      <c r="E1278" t="str">
        <f>_xlfn.XLOOKUP(Sales[[#This Row],[Product Name]],Products[Product Name],Products[Category])</f>
        <v>Breakfast</v>
      </c>
      <c r="F1278" t="s">
        <v>449</v>
      </c>
      <c r="G1278" t="s">
        <v>450</v>
      </c>
      <c r="H1278">
        <v>57</v>
      </c>
      <c r="I1278" s="5">
        <f>_xlfn.XLOOKUP(Sales[[#This Row],[Product Name]],Products[Product Name],Products[Selling Price (CAD)])</f>
        <v>3.99</v>
      </c>
      <c r="J1278" s="5">
        <f>PRODUCT(Sales[[#This Row],[Quantity Sold]],Sales[[#This Row],[Unit Selling Price (CAD)]])</f>
        <v>227.43</v>
      </c>
    </row>
    <row r="1279" spans="1:10">
      <c r="A1279" t="s">
        <v>1727</v>
      </c>
      <c r="B1279" s="2">
        <v>46193</v>
      </c>
      <c r="C1279" t="s">
        <v>423</v>
      </c>
      <c r="D1279" t="s">
        <v>424</v>
      </c>
      <c r="E1279" t="str">
        <f>_xlfn.XLOOKUP(Sales[[#This Row],[Product Name]],Products[Product Name],Products[Category])</f>
        <v>Combo Meals</v>
      </c>
      <c r="F1279" t="s">
        <v>449</v>
      </c>
      <c r="G1279" t="s">
        <v>445</v>
      </c>
      <c r="H1279">
        <v>31</v>
      </c>
      <c r="I1279" s="5">
        <f>_xlfn.XLOOKUP(Sales[[#This Row],[Product Name]],Products[Product Name],Products[Selling Price (CAD)])</f>
        <v>12.99</v>
      </c>
      <c r="J1279" s="5">
        <f>PRODUCT(Sales[[#This Row],[Quantity Sold]],Sales[[#This Row],[Unit Selling Price (CAD)]])</f>
        <v>402.69</v>
      </c>
    </row>
    <row r="1280" spans="1:10">
      <c r="A1280" t="s">
        <v>1728</v>
      </c>
      <c r="B1280" s="2">
        <v>46194</v>
      </c>
      <c r="C1280" t="s">
        <v>255</v>
      </c>
      <c r="D1280" t="s">
        <v>256</v>
      </c>
      <c r="E1280" t="str">
        <f>_xlfn.XLOOKUP(Sales[[#This Row],[Product Name]],Products[Product Name],Products[Category])</f>
        <v>Beverages</v>
      </c>
      <c r="F1280" t="s">
        <v>444</v>
      </c>
      <c r="G1280" t="s">
        <v>452</v>
      </c>
      <c r="H1280">
        <v>37</v>
      </c>
      <c r="I1280" s="5">
        <f>_xlfn.XLOOKUP(Sales[[#This Row],[Product Name]],Products[Product Name],Products[Selling Price (CAD)])</f>
        <v>2.99</v>
      </c>
      <c r="J1280" s="5">
        <f>PRODUCT(Sales[[#This Row],[Quantity Sold]],Sales[[#This Row],[Unit Selling Price (CAD)]])</f>
        <v>110.63000000000001</v>
      </c>
    </row>
    <row r="1281" spans="1:10">
      <c r="A1281" t="s">
        <v>1729</v>
      </c>
      <c r="B1281" s="2">
        <v>46194</v>
      </c>
      <c r="C1281" t="s">
        <v>323</v>
      </c>
      <c r="D1281" t="s">
        <v>324</v>
      </c>
      <c r="E1281" t="str">
        <f>_xlfn.XLOOKUP(Sales[[#This Row],[Product Name]],Products[Product Name],Products[Category])</f>
        <v>Desserts</v>
      </c>
      <c r="F1281" t="s">
        <v>449</v>
      </c>
      <c r="G1281" t="s">
        <v>454</v>
      </c>
      <c r="H1281">
        <v>39</v>
      </c>
      <c r="I1281" s="5">
        <f>_xlfn.XLOOKUP(Sales[[#This Row],[Product Name]],Products[Product Name],Products[Selling Price (CAD)])</f>
        <v>2.99</v>
      </c>
      <c r="J1281" s="5">
        <f>PRODUCT(Sales[[#This Row],[Quantity Sold]],Sales[[#This Row],[Unit Selling Price (CAD)]])</f>
        <v>116.61000000000001</v>
      </c>
    </row>
    <row r="1282" spans="1:10">
      <c r="A1282" t="s">
        <v>1730</v>
      </c>
      <c r="B1282" s="2">
        <v>46194</v>
      </c>
      <c r="C1282" t="s">
        <v>60</v>
      </c>
      <c r="D1282" t="s">
        <v>61</v>
      </c>
      <c r="E1282" t="str">
        <f>_xlfn.XLOOKUP(Sales[[#This Row],[Product Name]],Products[Product Name],Products[Category])</f>
        <v>Burgers</v>
      </c>
      <c r="F1282" t="s">
        <v>444</v>
      </c>
      <c r="G1282" t="s">
        <v>445</v>
      </c>
      <c r="H1282">
        <v>45</v>
      </c>
      <c r="I1282" s="5">
        <f>_xlfn.XLOOKUP(Sales[[#This Row],[Product Name]],Products[Product Name],Products[Selling Price (CAD)])</f>
        <v>6.99</v>
      </c>
      <c r="J1282" s="5">
        <f>PRODUCT(Sales[[#This Row],[Quantity Sold]],Sales[[#This Row],[Unit Selling Price (CAD)]])</f>
        <v>314.55</v>
      </c>
    </row>
    <row r="1283" spans="1:10">
      <c r="A1283" t="s">
        <v>1731</v>
      </c>
      <c r="B1283" s="2">
        <v>46194</v>
      </c>
      <c r="C1283" t="s">
        <v>279</v>
      </c>
      <c r="D1283" t="s">
        <v>280</v>
      </c>
      <c r="E1283" t="str">
        <f>_xlfn.XLOOKUP(Sales[[#This Row],[Product Name]],Products[Product Name],Products[Category])</f>
        <v>Beverages</v>
      </c>
      <c r="F1283" t="s">
        <v>444</v>
      </c>
      <c r="G1283" t="s">
        <v>452</v>
      </c>
      <c r="H1283">
        <v>47</v>
      </c>
      <c r="I1283" s="5">
        <f>_xlfn.XLOOKUP(Sales[[#This Row],[Product Name]],Products[Product Name],Products[Selling Price (CAD)])</f>
        <v>2.99</v>
      </c>
      <c r="J1283" s="5">
        <f>PRODUCT(Sales[[#This Row],[Quantity Sold]],Sales[[#This Row],[Unit Selling Price (CAD)]])</f>
        <v>140.53</v>
      </c>
    </row>
    <row r="1284" spans="1:10">
      <c r="A1284" t="s">
        <v>1732</v>
      </c>
      <c r="B1284" s="2">
        <v>46194</v>
      </c>
      <c r="C1284" t="s">
        <v>217</v>
      </c>
      <c r="D1284" t="s">
        <v>218</v>
      </c>
      <c r="E1284" t="str">
        <f>_xlfn.XLOOKUP(Sales[[#This Row],[Product Name]],Products[Product Name],Products[Category])</f>
        <v>Sides</v>
      </c>
      <c r="F1284" t="s">
        <v>444</v>
      </c>
      <c r="G1284" t="s">
        <v>445</v>
      </c>
      <c r="H1284">
        <v>71</v>
      </c>
      <c r="I1284" s="5">
        <f>_xlfn.XLOOKUP(Sales[[#This Row],[Product Name]],Products[Product Name],Products[Selling Price (CAD)])</f>
        <v>3.99</v>
      </c>
      <c r="J1284" s="5">
        <f>PRODUCT(Sales[[#This Row],[Quantity Sold]],Sales[[#This Row],[Unit Selling Price (CAD)]])</f>
        <v>283.29000000000002</v>
      </c>
    </row>
    <row r="1285" spans="1:10">
      <c r="A1285" t="s">
        <v>1733</v>
      </c>
      <c r="B1285" s="2">
        <v>46194</v>
      </c>
      <c r="C1285" t="s">
        <v>329</v>
      </c>
      <c r="D1285" t="s">
        <v>330</v>
      </c>
      <c r="E1285" t="str">
        <f>_xlfn.XLOOKUP(Sales[[#This Row],[Product Name]],Products[Product Name],Products[Category])</f>
        <v>Desserts</v>
      </c>
      <c r="F1285" t="s">
        <v>444</v>
      </c>
      <c r="G1285" t="s">
        <v>450</v>
      </c>
      <c r="H1285">
        <v>54</v>
      </c>
      <c r="I1285" s="5">
        <f>_xlfn.XLOOKUP(Sales[[#This Row],[Product Name]],Products[Product Name],Products[Selling Price (CAD)])</f>
        <v>2.99</v>
      </c>
      <c r="J1285" s="5">
        <f>PRODUCT(Sales[[#This Row],[Quantity Sold]],Sales[[#This Row],[Unit Selling Price (CAD)]])</f>
        <v>161.46</v>
      </c>
    </row>
    <row r="1286" spans="1:10">
      <c r="A1286" t="s">
        <v>1734</v>
      </c>
      <c r="B1286" s="2">
        <v>46194</v>
      </c>
      <c r="C1286" t="s">
        <v>319</v>
      </c>
      <c r="D1286" t="s">
        <v>320</v>
      </c>
      <c r="E1286" t="str">
        <f>_xlfn.XLOOKUP(Sales[[#This Row],[Product Name]],Products[Product Name],Products[Category])</f>
        <v>Beverages</v>
      </c>
      <c r="F1286" t="s">
        <v>444</v>
      </c>
      <c r="G1286" t="s">
        <v>452</v>
      </c>
      <c r="H1286">
        <v>54</v>
      </c>
      <c r="I1286" s="5">
        <f>_xlfn.XLOOKUP(Sales[[#This Row],[Product Name]],Products[Product Name],Products[Selling Price (CAD)])</f>
        <v>2.4900000000000002</v>
      </c>
      <c r="J1286" s="5">
        <f>PRODUCT(Sales[[#This Row],[Quantity Sold]],Sales[[#This Row],[Unit Selling Price (CAD)]])</f>
        <v>134.46</v>
      </c>
    </row>
    <row r="1287" spans="1:10">
      <c r="A1287" t="s">
        <v>1735</v>
      </c>
      <c r="B1287" s="2">
        <v>46194</v>
      </c>
      <c r="C1287" t="s">
        <v>275</v>
      </c>
      <c r="D1287" t="s">
        <v>276</v>
      </c>
      <c r="E1287" t="str">
        <f>_xlfn.XLOOKUP(Sales[[#This Row],[Product Name]],Products[Product Name],Products[Category])</f>
        <v>Beverages</v>
      </c>
      <c r="F1287" t="s">
        <v>444</v>
      </c>
      <c r="G1287" t="s">
        <v>452</v>
      </c>
      <c r="H1287">
        <v>35</v>
      </c>
      <c r="I1287" s="5">
        <f>_xlfn.XLOOKUP(Sales[[#This Row],[Product Name]],Products[Product Name],Products[Selling Price (CAD)])</f>
        <v>2.99</v>
      </c>
      <c r="J1287" s="5">
        <f>PRODUCT(Sales[[#This Row],[Quantity Sold]],Sales[[#This Row],[Unit Selling Price (CAD)]])</f>
        <v>104.65</v>
      </c>
    </row>
    <row r="1288" spans="1:10">
      <c r="A1288" t="s">
        <v>1736</v>
      </c>
      <c r="B1288" s="2">
        <v>46194</v>
      </c>
      <c r="C1288" t="s">
        <v>265</v>
      </c>
      <c r="D1288" t="s">
        <v>266</v>
      </c>
      <c r="E1288" t="str">
        <f>_xlfn.XLOOKUP(Sales[[#This Row],[Product Name]],Products[Product Name],Products[Category])</f>
        <v>Beverages</v>
      </c>
      <c r="F1288" t="s">
        <v>449</v>
      </c>
      <c r="G1288" t="s">
        <v>454</v>
      </c>
      <c r="H1288">
        <v>49</v>
      </c>
      <c r="I1288" s="5">
        <f>_xlfn.XLOOKUP(Sales[[#This Row],[Product Name]],Products[Product Name],Products[Selling Price (CAD)])</f>
        <v>1.99</v>
      </c>
      <c r="J1288" s="5">
        <f>PRODUCT(Sales[[#This Row],[Quantity Sold]],Sales[[#This Row],[Unit Selling Price (CAD)]])</f>
        <v>97.51</v>
      </c>
    </row>
    <row r="1289" spans="1:10">
      <c r="A1289" t="s">
        <v>1737</v>
      </c>
      <c r="B1289" s="2">
        <v>46195</v>
      </c>
      <c r="C1289" t="s">
        <v>297</v>
      </c>
      <c r="D1289" t="s">
        <v>298</v>
      </c>
      <c r="E1289" t="str">
        <f>_xlfn.XLOOKUP(Sales[[#This Row],[Product Name]],Products[Product Name],Products[Category])</f>
        <v>Beverages</v>
      </c>
      <c r="F1289" t="s">
        <v>447</v>
      </c>
      <c r="G1289" t="s">
        <v>450</v>
      </c>
      <c r="H1289">
        <v>68</v>
      </c>
      <c r="I1289" s="5">
        <f>_xlfn.XLOOKUP(Sales[[#This Row],[Product Name]],Products[Product Name],Products[Selling Price (CAD)])</f>
        <v>2.99</v>
      </c>
      <c r="J1289" s="5">
        <f>PRODUCT(Sales[[#This Row],[Quantity Sold]],Sales[[#This Row],[Unit Selling Price (CAD)]])</f>
        <v>203.32000000000002</v>
      </c>
    </row>
    <row r="1290" spans="1:10">
      <c r="A1290" t="s">
        <v>1738</v>
      </c>
      <c r="B1290" s="2">
        <v>46195</v>
      </c>
      <c r="C1290" t="s">
        <v>353</v>
      </c>
      <c r="D1290" t="s">
        <v>354</v>
      </c>
      <c r="E1290" t="str">
        <f>_xlfn.XLOOKUP(Sales[[#This Row],[Product Name]],Products[Product Name],Products[Category])</f>
        <v>Desserts</v>
      </c>
      <c r="F1290" t="s">
        <v>447</v>
      </c>
      <c r="G1290" t="s">
        <v>445</v>
      </c>
      <c r="H1290">
        <v>37</v>
      </c>
      <c r="I1290" s="5">
        <f>_xlfn.XLOOKUP(Sales[[#This Row],[Product Name]],Products[Product Name],Products[Selling Price (CAD)])</f>
        <v>4.99</v>
      </c>
      <c r="J1290" s="5">
        <f>PRODUCT(Sales[[#This Row],[Quantity Sold]],Sales[[#This Row],[Unit Selling Price (CAD)]])</f>
        <v>184.63</v>
      </c>
    </row>
    <row r="1291" spans="1:10">
      <c r="A1291" t="s">
        <v>1739</v>
      </c>
      <c r="B1291" s="2">
        <v>46195</v>
      </c>
      <c r="C1291" t="s">
        <v>157</v>
      </c>
      <c r="D1291" t="s">
        <v>158</v>
      </c>
      <c r="E1291" t="str">
        <f>_xlfn.XLOOKUP(Sales[[#This Row],[Product Name]],Products[Product Name],Products[Category])</f>
        <v>Breakfast</v>
      </c>
      <c r="F1291" t="s">
        <v>447</v>
      </c>
      <c r="G1291" t="s">
        <v>454</v>
      </c>
      <c r="H1291">
        <v>76</v>
      </c>
      <c r="I1291" s="5">
        <f>_xlfn.XLOOKUP(Sales[[#This Row],[Product Name]],Products[Product Name],Products[Selling Price (CAD)])</f>
        <v>4.99</v>
      </c>
      <c r="J1291" s="5">
        <f>PRODUCT(Sales[[#This Row],[Quantity Sold]],Sales[[#This Row],[Unit Selling Price (CAD)]])</f>
        <v>379.24</v>
      </c>
    </row>
    <row r="1292" spans="1:10">
      <c r="A1292" t="s">
        <v>1740</v>
      </c>
      <c r="B1292" s="2">
        <v>46195</v>
      </c>
      <c r="C1292" t="s">
        <v>307</v>
      </c>
      <c r="D1292" t="s">
        <v>308</v>
      </c>
      <c r="E1292" t="str">
        <f>_xlfn.XLOOKUP(Sales[[#This Row],[Product Name]],Products[Product Name],Products[Category])</f>
        <v>Beverages</v>
      </c>
      <c r="F1292" t="s">
        <v>447</v>
      </c>
      <c r="G1292" t="s">
        <v>452</v>
      </c>
      <c r="H1292">
        <v>40</v>
      </c>
      <c r="I1292" s="5">
        <f>_xlfn.XLOOKUP(Sales[[#This Row],[Product Name]],Products[Product Name],Products[Selling Price (CAD)])</f>
        <v>2.99</v>
      </c>
      <c r="J1292" s="5">
        <f>PRODUCT(Sales[[#This Row],[Quantity Sold]],Sales[[#This Row],[Unit Selling Price (CAD)]])</f>
        <v>119.60000000000001</v>
      </c>
    </row>
    <row r="1293" spans="1:10">
      <c r="A1293" t="s">
        <v>1741</v>
      </c>
      <c r="B1293" s="2">
        <v>46195</v>
      </c>
      <c r="C1293" t="s">
        <v>70</v>
      </c>
      <c r="D1293" t="s">
        <v>71</v>
      </c>
      <c r="E1293" t="str">
        <f>_xlfn.XLOOKUP(Sales[[#This Row],[Product Name]],Products[Product Name],Products[Category])</f>
        <v>Burgers</v>
      </c>
      <c r="F1293" t="s">
        <v>444</v>
      </c>
      <c r="G1293" t="s">
        <v>450</v>
      </c>
      <c r="H1293">
        <v>73</v>
      </c>
      <c r="I1293" s="5">
        <f>_xlfn.XLOOKUP(Sales[[#This Row],[Product Name]],Products[Product Name],Products[Selling Price (CAD)])</f>
        <v>8.99</v>
      </c>
      <c r="J1293" s="5">
        <f>PRODUCT(Sales[[#This Row],[Quantity Sold]],Sales[[#This Row],[Unit Selling Price (CAD)]])</f>
        <v>656.27</v>
      </c>
    </row>
    <row r="1294" spans="1:10">
      <c r="A1294" t="s">
        <v>1742</v>
      </c>
      <c r="B1294" s="2">
        <v>46195</v>
      </c>
      <c r="C1294" t="s">
        <v>227</v>
      </c>
      <c r="D1294" t="s">
        <v>228</v>
      </c>
      <c r="E1294" t="str">
        <f>_xlfn.XLOOKUP(Sales[[#This Row],[Product Name]],Products[Product Name],Products[Category])</f>
        <v>Salads</v>
      </c>
      <c r="F1294" t="s">
        <v>447</v>
      </c>
      <c r="G1294" t="s">
        <v>450</v>
      </c>
      <c r="H1294">
        <v>66</v>
      </c>
      <c r="I1294" s="5">
        <f>_xlfn.XLOOKUP(Sales[[#This Row],[Product Name]],Products[Product Name],Products[Selling Price (CAD)])</f>
        <v>8.99</v>
      </c>
      <c r="J1294" s="5">
        <f>PRODUCT(Sales[[#This Row],[Quantity Sold]],Sales[[#This Row],[Unit Selling Price (CAD)]])</f>
        <v>593.34</v>
      </c>
    </row>
    <row r="1295" spans="1:10">
      <c r="A1295" t="s">
        <v>1743</v>
      </c>
      <c r="B1295" s="2">
        <v>46195</v>
      </c>
      <c r="C1295" t="s">
        <v>111</v>
      </c>
      <c r="D1295" t="s">
        <v>112</v>
      </c>
      <c r="E1295" t="str">
        <f>_xlfn.XLOOKUP(Sales[[#This Row],[Product Name]],Products[Product Name],Products[Category])</f>
        <v>Chicken</v>
      </c>
      <c r="F1295" t="s">
        <v>449</v>
      </c>
      <c r="G1295" t="s">
        <v>450</v>
      </c>
      <c r="H1295">
        <v>47</v>
      </c>
      <c r="I1295" s="5">
        <f>_xlfn.XLOOKUP(Sales[[#This Row],[Product Name]],Products[Product Name],Products[Selling Price (CAD)])</f>
        <v>5.99</v>
      </c>
      <c r="J1295" s="5">
        <f>PRODUCT(Sales[[#This Row],[Quantity Sold]],Sales[[#This Row],[Unit Selling Price (CAD)]])</f>
        <v>281.53000000000003</v>
      </c>
    </row>
    <row r="1296" spans="1:10">
      <c r="A1296" t="s">
        <v>1744</v>
      </c>
      <c r="B1296" s="2">
        <v>46196</v>
      </c>
      <c r="C1296" t="s">
        <v>309</v>
      </c>
      <c r="D1296" t="s">
        <v>310</v>
      </c>
      <c r="E1296" t="str">
        <f>_xlfn.XLOOKUP(Sales[[#This Row],[Product Name]],Products[Product Name],Products[Category])</f>
        <v>Beverages</v>
      </c>
      <c r="F1296" t="s">
        <v>444</v>
      </c>
      <c r="G1296" t="s">
        <v>452</v>
      </c>
      <c r="H1296">
        <v>51</v>
      </c>
      <c r="I1296" s="5">
        <f>_xlfn.XLOOKUP(Sales[[#This Row],[Product Name]],Products[Product Name],Products[Selling Price (CAD)])</f>
        <v>2.99</v>
      </c>
      <c r="J1296" s="5">
        <f>PRODUCT(Sales[[#This Row],[Quantity Sold]],Sales[[#This Row],[Unit Selling Price (CAD)]])</f>
        <v>152.49</v>
      </c>
    </row>
    <row r="1297" spans="1:10">
      <c r="A1297" t="s">
        <v>1745</v>
      </c>
      <c r="B1297" s="2">
        <v>46196</v>
      </c>
      <c r="C1297" t="s">
        <v>62</v>
      </c>
      <c r="D1297" t="s">
        <v>63</v>
      </c>
      <c r="E1297" t="str">
        <f>_xlfn.XLOOKUP(Sales[[#This Row],[Product Name]],Products[Product Name],Products[Category])</f>
        <v>Burgers</v>
      </c>
      <c r="F1297" t="s">
        <v>444</v>
      </c>
      <c r="G1297" t="s">
        <v>452</v>
      </c>
      <c r="H1297">
        <v>37</v>
      </c>
      <c r="I1297" s="5">
        <f>_xlfn.XLOOKUP(Sales[[#This Row],[Product Name]],Products[Product Name],Products[Selling Price (CAD)])</f>
        <v>8.99</v>
      </c>
      <c r="J1297" s="5">
        <f>PRODUCT(Sales[[#This Row],[Quantity Sold]],Sales[[#This Row],[Unit Selling Price (CAD)]])</f>
        <v>332.63</v>
      </c>
    </row>
    <row r="1298" spans="1:10">
      <c r="A1298" t="s">
        <v>1746</v>
      </c>
      <c r="B1298" s="2">
        <v>46196</v>
      </c>
      <c r="C1298" t="s">
        <v>337</v>
      </c>
      <c r="D1298" t="s">
        <v>338</v>
      </c>
      <c r="E1298" t="str">
        <f>_xlfn.XLOOKUP(Sales[[#This Row],[Product Name]],Products[Product Name],Products[Category])</f>
        <v>Desserts</v>
      </c>
      <c r="F1298" t="s">
        <v>447</v>
      </c>
      <c r="G1298" t="s">
        <v>452</v>
      </c>
      <c r="H1298">
        <v>66</v>
      </c>
      <c r="I1298" s="5">
        <f>_xlfn.XLOOKUP(Sales[[#This Row],[Product Name]],Products[Product Name],Products[Selling Price (CAD)])</f>
        <v>1.49</v>
      </c>
      <c r="J1298" s="5">
        <f>PRODUCT(Sales[[#This Row],[Quantity Sold]],Sales[[#This Row],[Unit Selling Price (CAD)]])</f>
        <v>98.34</v>
      </c>
    </row>
    <row r="1299" spans="1:10">
      <c r="A1299" t="s">
        <v>1747</v>
      </c>
      <c r="B1299" s="2">
        <v>46196</v>
      </c>
      <c r="C1299" t="s">
        <v>48</v>
      </c>
      <c r="D1299" t="s">
        <v>49</v>
      </c>
      <c r="E1299" t="str">
        <f>_xlfn.XLOOKUP(Sales[[#This Row],[Product Name]],Products[Product Name],Products[Category])</f>
        <v>Burgers</v>
      </c>
      <c r="F1299" t="s">
        <v>444</v>
      </c>
      <c r="G1299" t="s">
        <v>445</v>
      </c>
      <c r="H1299">
        <v>35</v>
      </c>
      <c r="I1299" s="5">
        <f>_xlfn.XLOOKUP(Sales[[#This Row],[Product Name]],Products[Product Name],Products[Selling Price (CAD)])</f>
        <v>6.49</v>
      </c>
      <c r="J1299" s="5">
        <f>PRODUCT(Sales[[#This Row],[Quantity Sold]],Sales[[#This Row],[Unit Selling Price (CAD)]])</f>
        <v>227.15</v>
      </c>
    </row>
    <row r="1300" spans="1:10">
      <c r="A1300" t="s">
        <v>1748</v>
      </c>
      <c r="B1300" s="2">
        <v>46196</v>
      </c>
      <c r="C1300" t="s">
        <v>177</v>
      </c>
      <c r="D1300" t="s">
        <v>178</v>
      </c>
      <c r="E1300" t="str">
        <f>_xlfn.XLOOKUP(Sales[[#This Row],[Product Name]],Products[Product Name],Products[Category])</f>
        <v>Breakfast</v>
      </c>
      <c r="F1300" t="s">
        <v>444</v>
      </c>
      <c r="G1300" t="s">
        <v>454</v>
      </c>
      <c r="H1300">
        <v>66</v>
      </c>
      <c r="I1300" s="5">
        <f>_xlfn.XLOOKUP(Sales[[#This Row],[Product Name]],Products[Product Name],Products[Selling Price (CAD)])</f>
        <v>7.99</v>
      </c>
      <c r="J1300" s="5">
        <f>PRODUCT(Sales[[#This Row],[Quantity Sold]],Sales[[#This Row],[Unit Selling Price (CAD)]])</f>
        <v>527.34</v>
      </c>
    </row>
    <row r="1301" spans="1:10">
      <c r="A1301" t="s">
        <v>1749</v>
      </c>
      <c r="B1301" s="2">
        <v>46197</v>
      </c>
      <c r="C1301" t="s">
        <v>17</v>
      </c>
      <c r="D1301" t="s">
        <v>18</v>
      </c>
      <c r="E1301" t="str">
        <f>_xlfn.XLOOKUP(Sales[[#This Row],[Product Name]],Products[Product Name],Products[Category])</f>
        <v>Burgers</v>
      </c>
      <c r="F1301" t="s">
        <v>447</v>
      </c>
      <c r="G1301" t="s">
        <v>454</v>
      </c>
      <c r="H1301">
        <v>52</v>
      </c>
      <c r="I1301" s="5">
        <f>_xlfn.XLOOKUP(Sales[[#This Row],[Product Name]],Products[Product Name],Products[Selling Price (CAD)])</f>
        <v>7.99</v>
      </c>
      <c r="J1301" s="5">
        <f>PRODUCT(Sales[[#This Row],[Quantity Sold]],Sales[[#This Row],[Unit Selling Price (CAD)]])</f>
        <v>415.48</v>
      </c>
    </row>
    <row r="1302" spans="1:10">
      <c r="A1302" t="s">
        <v>1750</v>
      </c>
      <c r="B1302" s="2">
        <v>46197</v>
      </c>
      <c r="C1302" t="s">
        <v>283</v>
      </c>
      <c r="D1302" t="s">
        <v>284</v>
      </c>
      <c r="E1302" t="str">
        <f>_xlfn.XLOOKUP(Sales[[#This Row],[Product Name]],Products[Product Name],Products[Category])</f>
        <v>Beverages</v>
      </c>
      <c r="F1302" t="s">
        <v>449</v>
      </c>
      <c r="G1302" t="s">
        <v>454</v>
      </c>
      <c r="H1302">
        <v>69</v>
      </c>
      <c r="I1302" s="5">
        <f>_xlfn.XLOOKUP(Sales[[#This Row],[Product Name]],Products[Product Name],Products[Selling Price (CAD)])</f>
        <v>2.99</v>
      </c>
      <c r="J1302" s="5">
        <f>PRODUCT(Sales[[#This Row],[Quantity Sold]],Sales[[#This Row],[Unit Selling Price (CAD)]])</f>
        <v>206.31</v>
      </c>
    </row>
    <row r="1303" spans="1:10">
      <c r="A1303" t="s">
        <v>1751</v>
      </c>
      <c r="B1303" s="2">
        <v>46197</v>
      </c>
      <c r="C1303" t="s">
        <v>197</v>
      </c>
      <c r="D1303" t="s">
        <v>198</v>
      </c>
      <c r="E1303" t="str">
        <f>_xlfn.XLOOKUP(Sales[[#This Row],[Product Name]],Products[Product Name],Products[Category])</f>
        <v>Sides</v>
      </c>
      <c r="F1303" t="s">
        <v>444</v>
      </c>
      <c r="G1303" t="s">
        <v>450</v>
      </c>
      <c r="H1303">
        <v>74</v>
      </c>
      <c r="I1303" s="5">
        <f>_xlfn.XLOOKUP(Sales[[#This Row],[Product Name]],Products[Product Name],Products[Selling Price (CAD)])</f>
        <v>4.49</v>
      </c>
      <c r="J1303" s="5">
        <f>PRODUCT(Sales[[#This Row],[Quantity Sold]],Sales[[#This Row],[Unit Selling Price (CAD)]])</f>
        <v>332.26</v>
      </c>
    </row>
    <row r="1304" spans="1:10">
      <c r="A1304" t="s">
        <v>1752</v>
      </c>
      <c r="B1304" s="2">
        <v>46197</v>
      </c>
      <c r="C1304" t="s">
        <v>135</v>
      </c>
      <c r="D1304" t="s">
        <v>136</v>
      </c>
      <c r="E1304" t="str">
        <f>_xlfn.XLOOKUP(Sales[[#This Row],[Product Name]],Products[Product Name],Products[Category])</f>
        <v>Breakfast</v>
      </c>
      <c r="F1304" t="s">
        <v>447</v>
      </c>
      <c r="G1304" t="s">
        <v>454</v>
      </c>
      <c r="H1304">
        <v>68</v>
      </c>
      <c r="I1304" s="5">
        <f>_xlfn.XLOOKUP(Sales[[#This Row],[Product Name]],Products[Product Name],Products[Selling Price (CAD)])</f>
        <v>4.99</v>
      </c>
      <c r="J1304" s="5">
        <f>PRODUCT(Sales[[#This Row],[Quantity Sold]],Sales[[#This Row],[Unit Selling Price (CAD)]])</f>
        <v>339.32</v>
      </c>
    </row>
    <row r="1305" spans="1:10">
      <c r="A1305" t="s">
        <v>1753</v>
      </c>
      <c r="B1305" s="2">
        <v>46197</v>
      </c>
      <c r="C1305" t="s">
        <v>273</v>
      </c>
      <c r="D1305" t="s">
        <v>274</v>
      </c>
      <c r="E1305" t="str">
        <f>_xlfn.XLOOKUP(Sales[[#This Row],[Product Name]],Products[Product Name],Products[Category])</f>
        <v>Beverages</v>
      </c>
      <c r="F1305" t="s">
        <v>447</v>
      </c>
      <c r="G1305" t="s">
        <v>450</v>
      </c>
      <c r="H1305">
        <v>33</v>
      </c>
      <c r="I1305" s="5">
        <f>_xlfn.XLOOKUP(Sales[[#This Row],[Product Name]],Products[Product Name],Products[Selling Price (CAD)])</f>
        <v>2.99</v>
      </c>
      <c r="J1305" s="5">
        <f>PRODUCT(Sales[[#This Row],[Quantity Sold]],Sales[[#This Row],[Unit Selling Price (CAD)]])</f>
        <v>98.67</v>
      </c>
    </row>
    <row r="1306" spans="1:10">
      <c r="A1306" t="s">
        <v>1754</v>
      </c>
      <c r="B1306" s="2">
        <v>46198</v>
      </c>
      <c r="C1306" t="s">
        <v>189</v>
      </c>
      <c r="D1306" t="s">
        <v>190</v>
      </c>
      <c r="E1306" t="str">
        <f>_xlfn.XLOOKUP(Sales[[#This Row],[Product Name]],Products[Product Name],Products[Category])</f>
        <v>Sides</v>
      </c>
      <c r="F1306" t="s">
        <v>444</v>
      </c>
      <c r="G1306" t="s">
        <v>452</v>
      </c>
      <c r="H1306">
        <v>62</v>
      </c>
      <c r="I1306" s="5">
        <f>_xlfn.XLOOKUP(Sales[[#This Row],[Product Name]],Products[Product Name],Products[Selling Price (CAD)])</f>
        <v>2.99</v>
      </c>
      <c r="J1306" s="5">
        <f>PRODUCT(Sales[[#This Row],[Quantity Sold]],Sales[[#This Row],[Unit Selling Price (CAD)]])</f>
        <v>185.38000000000002</v>
      </c>
    </row>
    <row r="1307" spans="1:10">
      <c r="A1307" t="s">
        <v>1755</v>
      </c>
      <c r="B1307" s="2">
        <v>46198</v>
      </c>
      <c r="C1307" t="s">
        <v>125</v>
      </c>
      <c r="D1307" t="s">
        <v>126</v>
      </c>
      <c r="E1307" t="str">
        <f>_xlfn.XLOOKUP(Sales[[#This Row],[Product Name]],Products[Product Name],Products[Category])</f>
        <v>Chicken</v>
      </c>
      <c r="F1307" t="s">
        <v>444</v>
      </c>
      <c r="G1307" t="s">
        <v>450</v>
      </c>
      <c r="H1307">
        <v>73</v>
      </c>
      <c r="I1307" s="5">
        <f>_xlfn.XLOOKUP(Sales[[#This Row],[Product Name]],Products[Product Name],Products[Selling Price (CAD)])</f>
        <v>4.99</v>
      </c>
      <c r="J1307" s="5">
        <f>PRODUCT(Sales[[#This Row],[Quantity Sold]],Sales[[#This Row],[Unit Selling Price (CAD)]])</f>
        <v>364.27000000000004</v>
      </c>
    </row>
    <row r="1308" spans="1:10">
      <c r="A1308" t="s">
        <v>1756</v>
      </c>
      <c r="B1308" s="2">
        <v>46198</v>
      </c>
      <c r="C1308" t="s">
        <v>54</v>
      </c>
      <c r="D1308" t="s">
        <v>55</v>
      </c>
      <c r="E1308" t="str">
        <f>_xlfn.XLOOKUP(Sales[[#This Row],[Product Name]],Products[Product Name],Products[Category])</f>
        <v>Burgers</v>
      </c>
      <c r="F1308" t="s">
        <v>449</v>
      </c>
      <c r="G1308" t="s">
        <v>450</v>
      </c>
      <c r="H1308">
        <v>62</v>
      </c>
      <c r="I1308" s="5">
        <f>_xlfn.XLOOKUP(Sales[[#This Row],[Product Name]],Products[Product Name],Products[Selling Price (CAD)])</f>
        <v>8.99</v>
      </c>
      <c r="J1308" s="5">
        <f>PRODUCT(Sales[[#This Row],[Quantity Sold]],Sales[[#This Row],[Unit Selling Price (CAD)]])</f>
        <v>557.38</v>
      </c>
    </row>
    <row r="1309" spans="1:10">
      <c r="A1309" t="s">
        <v>1757</v>
      </c>
      <c r="B1309" s="2">
        <v>46198</v>
      </c>
      <c r="C1309" t="s">
        <v>419</v>
      </c>
      <c r="D1309" t="s">
        <v>420</v>
      </c>
      <c r="E1309" t="str">
        <f>_xlfn.XLOOKUP(Sales[[#This Row],[Product Name]],Products[Product Name],Products[Category])</f>
        <v>Combo Meals</v>
      </c>
      <c r="F1309" t="s">
        <v>449</v>
      </c>
      <c r="G1309" t="s">
        <v>450</v>
      </c>
      <c r="H1309">
        <v>56</v>
      </c>
      <c r="I1309" s="5">
        <f>_xlfn.XLOOKUP(Sales[[#This Row],[Product Name]],Products[Product Name],Products[Selling Price (CAD)])</f>
        <v>7.99</v>
      </c>
      <c r="J1309" s="5">
        <f>PRODUCT(Sales[[#This Row],[Quantity Sold]],Sales[[#This Row],[Unit Selling Price (CAD)]])</f>
        <v>447.44</v>
      </c>
    </row>
    <row r="1310" spans="1:10">
      <c r="A1310" t="s">
        <v>1758</v>
      </c>
      <c r="B1310" s="2">
        <v>46198</v>
      </c>
      <c r="C1310" t="s">
        <v>197</v>
      </c>
      <c r="D1310" t="s">
        <v>198</v>
      </c>
      <c r="E1310" t="str">
        <f>_xlfn.XLOOKUP(Sales[[#This Row],[Product Name]],Products[Product Name],Products[Category])</f>
        <v>Sides</v>
      </c>
      <c r="F1310" t="s">
        <v>444</v>
      </c>
      <c r="G1310" t="s">
        <v>452</v>
      </c>
      <c r="H1310">
        <v>35</v>
      </c>
      <c r="I1310" s="5">
        <f>_xlfn.XLOOKUP(Sales[[#This Row],[Product Name]],Products[Product Name],Products[Selling Price (CAD)])</f>
        <v>4.49</v>
      </c>
      <c r="J1310" s="5">
        <f>PRODUCT(Sales[[#This Row],[Quantity Sold]],Sales[[#This Row],[Unit Selling Price (CAD)]])</f>
        <v>157.15</v>
      </c>
    </row>
    <row r="1311" spans="1:10">
      <c r="A1311" t="s">
        <v>1759</v>
      </c>
      <c r="B1311" s="2">
        <v>46199</v>
      </c>
      <c r="C1311" t="s">
        <v>386</v>
      </c>
      <c r="D1311" t="s">
        <v>387</v>
      </c>
      <c r="E1311" t="str">
        <f>_xlfn.XLOOKUP(Sales[[#This Row],[Product Name]],Products[Product Name],Products[Category])</f>
        <v>Sauces &amp; Add-ons</v>
      </c>
      <c r="F1311" t="s">
        <v>444</v>
      </c>
      <c r="G1311" t="s">
        <v>445</v>
      </c>
      <c r="H1311">
        <v>48</v>
      </c>
      <c r="I1311" s="5">
        <f>_xlfn.XLOOKUP(Sales[[#This Row],[Product Name]],Products[Product Name],Products[Selling Price (CAD)])</f>
        <v>0.25</v>
      </c>
      <c r="J1311" s="5">
        <f>PRODUCT(Sales[[#This Row],[Quantity Sold]],Sales[[#This Row],[Unit Selling Price (CAD)]])</f>
        <v>12</v>
      </c>
    </row>
    <row r="1312" spans="1:10">
      <c r="A1312" t="s">
        <v>1760</v>
      </c>
      <c r="B1312" s="2">
        <v>46199</v>
      </c>
      <c r="C1312" t="s">
        <v>349</v>
      </c>
      <c r="D1312" t="s">
        <v>350</v>
      </c>
      <c r="E1312" t="str">
        <f>_xlfn.XLOOKUP(Sales[[#This Row],[Product Name]],Products[Product Name],Products[Category])</f>
        <v>Desserts</v>
      </c>
      <c r="F1312" t="s">
        <v>444</v>
      </c>
      <c r="G1312" t="s">
        <v>454</v>
      </c>
      <c r="H1312">
        <v>30</v>
      </c>
      <c r="I1312" s="5">
        <f>_xlfn.XLOOKUP(Sales[[#This Row],[Product Name]],Products[Product Name],Products[Selling Price (CAD)])</f>
        <v>4.99</v>
      </c>
      <c r="J1312" s="5">
        <f>PRODUCT(Sales[[#This Row],[Quantity Sold]],Sales[[#This Row],[Unit Selling Price (CAD)]])</f>
        <v>149.70000000000002</v>
      </c>
    </row>
    <row r="1313" spans="1:10">
      <c r="A1313" t="s">
        <v>1761</v>
      </c>
      <c r="B1313" s="2">
        <v>46199</v>
      </c>
      <c r="C1313" t="s">
        <v>219</v>
      </c>
      <c r="D1313" t="s">
        <v>220</v>
      </c>
      <c r="E1313" t="str">
        <f>_xlfn.XLOOKUP(Sales[[#This Row],[Product Name]],Products[Product Name],Products[Category])</f>
        <v>Sides</v>
      </c>
      <c r="F1313" t="s">
        <v>444</v>
      </c>
      <c r="G1313" t="s">
        <v>450</v>
      </c>
      <c r="H1313">
        <v>51</v>
      </c>
      <c r="I1313" s="5">
        <f>_xlfn.XLOOKUP(Sales[[#This Row],[Product Name]],Products[Product Name],Products[Selling Price (CAD)])</f>
        <v>3.49</v>
      </c>
      <c r="J1313" s="5">
        <f>PRODUCT(Sales[[#This Row],[Quantity Sold]],Sales[[#This Row],[Unit Selling Price (CAD)]])</f>
        <v>177.99</v>
      </c>
    </row>
    <row r="1314" spans="1:10">
      <c r="A1314" t="s">
        <v>1762</v>
      </c>
      <c r="B1314" s="2">
        <v>46199</v>
      </c>
      <c r="C1314" t="s">
        <v>133</v>
      </c>
      <c r="D1314" t="s">
        <v>134</v>
      </c>
      <c r="E1314" t="str">
        <f>_xlfn.XLOOKUP(Sales[[#This Row],[Product Name]],Products[Product Name],Products[Category])</f>
        <v>Breakfast</v>
      </c>
      <c r="F1314" t="s">
        <v>449</v>
      </c>
      <c r="G1314" t="s">
        <v>450</v>
      </c>
      <c r="H1314">
        <v>38</v>
      </c>
      <c r="I1314" s="5">
        <f>_xlfn.XLOOKUP(Sales[[#This Row],[Product Name]],Products[Product Name],Products[Selling Price (CAD)])</f>
        <v>4.99</v>
      </c>
      <c r="J1314" s="5">
        <f>PRODUCT(Sales[[#This Row],[Quantity Sold]],Sales[[#This Row],[Unit Selling Price (CAD)]])</f>
        <v>189.62</v>
      </c>
    </row>
    <row r="1315" spans="1:10">
      <c r="A1315" t="s">
        <v>1763</v>
      </c>
      <c r="B1315" s="2">
        <v>46199</v>
      </c>
      <c r="C1315" t="s">
        <v>195</v>
      </c>
      <c r="D1315" t="s">
        <v>196</v>
      </c>
      <c r="E1315" t="str">
        <f>_xlfn.XLOOKUP(Sales[[#This Row],[Product Name]],Products[Product Name],Products[Category])</f>
        <v>Sides</v>
      </c>
      <c r="F1315" t="s">
        <v>449</v>
      </c>
      <c r="G1315" t="s">
        <v>452</v>
      </c>
      <c r="H1315">
        <v>75</v>
      </c>
      <c r="I1315" s="5">
        <f>_xlfn.XLOOKUP(Sales[[#This Row],[Product Name]],Products[Product Name],Products[Selling Price (CAD)])</f>
        <v>3.49</v>
      </c>
      <c r="J1315" s="5">
        <f>PRODUCT(Sales[[#This Row],[Quantity Sold]],Sales[[#This Row],[Unit Selling Price (CAD)]])</f>
        <v>261.75</v>
      </c>
    </row>
    <row r="1316" spans="1:10">
      <c r="A1316" t="s">
        <v>1764</v>
      </c>
      <c r="B1316" s="2">
        <v>46199</v>
      </c>
      <c r="C1316" t="s">
        <v>407</v>
      </c>
      <c r="D1316" t="s">
        <v>408</v>
      </c>
      <c r="E1316" t="str">
        <f>_xlfn.XLOOKUP(Sales[[#This Row],[Product Name]],Products[Product Name],Products[Category])</f>
        <v>Combo Meals</v>
      </c>
      <c r="F1316" t="s">
        <v>444</v>
      </c>
      <c r="G1316" t="s">
        <v>450</v>
      </c>
      <c r="H1316">
        <v>72</v>
      </c>
      <c r="I1316" s="5">
        <f>_xlfn.XLOOKUP(Sales[[#This Row],[Product Name]],Products[Product Name],Products[Selling Price (CAD)])</f>
        <v>10.99</v>
      </c>
      <c r="J1316" s="5">
        <f>PRODUCT(Sales[[#This Row],[Quantity Sold]],Sales[[#This Row],[Unit Selling Price (CAD)]])</f>
        <v>791.28</v>
      </c>
    </row>
    <row r="1317" spans="1:10">
      <c r="A1317" t="s">
        <v>1765</v>
      </c>
      <c r="B1317" s="2">
        <v>46199</v>
      </c>
      <c r="C1317" t="s">
        <v>17</v>
      </c>
      <c r="D1317" t="s">
        <v>18</v>
      </c>
      <c r="E1317" t="str">
        <f>_xlfn.XLOOKUP(Sales[[#This Row],[Product Name]],Products[Product Name],Products[Category])</f>
        <v>Burgers</v>
      </c>
      <c r="F1317" t="s">
        <v>444</v>
      </c>
      <c r="G1317" t="s">
        <v>454</v>
      </c>
      <c r="H1317">
        <v>66</v>
      </c>
      <c r="I1317" s="5">
        <f>_xlfn.XLOOKUP(Sales[[#This Row],[Product Name]],Products[Product Name],Products[Selling Price (CAD)])</f>
        <v>7.99</v>
      </c>
      <c r="J1317" s="5">
        <f>PRODUCT(Sales[[#This Row],[Quantity Sold]],Sales[[#This Row],[Unit Selling Price (CAD)]])</f>
        <v>527.34</v>
      </c>
    </row>
    <row r="1318" spans="1:10">
      <c r="A1318" t="s">
        <v>1766</v>
      </c>
      <c r="B1318" s="2">
        <v>46199</v>
      </c>
      <c r="C1318" t="s">
        <v>183</v>
      </c>
      <c r="D1318" t="s">
        <v>184</v>
      </c>
      <c r="E1318" t="str">
        <f>_xlfn.XLOOKUP(Sales[[#This Row],[Product Name]],Products[Product Name],Products[Category])</f>
        <v>Sides</v>
      </c>
      <c r="F1318" t="s">
        <v>447</v>
      </c>
      <c r="G1318" t="s">
        <v>452</v>
      </c>
      <c r="H1318">
        <v>53</v>
      </c>
      <c r="I1318" s="5">
        <f>_xlfn.XLOOKUP(Sales[[#This Row],[Product Name]],Products[Product Name],Products[Selling Price (CAD)])</f>
        <v>2.99</v>
      </c>
      <c r="J1318" s="5">
        <f>PRODUCT(Sales[[#This Row],[Quantity Sold]],Sales[[#This Row],[Unit Selling Price (CAD)]])</f>
        <v>158.47</v>
      </c>
    </row>
    <row r="1319" spans="1:10">
      <c r="A1319" t="s">
        <v>1767</v>
      </c>
      <c r="B1319" s="2">
        <v>46199</v>
      </c>
      <c r="C1319" t="s">
        <v>21</v>
      </c>
      <c r="D1319" t="s">
        <v>22</v>
      </c>
      <c r="E1319" t="str">
        <f>_xlfn.XLOOKUP(Sales[[#This Row],[Product Name]],Products[Product Name],Products[Category])</f>
        <v>Burgers</v>
      </c>
      <c r="F1319" t="s">
        <v>444</v>
      </c>
      <c r="G1319" t="s">
        <v>452</v>
      </c>
      <c r="H1319">
        <v>65</v>
      </c>
      <c r="I1319" s="5">
        <f>_xlfn.XLOOKUP(Sales[[#This Row],[Product Name]],Products[Product Name],Products[Selling Price (CAD)])</f>
        <v>9.99</v>
      </c>
      <c r="J1319" s="5">
        <f>PRODUCT(Sales[[#This Row],[Quantity Sold]],Sales[[#This Row],[Unit Selling Price (CAD)]])</f>
        <v>649.35</v>
      </c>
    </row>
    <row r="1320" spans="1:10">
      <c r="A1320" t="s">
        <v>1768</v>
      </c>
      <c r="B1320" s="2">
        <v>46199</v>
      </c>
      <c r="C1320" t="s">
        <v>321</v>
      </c>
      <c r="D1320" t="s">
        <v>322</v>
      </c>
      <c r="E1320" t="str">
        <f>_xlfn.XLOOKUP(Sales[[#This Row],[Product Name]],Products[Product Name],Products[Category])</f>
        <v>Beverages</v>
      </c>
      <c r="F1320" t="s">
        <v>449</v>
      </c>
      <c r="G1320" t="s">
        <v>454</v>
      </c>
      <c r="H1320">
        <v>48</v>
      </c>
      <c r="I1320" s="5">
        <f>_xlfn.XLOOKUP(Sales[[#This Row],[Product Name]],Products[Product Name],Products[Selling Price (CAD)])</f>
        <v>2.4900000000000002</v>
      </c>
      <c r="J1320" s="5">
        <f>PRODUCT(Sales[[#This Row],[Quantity Sold]],Sales[[#This Row],[Unit Selling Price (CAD)]])</f>
        <v>119.52000000000001</v>
      </c>
    </row>
    <row r="1321" spans="1:10">
      <c r="A1321" t="s">
        <v>1769</v>
      </c>
      <c r="B1321" s="2">
        <v>46199</v>
      </c>
      <c r="C1321" t="s">
        <v>287</v>
      </c>
      <c r="D1321" t="s">
        <v>288</v>
      </c>
      <c r="E1321" t="str">
        <f>_xlfn.XLOOKUP(Sales[[#This Row],[Product Name]],Products[Product Name],Products[Category])</f>
        <v>Beverages</v>
      </c>
      <c r="F1321" t="s">
        <v>449</v>
      </c>
      <c r="G1321" t="s">
        <v>452</v>
      </c>
      <c r="H1321">
        <v>44</v>
      </c>
      <c r="I1321" s="5">
        <f>_xlfn.XLOOKUP(Sales[[#This Row],[Product Name]],Products[Product Name],Products[Selling Price (CAD)])</f>
        <v>3.99</v>
      </c>
      <c r="J1321" s="5">
        <f>PRODUCT(Sales[[#This Row],[Quantity Sold]],Sales[[#This Row],[Unit Selling Price (CAD)]])</f>
        <v>175.56</v>
      </c>
    </row>
    <row r="1322" spans="1:10">
      <c r="A1322" t="s">
        <v>1770</v>
      </c>
      <c r="B1322" s="2">
        <v>46199</v>
      </c>
      <c r="C1322" t="s">
        <v>243</v>
      </c>
      <c r="D1322" t="s">
        <v>244</v>
      </c>
      <c r="E1322" t="str">
        <f>_xlfn.XLOOKUP(Sales[[#This Row],[Product Name]],Products[Product Name],Products[Category])</f>
        <v>Salads</v>
      </c>
      <c r="F1322" t="s">
        <v>444</v>
      </c>
      <c r="G1322" t="s">
        <v>452</v>
      </c>
      <c r="H1322">
        <v>44</v>
      </c>
      <c r="I1322" s="5">
        <f>_xlfn.XLOOKUP(Sales[[#This Row],[Product Name]],Products[Product Name],Products[Selling Price (CAD)])</f>
        <v>6.99</v>
      </c>
      <c r="J1322" s="5">
        <f>PRODUCT(Sales[[#This Row],[Quantity Sold]],Sales[[#This Row],[Unit Selling Price (CAD)]])</f>
        <v>307.56</v>
      </c>
    </row>
    <row r="1323" spans="1:10">
      <c r="A1323" t="s">
        <v>1771</v>
      </c>
      <c r="B1323" s="2">
        <v>46200</v>
      </c>
      <c r="C1323" t="s">
        <v>289</v>
      </c>
      <c r="D1323" t="s">
        <v>290</v>
      </c>
      <c r="E1323" t="str">
        <f>_xlfn.XLOOKUP(Sales[[#This Row],[Product Name]],Products[Product Name],Products[Category])</f>
        <v>Beverages</v>
      </c>
      <c r="F1323" t="s">
        <v>449</v>
      </c>
      <c r="G1323" t="s">
        <v>445</v>
      </c>
      <c r="H1323">
        <v>62</v>
      </c>
      <c r="I1323" s="5">
        <f>_xlfn.XLOOKUP(Sales[[#This Row],[Product Name]],Products[Product Name],Products[Selling Price (CAD)])</f>
        <v>2.99</v>
      </c>
      <c r="J1323" s="5">
        <f>PRODUCT(Sales[[#This Row],[Quantity Sold]],Sales[[#This Row],[Unit Selling Price (CAD)]])</f>
        <v>185.38000000000002</v>
      </c>
    </row>
    <row r="1324" spans="1:10">
      <c r="A1324" t="s">
        <v>1772</v>
      </c>
      <c r="B1324" s="2">
        <v>46200</v>
      </c>
      <c r="C1324" t="s">
        <v>64</v>
      </c>
      <c r="D1324" t="s">
        <v>65</v>
      </c>
      <c r="E1324" t="str">
        <f>_xlfn.XLOOKUP(Sales[[#This Row],[Product Name]],Products[Product Name],Products[Category])</f>
        <v>Burgers</v>
      </c>
      <c r="F1324" t="s">
        <v>449</v>
      </c>
      <c r="G1324" t="s">
        <v>450</v>
      </c>
      <c r="H1324">
        <v>30</v>
      </c>
      <c r="I1324" s="5">
        <f>_xlfn.XLOOKUP(Sales[[#This Row],[Product Name]],Products[Product Name],Products[Selling Price (CAD)])</f>
        <v>6.49</v>
      </c>
      <c r="J1324" s="5">
        <f>PRODUCT(Sales[[#This Row],[Quantity Sold]],Sales[[#This Row],[Unit Selling Price (CAD)]])</f>
        <v>194.70000000000002</v>
      </c>
    </row>
    <row r="1325" spans="1:10">
      <c r="A1325" t="s">
        <v>1773</v>
      </c>
      <c r="B1325" s="2">
        <v>46200</v>
      </c>
      <c r="C1325" t="s">
        <v>219</v>
      </c>
      <c r="D1325" t="s">
        <v>220</v>
      </c>
      <c r="E1325" t="str">
        <f>_xlfn.XLOOKUP(Sales[[#This Row],[Product Name]],Products[Product Name],Products[Category])</f>
        <v>Sides</v>
      </c>
      <c r="F1325" t="s">
        <v>444</v>
      </c>
      <c r="G1325" t="s">
        <v>454</v>
      </c>
      <c r="H1325">
        <v>30</v>
      </c>
      <c r="I1325" s="5">
        <f>_xlfn.XLOOKUP(Sales[[#This Row],[Product Name]],Products[Product Name],Products[Selling Price (CAD)])</f>
        <v>3.49</v>
      </c>
      <c r="J1325" s="5">
        <f>PRODUCT(Sales[[#This Row],[Quantity Sold]],Sales[[#This Row],[Unit Selling Price (CAD)]])</f>
        <v>104.7</v>
      </c>
    </row>
    <row r="1326" spans="1:10">
      <c r="A1326" t="s">
        <v>1774</v>
      </c>
      <c r="B1326" s="2">
        <v>46200</v>
      </c>
      <c r="C1326" t="s">
        <v>189</v>
      </c>
      <c r="D1326" t="s">
        <v>190</v>
      </c>
      <c r="E1326" t="str">
        <f>_xlfn.XLOOKUP(Sales[[#This Row],[Product Name]],Products[Product Name],Products[Category])</f>
        <v>Sides</v>
      </c>
      <c r="F1326" t="s">
        <v>444</v>
      </c>
      <c r="G1326" t="s">
        <v>445</v>
      </c>
      <c r="H1326">
        <v>65</v>
      </c>
      <c r="I1326" s="5">
        <f>_xlfn.XLOOKUP(Sales[[#This Row],[Product Name]],Products[Product Name],Products[Selling Price (CAD)])</f>
        <v>2.99</v>
      </c>
      <c r="J1326" s="5">
        <f>PRODUCT(Sales[[#This Row],[Quantity Sold]],Sales[[#This Row],[Unit Selling Price (CAD)]])</f>
        <v>194.35000000000002</v>
      </c>
    </row>
    <row r="1327" spans="1:10">
      <c r="A1327" t="s">
        <v>1775</v>
      </c>
      <c r="B1327" s="2">
        <v>46200</v>
      </c>
      <c r="C1327" t="s">
        <v>301</v>
      </c>
      <c r="D1327" t="s">
        <v>302</v>
      </c>
      <c r="E1327" t="str">
        <f>_xlfn.XLOOKUP(Sales[[#This Row],[Product Name]],Products[Product Name],Products[Category])</f>
        <v>Beverages</v>
      </c>
      <c r="F1327" t="s">
        <v>444</v>
      </c>
      <c r="G1327" t="s">
        <v>445</v>
      </c>
      <c r="H1327">
        <v>73</v>
      </c>
      <c r="I1327" s="5">
        <f>_xlfn.XLOOKUP(Sales[[#This Row],[Product Name]],Products[Product Name],Products[Selling Price (CAD)])</f>
        <v>1.99</v>
      </c>
      <c r="J1327" s="5">
        <f>PRODUCT(Sales[[#This Row],[Quantity Sold]],Sales[[#This Row],[Unit Selling Price (CAD)]])</f>
        <v>145.27000000000001</v>
      </c>
    </row>
    <row r="1328" spans="1:10">
      <c r="A1328" t="s">
        <v>1776</v>
      </c>
      <c r="B1328" s="2">
        <v>46200</v>
      </c>
      <c r="C1328" t="s">
        <v>263</v>
      </c>
      <c r="D1328" t="s">
        <v>264</v>
      </c>
      <c r="E1328" t="str">
        <f>_xlfn.XLOOKUP(Sales[[#This Row],[Product Name]],Products[Product Name],Products[Category])</f>
        <v>Beverages</v>
      </c>
      <c r="F1328" t="s">
        <v>444</v>
      </c>
      <c r="G1328" t="s">
        <v>450</v>
      </c>
      <c r="H1328">
        <v>72</v>
      </c>
      <c r="I1328" s="5">
        <f>_xlfn.XLOOKUP(Sales[[#This Row],[Product Name]],Products[Product Name],Products[Selling Price (CAD)])</f>
        <v>2.99</v>
      </c>
      <c r="J1328" s="5">
        <f>PRODUCT(Sales[[#This Row],[Quantity Sold]],Sales[[#This Row],[Unit Selling Price (CAD)]])</f>
        <v>215.28000000000003</v>
      </c>
    </row>
    <row r="1329" spans="1:10">
      <c r="A1329" t="s">
        <v>1777</v>
      </c>
      <c r="B1329" s="2">
        <v>46200</v>
      </c>
      <c r="C1329" t="s">
        <v>361</v>
      </c>
      <c r="D1329" t="s">
        <v>362</v>
      </c>
      <c r="E1329" t="str">
        <f>_xlfn.XLOOKUP(Sales[[#This Row],[Product Name]],Products[Product Name],Products[Category])</f>
        <v>Desserts</v>
      </c>
      <c r="F1329" t="s">
        <v>449</v>
      </c>
      <c r="G1329" t="s">
        <v>450</v>
      </c>
      <c r="H1329">
        <v>48</v>
      </c>
      <c r="I1329" s="5">
        <f>_xlfn.XLOOKUP(Sales[[#This Row],[Product Name]],Products[Product Name],Products[Selling Price (CAD)])</f>
        <v>5.99</v>
      </c>
      <c r="J1329" s="5">
        <f>PRODUCT(Sales[[#This Row],[Quantity Sold]],Sales[[#This Row],[Unit Selling Price (CAD)]])</f>
        <v>287.52</v>
      </c>
    </row>
    <row r="1330" spans="1:10">
      <c r="A1330" t="s">
        <v>1778</v>
      </c>
      <c r="B1330" s="2">
        <v>46200</v>
      </c>
      <c r="C1330" t="s">
        <v>91</v>
      </c>
      <c r="D1330" t="s">
        <v>92</v>
      </c>
      <c r="E1330" t="str">
        <f>_xlfn.XLOOKUP(Sales[[#This Row],[Product Name]],Products[Product Name],Products[Category])</f>
        <v>Chicken</v>
      </c>
      <c r="F1330" t="s">
        <v>444</v>
      </c>
      <c r="G1330" t="s">
        <v>450</v>
      </c>
      <c r="H1330">
        <v>60</v>
      </c>
      <c r="I1330" s="5">
        <f>_xlfn.XLOOKUP(Sales[[#This Row],[Product Name]],Products[Product Name],Products[Selling Price (CAD)])</f>
        <v>7.49</v>
      </c>
      <c r="J1330" s="5">
        <f>PRODUCT(Sales[[#This Row],[Quantity Sold]],Sales[[#This Row],[Unit Selling Price (CAD)]])</f>
        <v>449.40000000000003</v>
      </c>
    </row>
    <row r="1331" spans="1:10">
      <c r="A1331" t="s">
        <v>1779</v>
      </c>
      <c r="B1331" s="2">
        <v>46200</v>
      </c>
      <c r="C1331" t="s">
        <v>215</v>
      </c>
      <c r="D1331" t="s">
        <v>216</v>
      </c>
      <c r="E1331" t="str">
        <f>_xlfn.XLOOKUP(Sales[[#This Row],[Product Name]],Products[Product Name],Products[Category])</f>
        <v>Sides</v>
      </c>
      <c r="F1331" t="s">
        <v>449</v>
      </c>
      <c r="G1331" t="s">
        <v>450</v>
      </c>
      <c r="H1331">
        <v>75</v>
      </c>
      <c r="I1331" s="5">
        <f>_xlfn.XLOOKUP(Sales[[#This Row],[Product Name]],Products[Product Name],Products[Selling Price (CAD)])</f>
        <v>2.99</v>
      </c>
      <c r="J1331" s="5">
        <f>PRODUCT(Sales[[#This Row],[Quantity Sold]],Sales[[#This Row],[Unit Selling Price (CAD)]])</f>
        <v>224.25000000000003</v>
      </c>
    </row>
    <row r="1332" spans="1:10">
      <c r="A1332" t="s">
        <v>1780</v>
      </c>
      <c r="B1332" s="2">
        <v>46200</v>
      </c>
      <c r="C1332" t="s">
        <v>309</v>
      </c>
      <c r="D1332" t="s">
        <v>310</v>
      </c>
      <c r="E1332" t="str">
        <f>_xlfn.XLOOKUP(Sales[[#This Row],[Product Name]],Products[Product Name],Products[Category])</f>
        <v>Beverages</v>
      </c>
      <c r="F1332" t="s">
        <v>444</v>
      </c>
      <c r="G1332" t="s">
        <v>452</v>
      </c>
      <c r="H1332">
        <v>61</v>
      </c>
      <c r="I1332" s="5">
        <f>_xlfn.XLOOKUP(Sales[[#This Row],[Product Name]],Products[Product Name],Products[Selling Price (CAD)])</f>
        <v>2.99</v>
      </c>
      <c r="J1332" s="5">
        <f>PRODUCT(Sales[[#This Row],[Quantity Sold]],Sales[[#This Row],[Unit Selling Price (CAD)]])</f>
        <v>182.39000000000001</v>
      </c>
    </row>
    <row r="1333" spans="1:10">
      <c r="A1333" t="s">
        <v>1781</v>
      </c>
      <c r="B1333" s="2">
        <v>46200</v>
      </c>
      <c r="C1333" t="s">
        <v>293</v>
      </c>
      <c r="D1333" t="s">
        <v>294</v>
      </c>
      <c r="E1333" t="str">
        <f>_xlfn.XLOOKUP(Sales[[#This Row],[Product Name]],Products[Product Name],Products[Category])</f>
        <v>Beverages</v>
      </c>
      <c r="F1333" t="s">
        <v>447</v>
      </c>
      <c r="G1333" t="s">
        <v>450</v>
      </c>
      <c r="H1333">
        <v>35</v>
      </c>
      <c r="I1333" s="5">
        <f>_xlfn.XLOOKUP(Sales[[#This Row],[Product Name]],Products[Product Name],Products[Selling Price (CAD)])</f>
        <v>3.99</v>
      </c>
      <c r="J1333" s="5">
        <f>PRODUCT(Sales[[#This Row],[Quantity Sold]],Sales[[#This Row],[Unit Selling Price (CAD)]])</f>
        <v>139.65</v>
      </c>
    </row>
    <row r="1334" spans="1:10">
      <c r="A1334" t="s">
        <v>1782</v>
      </c>
      <c r="B1334" s="2">
        <v>46200</v>
      </c>
      <c r="C1334" t="s">
        <v>257</v>
      </c>
      <c r="D1334" t="s">
        <v>258</v>
      </c>
      <c r="E1334" t="str">
        <f>_xlfn.XLOOKUP(Sales[[#This Row],[Product Name]],Products[Product Name],Products[Category])</f>
        <v>Beverages</v>
      </c>
      <c r="F1334" t="s">
        <v>444</v>
      </c>
      <c r="G1334" t="s">
        <v>452</v>
      </c>
      <c r="H1334">
        <v>70</v>
      </c>
      <c r="I1334" s="5">
        <f>_xlfn.XLOOKUP(Sales[[#This Row],[Product Name]],Products[Product Name],Products[Selling Price (CAD)])</f>
        <v>2.99</v>
      </c>
      <c r="J1334" s="5">
        <f>PRODUCT(Sales[[#This Row],[Quantity Sold]],Sales[[#This Row],[Unit Selling Price (CAD)]])</f>
        <v>209.3</v>
      </c>
    </row>
    <row r="1335" spans="1:10">
      <c r="A1335" t="s">
        <v>1783</v>
      </c>
      <c r="B1335" s="2">
        <v>46201</v>
      </c>
      <c r="C1335" t="s">
        <v>40</v>
      </c>
      <c r="D1335" t="s">
        <v>41</v>
      </c>
      <c r="E1335" t="str">
        <f>_xlfn.XLOOKUP(Sales[[#This Row],[Product Name]],Products[Product Name],Products[Category])</f>
        <v>Burgers</v>
      </c>
      <c r="F1335" t="s">
        <v>449</v>
      </c>
      <c r="G1335" t="s">
        <v>450</v>
      </c>
      <c r="H1335">
        <v>43</v>
      </c>
      <c r="I1335" s="5">
        <f>_xlfn.XLOOKUP(Sales[[#This Row],[Product Name]],Products[Product Name],Products[Selling Price (CAD)])</f>
        <v>6.99</v>
      </c>
      <c r="J1335" s="5">
        <f>PRODUCT(Sales[[#This Row],[Quantity Sold]],Sales[[#This Row],[Unit Selling Price (CAD)]])</f>
        <v>300.57</v>
      </c>
    </row>
    <row r="1336" spans="1:10">
      <c r="A1336" t="s">
        <v>1784</v>
      </c>
      <c r="B1336" s="2">
        <v>46201</v>
      </c>
      <c r="C1336" t="s">
        <v>145</v>
      </c>
      <c r="D1336" t="s">
        <v>146</v>
      </c>
      <c r="E1336" t="str">
        <f>_xlfn.XLOOKUP(Sales[[#This Row],[Product Name]],Products[Product Name],Products[Category])</f>
        <v>Breakfast</v>
      </c>
      <c r="F1336" t="s">
        <v>449</v>
      </c>
      <c r="G1336" t="s">
        <v>454</v>
      </c>
      <c r="H1336">
        <v>31</v>
      </c>
      <c r="I1336" s="5">
        <f>_xlfn.XLOOKUP(Sales[[#This Row],[Product Name]],Products[Product Name],Products[Selling Price (CAD)])</f>
        <v>4.99</v>
      </c>
      <c r="J1336" s="5">
        <f>PRODUCT(Sales[[#This Row],[Quantity Sold]],Sales[[#This Row],[Unit Selling Price (CAD)]])</f>
        <v>154.69</v>
      </c>
    </row>
    <row r="1337" spans="1:10">
      <c r="A1337" t="s">
        <v>1785</v>
      </c>
      <c r="B1337" s="2">
        <v>46201</v>
      </c>
      <c r="C1337" t="s">
        <v>42</v>
      </c>
      <c r="D1337" t="s">
        <v>43</v>
      </c>
      <c r="E1337" t="str">
        <f>_xlfn.XLOOKUP(Sales[[#This Row],[Product Name]],Products[Product Name],Products[Category])</f>
        <v>Burgers</v>
      </c>
      <c r="F1337" t="s">
        <v>444</v>
      </c>
      <c r="G1337" t="s">
        <v>450</v>
      </c>
      <c r="H1337">
        <v>32</v>
      </c>
      <c r="I1337" s="5">
        <f>_xlfn.XLOOKUP(Sales[[#This Row],[Product Name]],Products[Product Name],Products[Selling Price (CAD)])</f>
        <v>8.99</v>
      </c>
      <c r="J1337" s="5">
        <f>PRODUCT(Sales[[#This Row],[Quantity Sold]],Sales[[#This Row],[Unit Selling Price (CAD)]])</f>
        <v>287.68</v>
      </c>
    </row>
    <row r="1338" spans="1:10">
      <c r="A1338" t="s">
        <v>1786</v>
      </c>
      <c r="B1338" s="2">
        <v>46201</v>
      </c>
      <c r="C1338" t="s">
        <v>269</v>
      </c>
      <c r="D1338" t="s">
        <v>270</v>
      </c>
      <c r="E1338" t="str">
        <f>_xlfn.XLOOKUP(Sales[[#This Row],[Product Name]],Products[Product Name],Products[Category])</f>
        <v>Beverages</v>
      </c>
      <c r="F1338" t="s">
        <v>449</v>
      </c>
      <c r="G1338" t="s">
        <v>454</v>
      </c>
      <c r="H1338">
        <v>31</v>
      </c>
      <c r="I1338" s="5">
        <f>_xlfn.XLOOKUP(Sales[[#This Row],[Product Name]],Products[Product Name],Products[Selling Price (CAD)])</f>
        <v>2.99</v>
      </c>
      <c r="J1338" s="5">
        <f>PRODUCT(Sales[[#This Row],[Quantity Sold]],Sales[[#This Row],[Unit Selling Price (CAD)]])</f>
        <v>92.690000000000012</v>
      </c>
    </row>
    <row r="1339" spans="1:10">
      <c r="A1339" t="s">
        <v>1787</v>
      </c>
      <c r="B1339" s="2">
        <v>46201</v>
      </c>
      <c r="C1339" t="s">
        <v>28</v>
      </c>
      <c r="D1339" t="s">
        <v>29</v>
      </c>
      <c r="E1339" t="str">
        <f>_xlfn.XLOOKUP(Sales[[#This Row],[Product Name]],Products[Product Name],Products[Category])</f>
        <v>Burgers</v>
      </c>
      <c r="F1339" t="s">
        <v>444</v>
      </c>
      <c r="G1339" t="s">
        <v>450</v>
      </c>
      <c r="H1339">
        <v>61</v>
      </c>
      <c r="I1339" s="5">
        <f>_xlfn.XLOOKUP(Sales[[#This Row],[Product Name]],Products[Product Name],Products[Selling Price (CAD)])</f>
        <v>7.99</v>
      </c>
      <c r="J1339" s="5">
        <f>PRODUCT(Sales[[#This Row],[Quantity Sold]],Sales[[#This Row],[Unit Selling Price (CAD)]])</f>
        <v>487.39</v>
      </c>
    </row>
    <row r="1340" spans="1:10">
      <c r="A1340" t="s">
        <v>1788</v>
      </c>
      <c r="B1340" s="2">
        <v>46202</v>
      </c>
      <c r="C1340" t="s">
        <v>295</v>
      </c>
      <c r="D1340" t="s">
        <v>296</v>
      </c>
      <c r="E1340" t="str">
        <f>_xlfn.XLOOKUP(Sales[[#This Row],[Product Name]],Products[Product Name],Products[Category])</f>
        <v>Beverages</v>
      </c>
      <c r="F1340" t="s">
        <v>449</v>
      </c>
      <c r="G1340" t="s">
        <v>452</v>
      </c>
      <c r="H1340">
        <v>50</v>
      </c>
      <c r="I1340" s="5">
        <f>_xlfn.XLOOKUP(Sales[[#This Row],[Product Name]],Products[Product Name],Products[Selling Price (CAD)])</f>
        <v>2.99</v>
      </c>
      <c r="J1340" s="5">
        <f>PRODUCT(Sales[[#This Row],[Quantity Sold]],Sales[[#This Row],[Unit Selling Price (CAD)]])</f>
        <v>149.5</v>
      </c>
    </row>
    <row r="1341" spans="1:10">
      <c r="A1341" t="s">
        <v>1789</v>
      </c>
      <c r="B1341" s="2">
        <v>46202</v>
      </c>
      <c r="C1341" t="s">
        <v>407</v>
      </c>
      <c r="D1341" t="s">
        <v>408</v>
      </c>
      <c r="E1341" t="str">
        <f>_xlfn.XLOOKUP(Sales[[#This Row],[Product Name]],Products[Product Name],Products[Category])</f>
        <v>Combo Meals</v>
      </c>
      <c r="F1341" t="s">
        <v>447</v>
      </c>
      <c r="G1341" t="s">
        <v>445</v>
      </c>
      <c r="H1341">
        <v>61</v>
      </c>
      <c r="I1341" s="5">
        <f>_xlfn.XLOOKUP(Sales[[#This Row],[Product Name]],Products[Product Name],Products[Selling Price (CAD)])</f>
        <v>10.99</v>
      </c>
      <c r="J1341" s="5">
        <f>PRODUCT(Sales[[#This Row],[Quantity Sold]],Sales[[#This Row],[Unit Selling Price (CAD)]])</f>
        <v>670.39</v>
      </c>
    </row>
    <row r="1342" spans="1:10">
      <c r="A1342" t="s">
        <v>1790</v>
      </c>
      <c r="B1342" s="2">
        <v>46202</v>
      </c>
      <c r="C1342" t="s">
        <v>259</v>
      </c>
      <c r="D1342" t="s">
        <v>260</v>
      </c>
      <c r="E1342" t="str">
        <f>_xlfn.XLOOKUP(Sales[[#This Row],[Product Name]],Products[Product Name],Products[Category])</f>
        <v>Beverages</v>
      </c>
      <c r="F1342" t="s">
        <v>449</v>
      </c>
      <c r="G1342" t="s">
        <v>454</v>
      </c>
      <c r="H1342">
        <v>47</v>
      </c>
      <c r="I1342" s="5">
        <f>_xlfn.XLOOKUP(Sales[[#This Row],[Product Name]],Products[Product Name],Products[Selling Price (CAD)])</f>
        <v>1.99</v>
      </c>
      <c r="J1342" s="5">
        <f>PRODUCT(Sales[[#This Row],[Quantity Sold]],Sales[[#This Row],[Unit Selling Price (CAD)]])</f>
        <v>93.53</v>
      </c>
    </row>
    <row r="1343" spans="1:10">
      <c r="A1343" t="s">
        <v>1791</v>
      </c>
      <c r="B1343" s="2">
        <v>46202</v>
      </c>
      <c r="C1343" t="s">
        <v>113</v>
      </c>
      <c r="D1343" t="s">
        <v>114</v>
      </c>
      <c r="E1343" t="str">
        <f>_xlfn.XLOOKUP(Sales[[#This Row],[Product Name]],Products[Product Name],Products[Category])</f>
        <v>Chicken</v>
      </c>
      <c r="F1343" t="s">
        <v>447</v>
      </c>
      <c r="G1343" t="s">
        <v>450</v>
      </c>
      <c r="H1343">
        <v>51</v>
      </c>
      <c r="I1343" s="5">
        <f>_xlfn.XLOOKUP(Sales[[#This Row],[Product Name]],Products[Product Name],Products[Selling Price (CAD)])</f>
        <v>5.99</v>
      </c>
      <c r="J1343" s="5">
        <f>PRODUCT(Sales[[#This Row],[Quantity Sold]],Sales[[#This Row],[Unit Selling Price (CAD)]])</f>
        <v>305.49</v>
      </c>
    </row>
    <row r="1344" spans="1:10">
      <c r="A1344" t="s">
        <v>1792</v>
      </c>
      <c r="B1344" s="2">
        <v>46202</v>
      </c>
      <c r="C1344" t="s">
        <v>287</v>
      </c>
      <c r="D1344" t="s">
        <v>288</v>
      </c>
      <c r="E1344" t="str">
        <f>_xlfn.XLOOKUP(Sales[[#This Row],[Product Name]],Products[Product Name],Products[Category])</f>
        <v>Beverages</v>
      </c>
      <c r="F1344" t="s">
        <v>447</v>
      </c>
      <c r="G1344" t="s">
        <v>454</v>
      </c>
      <c r="H1344">
        <v>50</v>
      </c>
      <c r="I1344" s="5">
        <f>_xlfn.XLOOKUP(Sales[[#This Row],[Product Name]],Products[Product Name],Products[Selling Price (CAD)])</f>
        <v>3.99</v>
      </c>
      <c r="J1344" s="5">
        <f>PRODUCT(Sales[[#This Row],[Quantity Sold]],Sales[[#This Row],[Unit Selling Price (CAD)]])</f>
        <v>199.5</v>
      </c>
    </row>
    <row r="1345" spans="1:10">
      <c r="A1345" t="s">
        <v>1793</v>
      </c>
      <c r="B1345" s="2">
        <v>46203</v>
      </c>
      <c r="C1345" t="s">
        <v>263</v>
      </c>
      <c r="D1345" t="s">
        <v>264</v>
      </c>
      <c r="E1345" t="str">
        <f>_xlfn.XLOOKUP(Sales[[#This Row],[Product Name]],Products[Product Name],Products[Category])</f>
        <v>Beverages</v>
      </c>
      <c r="F1345" t="s">
        <v>444</v>
      </c>
      <c r="G1345" t="s">
        <v>445</v>
      </c>
      <c r="H1345">
        <v>55</v>
      </c>
      <c r="I1345" s="5">
        <f>_xlfn.XLOOKUP(Sales[[#This Row],[Product Name]],Products[Product Name],Products[Selling Price (CAD)])</f>
        <v>2.99</v>
      </c>
      <c r="J1345" s="5">
        <f>PRODUCT(Sales[[#This Row],[Quantity Sold]],Sales[[#This Row],[Unit Selling Price (CAD)]])</f>
        <v>164.45000000000002</v>
      </c>
    </row>
    <row r="1346" spans="1:10">
      <c r="A1346" t="s">
        <v>1794</v>
      </c>
      <c r="B1346" s="2">
        <v>46203</v>
      </c>
      <c r="C1346" t="s">
        <v>32</v>
      </c>
      <c r="D1346" t="s">
        <v>33</v>
      </c>
      <c r="E1346" t="str">
        <f>_xlfn.XLOOKUP(Sales[[#This Row],[Product Name]],Products[Product Name],Products[Category])</f>
        <v>Burgers</v>
      </c>
      <c r="F1346" t="s">
        <v>447</v>
      </c>
      <c r="G1346" t="s">
        <v>450</v>
      </c>
      <c r="H1346">
        <v>74</v>
      </c>
      <c r="I1346" s="5">
        <f>_xlfn.XLOOKUP(Sales[[#This Row],[Product Name]],Products[Product Name],Products[Selling Price (CAD)])</f>
        <v>9.99</v>
      </c>
      <c r="J1346" s="5">
        <f>PRODUCT(Sales[[#This Row],[Quantity Sold]],Sales[[#This Row],[Unit Selling Price (CAD)]])</f>
        <v>739.26</v>
      </c>
    </row>
    <row r="1347" spans="1:10">
      <c r="A1347" t="s">
        <v>1795</v>
      </c>
      <c r="B1347" s="2">
        <v>46203</v>
      </c>
      <c r="C1347" t="s">
        <v>285</v>
      </c>
      <c r="D1347" t="s">
        <v>286</v>
      </c>
      <c r="E1347" t="str">
        <f>_xlfn.XLOOKUP(Sales[[#This Row],[Product Name]],Products[Product Name],Products[Category])</f>
        <v>Beverages</v>
      </c>
      <c r="F1347" t="s">
        <v>444</v>
      </c>
      <c r="G1347" t="s">
        <v>452</v>
      </c>
      <c r="H1347">
        <v>34</v>
      </c>
      <c r="I1347" s="5">
        <f>_xlfn.XLOOKUP(Sales[[#This Row],[Product Name]],Products[Product Name],Products[Selling Price (CAD)])</f>
        <v>2.99</v>
      </c>
      <c r="J1347" s="5">
        <f>PRODUCT(Sales[[#This Row],[Quantity Sold]],Sales[[#This Row],[Unit Selling Price (CAD)]])</f>
        <v>101.66000000000001</v>
      </c>
    </row>
    <row r="1348" spans="1:10">
      <c r="A1348" t="s">
        <v>1796</v>
      </c>
      <c r="B1348" s="2">
        <v>46203</v>
      </c>
      <c r="C1348" t="s">
        <v>279</v>
      </c>
      <c r="D1348" t="s">
        <v>280</v>
      </c>
      <c r="E1348" t="str">
        <f>_xlfn.XLOOKUP(Sales[[#This Row],[Product Name]],Products[Product Name],Products[Category])</f>
        <v>Beverages</v>
      </c>
      <c r="F1348" t="s">
        <v>449</v>
      </c>
      <c r="G1348" t="s">
        <v>450</v>
      </c>
      <c r="H1348">
        <v>73</v>
      </c>
      <c r="I1348" s="5">
        <f>_xlfn.XLOOKUP(Sales[[#This Row],[Product Name]],Products[Product Name],Products[Selling Price (CAD)])</f>
        <v>2.99</v>
      </c>
      <c r="J1348" s="5">
        <f>PRODUCT(Sales[[#This Row],[Quantity Sold]],Sales[[#This Row],[Unit Selling Price (CAD)]])</f>
        <v>218.27</v>
      </c>
    </row>
    <row r="1349" spans="1:10">
      <c r="A1349" t="s">
        <v>1797</v>
      </c>
      <c r="B1349" s="2">
        <v>46203</v>
      </c>
      <c r="C1349" t="s">
        <v>273</v>
      </c>
      <c r="D1349" t="s">
        <v>274</v>
      </c>
      <c r="E1349" t="str">
        <f>_xlfn.XLOOKUP(Sales[[#This Row],[Product Name]],Products[Product Name],Products[Category])</f>
        <v>Beverages</v>
      </c>
      <c r="F1349" t="s">
        <v>447</v>
      </c>
      <c r="G1349" t="s">
        <v>452</v>
      </c>
      <c r="H1349">
        <v>65</v>
      </c>
      <c r="I1349" s="5">
        <f>_xlfn.XLOOKUP(Sales[[#This Row],[Product Name]],Products[Product Name],Products[Selling Price (CAD)])</f>
        <v>2.99</v>
      </c>
      <c r="J1349" s="5">
        <f>PRODUCT(Sales[[#This Row],[Quantity Sold]],Sales[[#This Row],[Unit Selling Price (CAD)]])</f>
        <v>194.35000000000002</v>
      </c>
    </row>
    <row r="1350" spans="1:10">
      <c r="A1350" t="s">
        <v>1798</v>
      </c>
      <c r="B1350" s="2">
        <v>46203</v>
      </c>
      <c r="C1350" t="s">
        <v>115</v>
      </c>
      <c r="D1350" t="s">
        <v>116</v>
      </c>
      <c r="E1350" t="str">
        <f>_xlfn.XLOOKUP(Sales[[#This Row],[Product Name]],Products[Product Name],Products[Category])</f>
        <v>Chicken</v>
      </c>
      <c r="F1350" t="s">
        <v>444</v>
      </c>
      <c r="G1350" t="s">
        <v>454</v>
      </c>
      <c r="H1350">
        <v>66</v>
      </c>
      <c r="I1350" s="5">
        <f>_xlfn.XLOOKUP(Sales[[#This Row],[Product Name]],Products[Product Name],Products[Selling Price (CAD)])</f>
        <v>2.99</v>
      </c>
      <c r="J1350" s="5">
        <f>PRODUCT(Sales[[#This Row],[Quantity Sold]],Sales[[#This Row],[Unit Selling Price (CAD)]])</f>
        <v>197.34</v>
      </c>
    </row>
    <row r="1351" spans="1:10">
      <c r="A1351" t="s">
        <v>1799</v>
      </c>
      <c r="B1351" s="2">
        <v>46203</v>
      </c>
      <c r="C1351" t="s">
        <v>105</v>
      </c>
      <c r="D1351" t="s">
        <v>106</v>
      </c>
      <c r="E1351" t="str">
        <f>_xlfn.XLOOKUP(Sales[[#This Row],[Product Name]],Products[Product Name],Products[Category])</f>
        <v>Chicken</v>
      </c>
      <c r="F1351" t="s">
        <v>444</v>
      </c>
      <c r="G1351" t="s">
        <v>452</v>
      </c>
      <c r="H1351">
        <v>57</v>
      </c>
      <c r="I1351" s="5">
        <f>_xlfn.XLOOKUP(Sales[[#This Row],[Product Name]],Products[Product Name],Products[Selling Price (CAD)])</f>
        <v>4.99</v>
      </c>
      <c r="J1351" s="5">
        <f>PRODUCT(Sales[[#This Row],[Quantity Sold]],Sales[[#This Row],[Unit Selling Price (CAD)]])</f>
        <v>284.43</v>
      </c>
    </row>
    <row r="1352" spans="1:10">
      <c r="A1352" t="s">
        <v>1800</v>
      </c>
      <c r="B1352" s="2">
        <v>46203</v>
      </c>
      <c r="C1352" t="s">
        <v>68</v>
      </c>
      <c r="D1352" t="s">
        <v>69</v>
      </c>
      <c r="E1352" t="str">
        <f>_xlfn.XLOOKUP(Sales[[#This Row],[Product Name]],Products[Product Name],Products[Category])</f>
        <v>Burgers</v>
      </c>
      <c r="F1352" t="s">
        <v>444</v>
      </c>
      <c r="G1352" t="s">
        <v>450</v>
      </c>
      <c r="H1352">
        <v>38</v>
      </c>
      <c r="I1352" s="5">
        <f>_xlfn.XLOOKUP(Sales[[#This Row],[Product Name]],Products[Product Name],Products[Selling Price (CAD)])</f>
        <v>6.99</v>
      </c>
      <c r="J1352" s="5">
        <f>PRODUCT(Sales[[#This Row],[Quantity Sold]],Sales[[#This Row],[Unit Selling Price (CAD)]])</f>
        <v>265.62</v>
      </c>
    </row>
    <row r="1353" spans="1:10">
      <c r="A1353" t="s">
        <v>1801</v>
      </c>
      <c r="B1353" s="2">
        <v>46203</v>
      </c>
      <c r="C1353" t="s">
        <v>147</v>
      </c>
      <c r="D1353" t="s">
        <v>148</v>
      </c>
      <c r="E1353" t="str">
        <f>_xlfn.XLOOKUP(Sales[[#This Row],[Product Name]],Products[Product Name],Products[Category])</f>
        <v>Breakfast</v>
      </c>
      <c r="F1353" t="s">
        <v>449</v>
      </c>
      <c r="G1353" t="s">
        <v>450</v>
      </c>
      <c r="H1353">
        <v>36</v>
      </c>
      <c r="I1353" s="5">
        <f>_xlfn.XLOOKUP(Sales[[#This Row],[Product Name]],Products[Product Name],Products[Selling Price (CAD)])</f>
        <v>4.99</v>
      </c>
      <c r="J1353" s="5">
        <f>PRODUCT(Sales[[#This Row],[Quantity Sold]],Sales[[#This Row],[Unit Selling Price (CAD)]])</f>
        <v>179.64000000000001</v>
      </c>
    </row>
    <row r="1354" spans="1:10">
      <c r="A1354" t="s">
        <v>1802</v>
      </c>
      <c r="B1354" s="2">
        <v>46203</v>
      </c>
      <c r="C1354" t="s">
        <v>58</v>
      </c>
      <c r="D1354" t="s">
        <v>59</v>
      </c>
      <c r="E1354" t="str">
        <f>_xlfn.XLOOKUP(Sales[[#This Row],[Product Name]],Products[Product Name],Products[Category])</f>
        <v>Burgers</v>
      </c>
      <c r="F1354" t="s">
        <v>444</v>
      </c>
      <c r="G1354" t="s">
        <v>450</v>
      </c>
      <c r="H1354">
        <v>32</v>
      </c>
      <c r="I1354" s="5">
        <f>_xlfn.XLOOKUP(Sales[[#This Row],[Product Name]],Products[Product Name],Products[Selling Price (CAD)])</f>
        <v>8.49</v>
      </c>
      <c r="J1354" s="5">
        <f>PRODUCT(Sales[[#This Row],[Quantity Sold]],Sales[[#This Row],[Unit Selling Price (CAD)]])</f>
        <v>271.68</v>
      </c>
    </row>
    <row r="1355" spans="1:10">
      <c r="A1355" t="s">
        <v>1803</v>
      </c>
      <c r="B1355" s="2">
        <v>46203</v>
      </c>
      <c r="C1355" t="s">
        <v>267</v>
      </c>
      <c r="D1355" t="s">
        <v>268</v>
      </c>
      <c r="E1355" t="str">
        <f>_xlfn.XLOOKUP(Sales[[#This Row],[Product Name]],Products[Product Name],Products[Category])</f>
        <v>Beverages</v>
      </c>
      <c r="F1355" t="s">
        <v>447</v>
      </c>
      <c r="G1355" t="s">
        <v>450</v>
      </c>
      <c r="H1355">
        <v>80</v>
      </c>
      <c r="I1355" s="5">
        <f>_xlfn.XLOOKUP(Sales[[#This Row],[Product Name]],Products[Product Name],Products[Selling Price (CAD)])</f>
        <v>2.99</v>
      </c>
      <c r="J1355" s="5">
        <f>PRODUCT(Sales[[#This Row],[Quantity Sold]],Sales[[#This Row],[Unit Selling Price (CAD)]])</f>
        <v>239.20000000000002</v>
      </c>
    </row>
    <row r="1356" spans="1:10">
      <c r="A1356" t="s">
        <v>1804</v>
      </c>
      <c r="B1356" s="2">
        <v>46203</v>
      </c>
      <c r="C1356" t="s">
        <v>293</v>
      </c>
      <c r="D1356" t="s">
        <v>294</v>
      </c>
      <c r="E1356" t="str">
        <f>_xlfn.XLOOKUP(Sales[[#This Row],[Product Name]],Products[Product Name],Products[Category])</f>
        <v>Beverages</v>
      </c>
      <c r="F1356" t="s">
        <v>449</v>
      </c>
      <c r="G1356" t="s">
        <v>454</v>
      </c>
      <c r="H1356">
        <v>40</v>
      </c>
      <c r="I1356" s="5">
        <f>_xlfn.XLOOKUP(Sales[[#This Row],[Product Name]],Products[Product Name],Products[Selling Price (CAD)])</f>
        <v>3.99</v>
      </c>
      <c r="J1356" s="5">
        <f>PRODUCT(Sales[[#This Row],[Quantity Sold]],Sales[[#This Row],[Unit Selling Price (CAD)]])</f>
        <v>159.60000000000002</v>
      </c>
    </row>
    <row r="1357" spans="1:10">
      <c r="A1357" t="s">
        <v>1805</v>
      </c>
      <c r="B1357" s="2">
        <v>46203</v>
      </c>
      <c r="C1357" t="s">
        <v>127</v>
      </c>
      <c r="D1357" t="s">
        <v>128</v>
      </c>
      <c r="E1357" t="str">
        <f>_xlfn.XLOOKUP(Sales[[#This Row],[Product Name]],Products[Product Name],Products[Category])</f>
        <v>Chicken</v>
      </c>
      <c r="F1357" t="s">
        <v>444</v>
      </c>
      <c r="G1357" t="s">
        <v>445</v>
      </c>
      <c r="H1357">
        <v>63</v>
      </c>
      <c r="I1357" s="5">
        <f>_xlfn.XLOOKUP(Sales[[#This Row],[Product Name]],Products[Product Name],Products[Selling Price (CAD)])</f>
        <v>6.99</v>
      </c>
      <c r="J1357" s="5">
        <f>PRODUCT(Sales[[#This Row],[Quantity Sold]],Sales[[#This Row],[Unit Selling Price (CAD)]])</f>
        <v>440.37</v>
      </c>
    </row>
    <row r="1358" spans="1:10">
      <c r="A1358" t="s">
        <v>1806</v>
      </c>
      <c r="B1358" s="2">
        <v>46203</v>
      </c>
      <c r="C1358" t="s">
        <v>417</v>
      </c>
      <c r="D1358" t="s">
        <v>418</v>
      </c>
      <c r="E1358" t="str">
        <f>_xlfn.XLOOKUP(Sales[[#This Row],[Product Name]],Products[Product Name],Products[Category])</f>
        <v>Combo Meals</v>
      </c>
      <c r="F1358" t="s">
        <v>444</v>
      </c>
      <c r="G1358" t="s">
        <v>452</v>
      </c>
      <c r="H1358">
        <v>33</v>
      </c>
      <c r="I1358" s="5">
        <f>_xlfn.XLOOKUP(Sales[[#This Row],[Product Name]],Products[Product Name],Products[Selling Price (CAD)])</f>
        <v>9.99</v>
      </c>
      <c r="J1358" s="5">
        <f>PRODUCT(Sales[[#This Row],[Quantity Sold]],Sales[[#This Row],[Unit Selling Price (CAD)]])</f>
        <v>329.67</v>
      </c>
    </row>
    <row r="1359" spans="1:10">
      <c r="A1359" t="s">
        <v>1807</v>
      </c>
      <c r="B1359" s="2">
        <v>46203</v>
      </c>
      <c r="C1359" t="s">
        <v>197</v>
      </c>
      <c r="D1359" t="s">
        <v>198</v>
      </c>
      <c r="E1359" t="str">
        <f>_xlfn.XLOOKUP(Sales[[#This Row],[Product Name]],Products[Product Name],Products[Category])</f>
        <v>Sides</v>
      </c>
      <c r="F1359" t="s">
        <v>449</v>
      </c>
      <c r="G1359" t="s">
        <v>454</v>
      </c>
      <c r="H1359">
        <v>71</v>
      </c>
      <c r="I1359" s="5">
        <f>_xlfn.XLOOKUP(Sales[[#This Row],[Product Name]],Products[Product Name],Products[Selling Price (CAD)])</f>
        <v>4.49</v>
      </c>
      <c r="J1359" s="5">
        <f>PRODUCT(Sales[[#This Row],[Quantity Sold]],Sales[[#This Row],[Unit Selling Price (CAD)]])</f>
        <v>318.79000000000002</v>
      </c>
    </row>
    <row r="1360" spans="1:10">
      <c r="A1360" t="s">
        <v>1808</v>
      </c>
      <c r="B1360" s="2">
        <v>46203</v>
      </c>
      <c r="C1360" t="s">
        <v>68</v>
      </c>
      <c r="D1360" t="s">
        <v>69</v>
      </c>
      <c r="E1360" t="str">
        <f>_xlfn.XLOOKUP(Sales[[#This Row],[Product Name]],Products[Product Name],Products[Category])</f>
        <v>Burgers</v>
      </c>
      <c r="F1360" t="s">
        <v>447</v>
      </c>
      <c r="G1360" t="s">
        <v>445</v>
      </c>
      <c r="H1360">
        <v>32</v>
      </c>
      <c r="I1360" s="5">
        <f>_xlfn.XLOOKUP(Sales[[#This Row],[Product Name]],Products[Product Name],Products[Selling Price (CAD)])</f>
        <v>6.99</v>
      </c>
      <c r="J1360" s="5">
        <f>PRODUCT(Sales[[#This Row],[Quantity Sold]],Sales[[#This Row],[Unit Selling Price (CAD)]])</f>
        <v>223.68</v>
      </c>
    </row>
    <row r="1361" spans="1:10">
      <c r="A1361" t="s">
        <v>1809</v>
      </c>
      <c r="B1361" s="2">
        <v>46203</v>
      </c>
      <c r="C1361" t="s">
        <v>317</v>
      </c>
      <c r="D1361" t="s">
        <v>318</v>
      </c>
      <c r="E1361" t="str">
        <f>_xlfn.XLOOKUP(Sales[[#This Row],[Product Name]],Products[Product Name],Products[Category])</f>
        <v>Beverages</v>
      </c>
      <c r="F1361" t="s">
        <v>447</v>
      </c>
      <c r="G1361" t="s">
        <v>452</v>
      </c>
      <c r="H1361">
        <v>40</v>
      </c>
      <c r="I1361" s="5">
        <f>_xlfn.XLOOKUP(Sales[[#This Row],[Product Name]],Products[Product Name],Products[Selling Price (CAD)])</f>
        <v>3.99</v>
      </c>
      <c r="J1361" s="5">
        <f>PRODUCT(Sales[[#This Row],[Quantity Sold]],Sales[[#This Row],[Unit Selling Price (CAD)]])</f>
        <v>159.60000000000002</v>
      </c>
    </row>
    <row r="1362" spans="1:10">
      <c r="A1362" t="s">
        <v>1810</v>
      </c>
      <c r="B1362" s="2">
        <v>46204</v>
      </c>
      <c r="C1362" t="s">
        <v>85</v>
      </c>
      <c r="D1362" t="s">
        <v>86</v>
      </c>
      <c r="E1362" t="str">
        <f>_xlfn.XLOOKUP(Sales[[#This Row],[Product Name]],Products[Product Name],Products[Category])</f>
        <v>Chicken</v>
      </c>
      <c r="F1362" t="s">
        <v>444</v>
      </c>
      <c r="G1362" t="s">
        <v>450</v>
      </c>
      <c r="H1362">
        <v>32</v>
      </c>
      <c r="I1362" s="5">
        <f>_xlfn.XLOOKUP(Sales[[#This Row],[Product Name]],Products[Product Name],Products[Selling Price (CAD)])</f>
        <v>6.99</v>
      </c>
      <c r="J1362" s="5">
        <f>PRODUCT(Sales[[#This Row],[Quantity Sold]],Sales[[#This Row],[Unit Selling Price (CAD)]])</f>
        <v>223.68</v>
      </c>
    </row>
    <row r="1363" spans="1:10">
      <c r="A1363" t="s">
        <v>1811</v>
      </c>
      <c r="B1363" s="2">
        <v>46204</v>
      </c>
      <c r="C1363" t="s">
        <v>301</v>
      </c>
      <c r="D1363" t="s">
        <v>302</v>
      </c>
      <c r="E1363" t="str">
        <f>_xlfn.XLOOKUP(Sales[[#This Row],[Product Name]],Products[Product Name],Products[Category])</f>
        <v>Beverages</v>
      </c>
      <c r="F1363" t="s">
        <v>444</v>
      </c>
      <c r="G1363" t="s">
        <v>450</v>
      </c>
      <c r="H1363">
        <v>40</v>
      </c>
      <c r="I1363" s="5">
        <f>_xlfn.XLOOKUP(Sales[[#This Row],[Product Name]],Products[Product Name],Products[Selling Price (CAD)])</f>
        <v>1.99</v>
      </c>
      <c r="J1363" s="5">
        <f>PRODUCT(Sales[[#This Row],[Quantity Sold]],Sales[[#This Row],[Unit Selling Price (CAD)]])</f>
        <v>79.599999999999994</v>
      </c>
    </row>
    <row r="1364" spans="1:10">
      <c r="A1364" t="s">
        <v>1812</v>
      </c>
      <c r="B1364" s="2">
        <v>46204</v>
      </c>
      <c r="C1364" t="s">
        <v>165</v>
      </c>
      <c r="D1364" t="s">
        <v>166</v>
      </c>
      <c r="E1364" t="str">
        <f>_xlfn.XLOOKUP(Sales[[#This Row],[Product Name]],Products[Product Name],Products[Category])</f>
        <v>Breakfast</v>
      </c>
      <c r="F1364" t="s">
        <v>447</v>
      </c>
      <c r="G1364" t="s">
        <v>445</v>
      </c>
      <c r="H1364">
        <v>72</v>
      </c>
      <c r="I1364" s="5">
        <f>_xlfn.XLOOKUP(Sales[[#This Row],[Product Name]],Products[Product Name],Products[Selling Price (CAD)])</f>
        <v>3.99</v>
      </c>
      <c r="J1364" s="5">
        <f>PRODUCT(Sales[[#This Row],[Quantity Sold]],Sales[[#This Row],[Unit Selling Price (CAD)]])</f>
        <v>287.28000000000003</v>
      </c>
    </row>
    <row r="1365" spans="1:10">
      <c r="A1365" t="s">
        <v>1813</v>
      </c>
      <c r="B1365" s="2">
        <v>46204</v>
      </c>
      <c r="C1365" t="s">
        <v>295</v>
      </c>
      <c r="D1365" t="s">
        <v>296</v>
      </c>
      <c r="E1365" t="str">
        <f>_xlfn.XLOOKUP(Sales[[#This Row],[Product Name]],Products[Product Name],Products[Category])</f>
        <v>Beverages</v>
      </c>
      <c r="F1365" t="s">
        <v>447</v>
      </c>
      <c r="G1365" t="s">
        <v>450</v>
      </c>
      <c r="H1365">
        <v>63</v>
      </c>
      <c r="I1365" s="5">
        <f>_xlfn.XLOOKUP(Sales[[#This Row],[Product Name]],Products[Product Name],Products[Selling Price (CAD)])</f>
        <v>2.99</v>
      </c>
      <c r="J1365" s="5">
        <f>PRODUCT(Sales[[#This Row],[Quantity Sold]],Sales[[#This Row],[Unit Selling Price (CAD)]])</f>
        <v>188.37</v>
      </c>
    </row>
    <row r="1366" spans="1:10">
      <c r="A1366" t="s">
        <v>1814</v>
      </c>
      <c r="B1366" s="2">
        <v>46204</v>
      </c>
      <c r="C1366" t="s">
        <v>129</v>
      </c>
      <c r="D1366" t="s">
        <v>130</v>
      </c>
      <c r="E1366" t="str">
        <f>_xlfn.XLOOKUP(Sales[[#This Row],[Product Name]],Products[Product Name],Products[Category])</f>
        <v>Chicken</v>
      </c>
      <c r="F1366" t="s">
        <v>449</v>
      </c>
      <c r="G1366" t="s">
        <v>450</v>
      </c>
      <c r="H1366">
        <v>46</v>
      </c>
      <c r="I1366" s="5">
        <f>_xlfn.XLOOKUP(Sales[[#This Row],[Product Name]],Products[Product Name],Products[Selling Price (CAD)])</f>
        <v>11.99</v>
      </c>
      <c r="J1366" s="5">
        <f>PRODUCT(Sales[[#This Row],[Quantity Sold]],Sales[[#This Row],[Unit Selling Price (CAD)]])</f>
        <v>551.54</v>
      </c>
    </row>
    <row r="1367" spans="1:10">
      <c r="A1367" t="s">
        <v>1815</v>
      </c>
      <c r="B1367" s="2">
        <v>46204</v>
      </c>
      <c r="C1367" t="s">
        <v>392</v>
      </c>
      <c r="D1367" t="s">
        <v>393</v>
      </c>
      <c r="E1367" t="str">
        <f>_xlfn.XLOOKUP(Sales[[#This Row],[Product Name]],Products[Product Name],Products[Category])</f>
        <v>Sauces &amp; Add-ons</v>
      </c>
      <c r="F1367" t="s">
        <v>449</v>
      </c>
      <c r="G1367" t="s">
        <v>450</v>
      </c>
      <c r="H1367">
        <v>57</v>
      </c>
      <c r="I1367" s="5">
        <f>_xlfn.XLOOKUP(Sales[[#This Row],[Product Name]],Products[Product Name],Products[Selling Price (CAD)])</f>
        <v>0.5</v>
      </c>
      <c r="J1367" s="5">
        <f>PRODUCT(Sales[[#This Row],[Quantity Sold]],Sales[[#This Row],[Unit Selling Price (CAD)]])</f>
        <v>28.5</v>
      </c>
    </row>
    <row r="1368" spans="1:10">
      <c r="A1368" t="s">
        <v>1816</v>
      </c>
      <c r="B1368" s="2">
        <v>46204</v>
      </c>
      <c r="C1368" t="s">
        <v>207</v>
      </c>
      <c r="D1368" t="s">
        <v>208</v>
      </c>
      <c r="E1368" t="str">
        <f>_xlfn.XLOOKUP(Sales[[#This Row],[Product Name]],Products[Product Name],Products[Category])</f>
        <v>Sides</v>
      </c>
      <c r="F1368" t="s">
        <v>444</v>
      </c>
      <c r="G1368" t="s">
        <v>450</v>
      </c>
      <c r="H1368">
        <v>36</v>
      </c>
      <c r="I1368" s="5">
        <f>_xlfn.XLOOKUP(Sales[[#This Row],[Product Name]],Products[Product Name],Products[Selling Price (CAD)])</f>
        <v>3.99</v>
      </c>
      <c r="J1368" s="5">
        <f>PRODUCT(Sales[[#This Row],[Quantity Sold]],Sales[[#This Row],[Unit Selling Price (CAD)]])</f>
        <v>143.64000000000001</v>
      </c>
    </row>
    <row r="1369" spans="1:10">
      <c r="A1369" t="s">
        <v>1817</v>
      </c>
      <c r="B1369" s="2">
        <v>46204</v>
      </c>
      <c r="C1369" t="s">
        <v>327</v>
      </c>
      <c r="D1369" t="s">
        <v>328</v>
      </c>
      <c r="E1369" t="str">
        <f>_xlfn.XLOOKUP(Sales[[#This Row],[Product Name]],Products[Product Name],Products[Category])</f>
        <v>Desserts</v>
      </c>
      <c r="F1369" t="s">
        <v>444</v>
      </c>
      <c r="G1369" t="s">
        <v>450</v>
      </c>
      <c r="H1369">
        <v>40</v>
      </c>
      <c r="I1369" s="5">
        <f>_xlfn.XLOOKUP(Sales[[#This Row],[Product Name]],Products[Product Name],Products[Selling Price (CAD)])</f>
        <v>4.49</v>
      </c>
      <c r="J1369" s="5">
        <f>PRODUCT(Sales[[#This Row],[Quantity Sold]],Sales[[#This Row],[Unit Selling Price (CAD)]])</f>
        <v>179.60000000000002</v>
      </c>
    </row>
    <row r="1370" spans="1:10">
      <c r="A1370" t="s">
        <v>1818</v>
      </c>
      <c r="B1370" s="2">
        <v>46205</v>
      </c>
      <c r="C1370" t="s">
        <v>366</v>
      </c>
      <c r="D1370" t="s">
        <v>367</v>
      </c>
      <c r="E1370" t="str">
        <f>_xlfn.XLOOKUP(Sales[[#This Row],[Product Name]],Products[Product Name],Products[Category])</f>
        <v>Kids Meals</v>
      </c>
      <c r="F1370" t="s">
        <v>449</v>
      </c>
      <c r="G1370" t="s">
        <v>454</v>
      </c>
      <c r="H1370">
        <v>58</v>
      </c>
      <c r="I1370" s="5">
        <f>_xlfn.XLOOKUP(Sales[[#This Row],[Product Name]],Products[Product Name],Products[Selling Price (CAD)])</f>
        <v>5.99</v>
      </c>
      <c r="J1370" s="5">
        <f>PRODUCT(Sales[[#This Row],[Quantity Sold]],Sales[[#This Row],[Unit Selling Price (CAD)]])</f>
        <v>347.42</v>
      </c>
    </row>
    <row r="1371" spans="1:10">
      <c r="A1371" t="s">
        <v>1819</v>
      </c>
      <c r="B1371" s="2">
        <v>46205</v>
      </c>
      <c r="C1371" t="s">
        <v>209</v>
      </c>
      <c r="D1371" t="s">
        <v>210</v>
      </c>
      <c r="E1371" t="str">
        <f>_xlfn.XLOOKUP(Sales[[#This Row],[Product Name]],Products[Product Name],Products[Category])</f>
        <v>Sides</v>
      </c>
      <c r="F1371" t="s">
        <v>444</v>
      </c>
      <c r="G1371" t="s">
        <v>450</v>
      </c>
      <c r="H1371">
        <v>60</v>
      </c>
      <c r="I1371" s="5">
        <f>_xlfn.XLOOKUP(Sales[[#This Row],[Product Name]],Products[Product Name],Products[Selling Price (CAD)])</f>
        <v>4.99</v>
      </c>
      <c r="J1371" s="5">
        <f>PRODUCT(Sales[[#This Row],[Quantity Sold]],Sales[[#This Row],[Unit Selling Price (CAD)]])</f>
        <v>299.40000000000003</v>
      </c>
    </row>
    <row r="1372" spans="1:10">
      <c r="A1372" t="s">
        <v>1820</v>
      </c>
      <c r="B1372" s="2">
        <v>46205</v>
      </c>
      <c r="C1372" t="s">
        <v>54</v>
      </c>
      <c r="D1372" t="s">
        <v>55</v>
      </c>
      <c r="E1372" t="str">
        <f>_xlfn.XLOOKUP(Sales[[#This Row],[Product Name]],Products[Product Name],Products[Category])</f>
        <v>Burgers</v>
      </c>
      <c r="F1372" t="s">
        <v>447</v>
      </c>
      <c r="G1372" t="s">
        <v>450</v>
      </c>
      <c r="H1372">
        <v>69</v>
      </c>
      <c r="I1372" s="5">
        <f>_xlfn.XLOOKUP(Sales[[#This Row],[Product Name]],Products[Product Name],Products[Selling Price (CAD)])</f>
        <v>8.99</v>
      </c>
      <c r="J1372" s="5">
        <f>PRODUCT(Sales[[#This Row],[Quantity Sold]],Sales[[#This Row],[Unit Selling Price (CAD)]])</f>
        <v>620.31000000000006</v>
      </c>
    </row>
    <row r="1373" spans="1:10">
      <c r="A1373" t="s">
        <v>1821</v>
      </c>
      <c r="B1373" s="2">
        <v>46205</v>
      </c>
      <c r="C1373" t="s">
        <v>78</v>
      </c>
      <c r="D1373" t="s">
        <v>79</v>
      </c>
      <c r="E1373" t="str">
        <f>_xlfn.XLOOKUP(Sales[[#This Row],[Product Name]],Products[Product Name],Products[Category])</f>
        <v>Burgers</v>
      </c>
      <c r="F1373" t="s">
        <v>447</v>
      </c>
      <c r="G1373" t="s">
        <v>450</v>
      </c>
      <c r="H1373">
        <v>71</v>
      </c>
      <c r="I1373" s="5">
        <f>_xlfn.XLOOKUP(Sales[[#This Row],[Product Name]],Products[Product Name],Products[Selling Price (CAD)])</f>
        <v>3.99</v>
      </c>
      <c r="J1373" s="5">
        <f>PRODUCT(Sales[[#This Row],[Quantity Sold]],Sales[[#This Row],[Unit Selling Price (CAD)]])</f>
        <v>283.29000000000002</v>
      </c>
    </row>
    <row r="1374" spans="1:10">
      <c r="A1374" t="s">
        <v>1822</v>
      </c>
      <c r="B1374" s="2">
        <v>46205</v>
      </c>
      <c r="C1374" t="s">
        <v>317</v>
      </c>
      <c r="D1374" t="s">
        <v>318</v>
      </c>
      <c r="E1374" t="str">
        <f>_xlfn.XLOOKUP(Sales[[#This Row],[Product Name]],Products[Product Name],Products[Category])</f>
        <v>Beverages</v>
      </c>
      <c r="F1374" t="s">
        <v>447</v>
      </c>
      <c r="G1374" t="s">
        <v>450</v>
      </c>
      <c r="H1374">
        <v>62</v>
      </c>
      <c r="I1374" s="5">
        <f>_xlfn.XLOOKUP(Sales[[#This Row],[Product Name]],Products[Product Name],Products[Selling Price (CAD)])</f>
        <v>3.99</v>
      </c>
      <c r="J1374" s="5">
        <f>PRODUCT(Sales[[#This Row],[Quantity Sold]],Sales[[#This Row],[Unit Selling Price (CAD)]])</f>
        <v>247.38000000000002</v>
      </c>
    </row>
    <row r="1375" spans="1:10">
      <c r="A1375" t="s">
        <v>1823</v>
      </c>
      <c r="B1375" s="2">
        <v>46205</v>
      </c>
      <c r="C1375" t="s">
        <v>243</v>
      </c>
      <c r="D1375" t="s">
        <v>244</v>
      </c>
      <c r="E1375" t="str">
        <f>_xlfn.XLOOKUP(Sales[[#This Row],[Product Name]],Products[Product Name],Products[Category])</f>
        <v>Salads</v>
      </c>
      <c r="F1375" t="s">
        <v>449</v>
      </c>
      <c r="G1375" t="s">
        <v>450</v>
      </c>
      <c r="H1375">
        <v>48</v>
      </c>
      <c r="I1375" s="5">
        <f>_xlfn.XLOOKUP(Sales[[#This Row],[Product Name]],Products[Product Name],Products[Selling Price (CAD)])</f>
        <v>6.99</v>
      </c>
      <c r="J1375" s="5">
        <f>PRODUCT(Sales[[#This Row],[Quantity Sold]],Sales[[#This Row],[Unit Selling Price (CAD)]])</f>
        <v>335.52</v>
      </c>
    </row>
    <row r="1376" spans="1:10">
      <c r="A1376" t="s">
        <v>1824</v>
      </c>
      <c r="B1376" s="2">
        <v>46205</v>
      </c>
      <c r="C1376" t="s">
        <v>265</v>
      </c>
      <c r="D1376" t="s">
        <v>266</v>
      </c>
      <c r="E1376" t="str">
        <f>_xlfn.XLOOKUP(Sales[[#This Row],[Product Name]],Products[Product Name],Products[Category])</f>
        <v>Beverages</v>
      </c>
      <c r="F1376" t="s">
        <v>449</v>
      </c>
      <c r="G1376" t="s">
        <v>454</v>
      </c>
      <c r="H1376">
        <v>42</v>
      </c>
      <c r="I1376" s="5">
        <f>_xlfn.XLOOKUP(Sales[[#This Row],[Product Name]],Products[Product Name],Products[Selling Price (CAD)])</f>
        <v>1.99</v>
      </c>
      <c r="J1376" s="5">
        <f>PRODUCT(Sales[[#This Row],[Quantity Sold]],Sales[[#This Row],[Unit Selling Price (CAD)]])</f>
        <v>83.58</v>
      </c>
    </row>
    <row r="1377" spans="1:10">
      <c r="A1377" t="s">
        <v>1825</v>
      </c>
      <c r="B1377" s="2">
        <v>46205</v>
      </c>
      <c r="C1377" t="s">
        <v>191</v>
      </c>
      <c r="D1377" t="s">
        <v>192</v>
      </c>
      <c r="E1377" t="str">
        <f>_xlfn.XLOOKUP(Sales[[#This Row],[Product Name]],Products[Product Name],Products[Category])</f>
        <v>Sides</v>
      </c>
      <c r="F1377" t="s">
        <v>447</v>
      </c>
      <c r="G1377" t="s">
        <v>450</v>
      </c>
      <c r="H1377">
        <v>70</v>
      </c>
      <c r="I1377" s="5">
        <f>_xlfn.XLOOKUP(Sales[[#This Row],[Product Name]],Products[Product Name],Products[Selling Price (CAD)])</f>
        <v>3.99</v>
      </c>
      <c r="J1377" s="5">
        <f>PRODUCT(Sales[[#This Row],[Quantity Sold]],Sales[[#This Row],[Unit Selling Price (CAD)]])</f>
        <v>279.3</v>
      </c>
    </row>
    <row r="1378" spans="1:10">
      <c r="A1378" t="s">
        <v>1826</v>
      </c>
      <c r="B1378" s="2">
        <v>46206</v>
      </c>
      <c r="C1378" t="s">
        <v>181</v>
      </c>
      <c r="D1378" t="s">
        <v>182</v>
      </c>
      <c r="E1378" t="str">
        <f>_xlfn.XLOOKUP(Sales[[#This Row],[Product Name]],Products[Product Name],Products[Category])</f>
        <v>Breakfast</v>
      </c>
      <c r="F1378" t="s">
        <v>447</v>
      </c>
      <c r="G1378" t="s">
        <v>450</v>
      </c>
      <c r="H1378">
        <v>74</v>
      </c>
      <c r="I1378" s="5">
        <f>_xlfn.XLOOKUP(Sales[[#This Row],[Product Name]],Products[Product Name],Products[Selling Price (CAD)])</f>
        <v>4.99</v>
      </c>
      <c r="J1378" s="5">
        <f>PRODUCT(Sales[[#This Row],[Quantity Sold]],Sales[[#This Row],[Unit Selling Price (CAD)]])</f>
        <v>369.26</v>
      </c>
    </row>
    <row r="1379" spans="1:10">
      <c r="A1379" t="s">
        <v>1827</v>
      </c>
      <c r="B1379" s="2">
        <v>46206</v>
      </c>
      <c r="C1379" t="s">
        <v>195</v>
      </c>
      <c r="D1379" t="s">
        <v>196</v>
      </c>
      <c r="E1379" t="str">
        <f>_xlfn.XLOOKUP(Sales[[#This Row],[Product Name]],Products[Product Name],Products[Category])</f>
        <v>Sides</v>
      </c>
      <c r="F1379" t="s">
        <v>447</v>
      </c>
      <c r="G1379" t="s">
        <v>450</v>
      </c>
      <c r="H1379">
        <v>49</v>
      </c>
      <c r="I1379" s="5">
        <f>_xlfn.XLOOKUP(Sales[[#This Row],[Product Name]],Products[Product Name],Products[Selling Price (CAD)])</f>
        <v>3.49</v>
      </c>
      <c r="J1379" s="5">
        <f>PRODUCT(Sales[[#This Row],[Quantity Sold]],Sales[[#This Row],[Unit Selling Price (CAD)]])</f>
        <v>171.01000000000002</v>
      </c>
    </row>
    <row r="1380" spans="1:10">
      <c r="A1380" t="s">
        <v>1828</v>
      </c>
      <c r="B1380" s="2">
        <v>46206</v>
      </c>
      <c r="C1380" t="s">
        <v>417</v>
      </c>
      <c r="D1380" t="s">
        <v>418</v>
      </c>
      <c r="E1380" t="str">
        <f>_xlfn.XLOOKUP(Sales[[#This Row],[Product Name]],Products[Product Name],Products[Category])</f>
        <v>Combo Meals</v>
      </c>
      <c r="F1380" t="s">
        <v>449</v>
      </c>
      <c r="G1380" t="s">
        <v>452</v>
      </c>
      <c r="H1380">
        <v>79</v>
      </c>
      <c r="I1380" s="5">
        <f>_xlfn.XLOOKUP(Sales[[#This Row],[Product Name]],Products[Product Name],Products[Selling Price (CAD)])</f>
        <v>9.99</v>
      </c>
      <c r="J1380" s="5">
        <f>PRODUCT(Sales[[#This Row],[Quantity Sold]],Sales[[#This Row],[Unit Selling Price (CAD)]])</f>
        <v>789.21</v>
      </c>
    </row>
    <row r="1381" spans="1:10">
      <c r="A1381" t="s">
        <v>1829</v>
      </c>
      <c r="B1381" s="2">
        <v>46206</v>
      </c>
      <c r="C1381" t="s">
        <v>287</v>
      </c>
      <c r="D1381" t="s">
        <v>288</v>
      </c>
      <c r="E1381" t="str">
        <f>_xlfn.XLOOKUP(Sales[[#This Row],[Product Name]],Products[Product Name],Products[Category])</f>
        <v>Beverages</v>
      </c>
      <c r="F1381" t="s">
        <v>444</v>
      </c>
      <c r="G1381" t="s">
        <v>454</v>
      </c>
      <c r="H1381">
        <v>74</v>
      </c>
      <c r="I1381" s="5">
        <f>_xlfn.XLOOKUP(Sales[[#This Row],[Product Name]],Products[Product Name],Products[Selling Price (CAD)])</f>
        <v>3.99</v>
      </c>
      <c r="J1381" s="5">
        <f>PRODUCT(Sales[[#This Row],[Quantity Sold]],Sales[[#This Row],[Unit Selling Price (CAD)]])</f>
        <v>295.26</v>
      </c>
    </row>
    <row r="1382" spans="1:10">
      <c r="A1382" t="s">
        <v>1830</v>
      </c>
      <c r="B1382" s="2">
        <v>46206</v>
      </c>
      <c r="C1382" t="s">
        <v>317</v>
      </c>
      <c r="D1382" t="s">
        <v>318</v>
      </c>
      <c r="E1382" t="str">
        <f>_xlfn.XLOOKUP(Sales[[#This Row],[Product Name]],Products[Product Name],Products[Category])</f>
        <v>Beverages</v>
      </c>
      <c r="F1382" t="s">
        <v>447</v>
      </c>
      <c r="G1382" t="s">
        <v>454</v>
      </c>
      <c r="H1382">
        <v>64</v>
      </c>
      <c r="I1382" s="5">
        <f>_xlfn.XLOOKUP(Sales[[#This Row],[Product Name]],Products[Product Name],Products[Selling Price (CAD)])</f>
        <v>3.99</v>
      </c>
      <c r="J1382" s="5">
        <f>PRODUCT(Sales[[#This Row],[Quantity Sold]],Sales[[#This Row],[Unit Selling Price (CAD)]])</f>
        <v>255.36</v>
      </c>
    </row>
    <row r="1383" spans="1:10">
      <c r="A1383" t="s">
        <v>1831</v>
      </c>
      <c r="B1383" s="2">
        <v>46207</v>
      </c>
      <c r="C1383" t="s">
        <v>60</v>
      </c>
      <c r="D1383" t="s">
        <v>61</v>
      </c>
      <c r="E1383" t="str">
        <f>_xlfn.XLOOKUP(Sales[[#This Row],[Product Name]],Products[Product Name],Products[Category])</f>
        <v>Burgers</v>
      </c>
      <c r="F1383" t="s">
        <v>447</v>
      </c>
      <c r="G1383" t="s">
        <v>450</v>
      </c>
      <c r="H1383">
        <v>79</v>
      </c>
      <c r="I1383" s="5">
        <f>_xlfn.XLOOKUP(Sales[[#This Row],[Product Name]],Products[Product Name],Products[Selling Price (CAD)])</f>
        <v>6.99</v>
      </c>
      <c r="J1383" s="5">
        <f>PRODUCT(Sales[[#This Row],[Quantity Sold]],Sales[[#This Row],[Unit Selling Price (CAD)]])</f>
        <v>552.21</v>
      </c>
    </row>
    <row r="1384" spans="1:10">
      <c r="A1384" t="s">
        <v>1832</v>
      </c>
      <c r="B1384" s="2">
        <v>46207</v>
      </c>
      <c r="C1384" t="s">
        <v>205</v>
      </c>
      <c r="D1384" t="s">
        <v>206</v>
      </c>
      <c r="E1384" t="str">
        <f>_xlfn.XLOOKUP(Sales[[#This Row],[Product Name]],Products[Product Name],Products[Category])</f>
        <v>Sides</v>
      </c>
      <c r="F1384" t="s">
        <v>444</v>
      </c>
      <c r="G1384" t="s">
        <v>450</v>
      </c>
      <c r="H1384">
        <v>63</v>
      </c>
      <c r="I1384" s="5">
        <f>_xlfn.XLOOKUP(Sales[[#This Row],[Product Name]],Products[Product Name],Products[Selling Price (CAD)])</f>
        <v>4.99</v>
      </c>
      <c r="J1384" s="5">
        <f>PRODUCT(Sales[[#This Row],[Quantity Sold]],Sales[[#This Row],[Unit Selling Price (CAD)]])</f>
        <v>314.37</v>
      </c>
    </row>
    <row r="1385" spans="1:10">
      <c r="A1385" t="s">
        <v>1833</v>
      </c>
      <c r="B1385" s="2">
        <v>46207</v>
      </c>
      <c r="C1385" t="s">
        <v>62</v>
      </c>
      <c r="D1385" t="s">
        <v>63</v>
      </c>
      <c r="E1385" t="str">
        <f>_xlfn.XLOOKUP(Sales[[#This Row],[Product Name]],Products[Product Name],Products[Category])</f>
        <v>Burgers</v>
      </c>
      <c r="F1385" t="s">
        <v>449</v>
      </c>
      <c r="G1385" t="s">
        <v>450</v>
      </c>
      <c r="H1385">
        <v>40</v>
      </c>
      <c r="I1385" s="5">
        <f>_xlfn.XLOOKUP(Sales[[#This Row],[Product Name]],Products[Product Name],Products[Selling Price (CAD)])</f>
        <v>8.99</v>
      </c>
      <c r="J1385" s="5">
        <f>PRODUCT(Sales[[#This Row],[Quantity Sold]],Sales[[#This Row],[Unit Selling Price (CAD)]])</f>
        <v>359.6</v>
      </c>
    </row>
    <row r="1386" spans="1:10">
      <c r="A1386" t="s">
        <v>1834</v>
      </c>
      <c r="B1386" s="2">
        <v>46207</v>
      </c>
      <c r="C1386" t="s">
        <v>68</v>
      </c>
      <c r="D1386" t="s">
        <v>69</v>
      </c>
      <c r="E1386" t="str">
        <f>_xlfn.XLOOKUP(Sales[[#This Row],[Product Name]],Products[Product Name],Products[Category])</f>
        <v>Burgers</v>
      </c>
      <c r="F1386" t="s">
        <v>447</v>
      </c>
      <c r="G1386" t="s">
        <v>452</v>
      </c>
      <c r="H1386">
        <v>70</v>
      </c>
      <c r="I1386" s="5">
        <f>_xlfn.XLOOKUP(Sales[[#This Row],[Product Name]],Products[Product Name],Products[Selling Price (CAD)])</f>
        <v>6.99</v>
      </c>
      <c r="J1386" s="5">
        <f>PRODUCT(Sales[[#This Row],[Quantity Sold]],Sales[[#This Row],[Unit Selling Price (CAD)]])</f>
        <v>489.3</v>
      </c>
    </row>
    <row r="1387" spans="1:10">
      <c r="A1387" t="s">
        <v>1835</v>
      </c>
      <c r="B1387" s="2">
        <v>46207</v>
      </c>
      <c r="C1387" t="s">
        <v>339</v>
      </c>
      <c r="D1387" t="s">
        <v>340</v>
      </c>
      <c r="E1387" t="str">
        <f>_xlfn.XLOOKUP(Sales[[#This Row],[Product Name]],Products[Product Name],Products[Category])</f>
        <v>Desserts</v>
      </c>
      <c r="F1387" t="s">
        <v>444</v>
      </c>
      <c r="G1387" t="s">
        <v>450</v>
      </c>
      <c r="H1387">
        <v>57</v>
      </c>
      <c r="I1387" s="5">
        <f>_xlfn.XLOOKUP(Sales[[#This Row],[Product Name]],Products[Product Name],Products[Selling Price (CAD)])</f>
        <v>1.49</v>
      </c>
      <c r="J1387" s="5">
        <f>PRODUCT(Sales[[#This Row],[Quantity Sold]],Sales[[#This Row],[Unit Selling Price (CAD)]])</f>
        <v>84.929999999999993</v>
      </c>
    </row>
    <row r="1388" spans="1:10">
      <c r="A1388" t="s">
        <v>1836</v>
      </c>
      <c r="B1388" s="2">
        <v>46207</v>
      </c>
      <c r="C1388" t="s">
        <v>301</v>
      </c>
      <c r="D1388" t="s">
        <v>302</v>
      </c>
      <c r="E1388" t="str">
        <f>_xlfn.XLOOKUP(Sales[[#This Row],[Product Name]],Products[Product Name],Products[Category])</f>
        <v>Beverages</v>
      </c>
      <c r="F1388" t="s">
        <v>447</v>
      </c>
      <c r="G1388" t="s">
        <v>454</v>
      </c>
      <c r="H1388">
        <v>44</v>
      </c>
      <c r="I1388" s="5">
        <f>_xlfn.XLOOKUP(Sales[[#This Row],[Product Name]],Products[Product Name],Products[Selling Price (CAD)])</f>
        <v>1.99</v>
      </c>
      <c r="J1388" s="5">
        <f>PRODUCT(Sales[[#This Row],[Quantity Sold]],Sales[[#This Row],[Unit Selling Price (CAD)]])</f>
        <v>87.56</v>
      </c>
    </row>
    <row r="1389" spans="1:10">
      <c r="A1389" t="s">
        <v>1837</v>
      </c>
      <c r="B1389" s="2">
        <v>46208</v>
      </c>
      <c r="C1389" t="s">
        <v>311</v>
      </c>
      <c r="D1389" t="s">
        <v>312</v>
      </c>
      <c r="E1389" t="str">
        <f>_xlfn.XLOOKUP(Sales[[#This Row],[Product Name]],Products[Product Name],Products[Category])</f>
        <v>Beverages</v>
      </c>
      <c r="F1389" t="s">
        <v>449</v>
      </c>
      <c r="G1389" t="s">
        <v>452</v>
      </c>
      <c r="H1389">
        <v>76</v>
      </c>
      <c r="I1389" s="5">
        <f>_xlfn.XLOOKUP(Sales[[#This Row],[Product Name]],Products[Product Name],Products[Selling Price (CAD)])</f>
        <v>3.99</v>
      </c>
      <c r="J1389" s="5">
        <f>PRODUCT(Sales[[#This Row],[Quantity Sold]],Sales[[#This Row],[Unit Selling Price (CAD)]])</f>
        <v>303.24</v>
      </c>
    </row>
    <row r="1390" spans="1:10">
      <c r="A1390" t="s">
        <v>1838</v>
      </c>
      <c r="B1390" s="2">
        <v>46208</v>
      </c>
      <c r="C1390" t="s">
        <v>183</v>
      </c>
      <c r="D1390" t="s">
        <v>184</v>
      </c>
      <c r="E1390" t="str">
        <f>_xlfn.XLOOKUP(Sales[[#This Row],[Product Name]],Products[Product Name],Products[Category])</f>
        <v>Sides</v>
      </c>
      <c r="F1390" t="s">
        <v>447</v>
      </c>
      <c r="G1390" t="s">
        <v>454</v>
      </c>
      <c r="H1390">
        <v>39</v>
      </c>
      <c r="I1390" s="5">
        <f>_xlfn.XLOOKUP(Sales[[#This Row],[Product Name]],Products[Product Name],Products[Selling Price (CAD)])</f>
        <v>2.99</v>
      </c>
      <c r="J1390" s="5">
        <f>PRODUCT(Sales[[#This Row],[Quantity Sold]],Sales[[#This Row],[Unit Selling Price (CAD)]])</f>
        <v>116.61000000000001</v>
      </c>
    </row>
    <row r="1391" spans="1:10">
      <c r="A1391" t="s">
        <v>1839</v>
      </c>
      <c r="B1391" s="2">
        <v>46208</v>
      </c>
      <c r="C1391" t="s">
        <v>107</v>
      </c>
      <c r="D1391" t="s">
        <v>108</v>
      </c>
      <c r="E1391" t="str">
        <f>_xlfn.XLOOKUP(Sales[[#This Row],[Product Name]],Products[Product Name],Products[Category])</f>
        <v>Chicken</v>
      </c>
      <c r="F1391" t="s">
        <v>444</v>
      </c>
      <c r="G1391" t="s">
        <v>454</v>
      </c>
      <c r="H1391">
        <v>73</v>
      </c>
      <c r="I1391" s="5">
        <f>_xlfn.XLOOKUP(Sales[[#This Row],[Product Name]],Products[Product Name],Products[Selling Price (CAD)])</f>
        <v>5.99</v>
      </c>
      <c r="J1391" s="5">
        <f>PRODUCT(Sales[[#This Row],[Quantity Sold]],Sales[[#This Row],[Unit Selling Price (CAD)]])</f>
        <v>437.27000000000004</v>
      </c>
    </row>
    <row r="1392" spans="1:10">
      <c r="A1392" t="s">
        <v>1840</v>
      </c>
      <c r="B1392" s="2">
        <v>46208</v>
      </c>
      <c r="C1392" t="s">
        <v>34</v>
      </c>
      <c r="D1392" t="s">
        <v>35</v>
      </c>
      <c r="E1392" t="str">
        <f>_xlfn.XLOOKUP(Sales[[#This Row],[Product Name]],Products[Product Name],Products[Category])</f>
        <v>Burgers</v>
      </c>
      <c r="F1392" t="s">
        <v>444</v>
      </c>
      <c r="G1392" t="s">
        <v>454</v>
      </c>
      <c r="H1392">
        <v>64</v>
      </c>
      <c r="I1392" s="5">
        <f>_xlfn.XLOOKUP(Sales[[#This Row],[Product Name]],Products[Product Name],Products[Selling Price (CAD)])</f>
        <v>6.99</v>
      </c>
      <c r="J1392" s="5">
        <f>PRODUCT(Sales[[#This Row],[Quantity Sold]],Sales[[#This Row],[Unit Selling Price (CAD)]])</f>
        <v>447.36</v>
      </c>
    </row>
    <row r="1393" spans="1:10">
      <c r="A1393" t="s">
        <v>1841</v>
      </c>
      <c r="B1393" s="2">
        <v>46208</v>
      </c>
      <c r="C1393" t="s">
        <v>78</v>
      </c>
      <c r="D1393" t="s">
        <v>79</v>
      </c>
      <c r="E1393" t="str">
        <f>_xlfn.XLOOKUP(Sales[[#This Row],[Product Name]],Products[Product Name],Products[Category])</f>
        <v>Burgers</v>
      </c>
      <c r="F1393" t="s">
        <v>444</v>
      </c>
      <c r="G1393" t="s">
        <v>450</v>
      </c>
      <c r="H1393">
        <v>64</v>
      </c>
      <c r="I1393" s="5">
        <f>_xlfn.XLOOKUP(Sales[[#This Row],[Product Name]],Products[Product Name],Products[Selling Price (CAD)])</f>
        <v>3.99</v>
      </c>
      <c r="J1393" s="5">
        <f>PRODUCT(Sales[[#This Row],[Quantity Sold]],Sales[[#This Row],[Unit Selling Price (CAD)]])</f>
        <v>255.36</v>
      </c>
    </row>
    <row r="1394" spans="1:10">
      <c r="A1394" t="s">
        <v>1842</v>
      </c>
      <c r="B1394" s="2">
        <v>46208</v>
      </c>
      <c r="C1394" t="s">
        <v>285</v>
      </c>
      <c r="D1394" t="s">
        <v>286</v>
      </c>
      <c r="E1394" t="str">
        <f>_xlfn.XLOOKUP(Sales[[#This Row],[Product Name]],Products[Product Name],Products[Category])</f>
        <v>Beverages</v>
      </c>
      <c r="F1394" t="s">
        <v>444</v>
      </c>
      <c r="G1394" t="s">
        <v>450</v>
      </c>
      <c r="H1394">
        <v>58</v>
      </c>
      <c r="I1394" s="5">
        <f>_xlfn.XLOOKUP(Sales[[#This Row],[Product Name]],Products[Product Name],Products[Selling Price (CAD)])</f>
        <v>2.99</v>
      </c>
      <c r="J1394" s="5">
        <f>PRODUCT(Sales[[#This Row],[Quantity Sold]],Sales[[#This Row],[Unit Selling Price (CAD)]])</f>
        <v>173.42000000000002</v>
      </c>
    </row>
    <row r="1395" spans="1:10">
      <c r="A1395" t="s">
        <v>1843</v>
      </c>
      <c r="B1395" s="2">
        <v>46208</v>
      </c>
      <c r="C1395" t="s">
        <v>287</v>
      </c>
      <c r="D1395" t="s">
        <v>288</v>
      </c>
      <c r="E1395" t="str">
        <f>_xlfn.XLOOKUP(Sales[[#This Row],[Product Name]],Products[Product Name],Products[Category])</f>
        <v>Beverages</v>
      </c>
      <c r="F1395" t="s">
        <v>444</v>
      </c>
      <c r="G1395" t="s">
        <v>454</v>
      </c>
      <c r="H1395">
        <v>68</v>
      </c>
      <c r="I1395" s="5">
        <f>_xlfn.XLOOKUP(Sales[[#This Row],[Product Name]],Products[Product Name],Products[Selling Price (CAD)])</f>
        <v>3.99</v>
      </c>
      <c r="J1395" s="5">
        <f>PRODUCT(Sales[[#This Row],[Quantity Sold]],Sales[[#This Row],[Unit Selling Price (CAD)]])</f>
        <v>271.32</v>
      </c>
    </row>
    <row r="1396" spans="1:10">
      <c r="A1396" t="s">
        <v>1844</v>
      </c>
      <c r="B1396" s="2">
        <v>46209</v>
      </c>
      <c r="C1396" t="s">
        <v>305</v>
      </c>
      <c r="D1396" t="s">
        <v>306</v>
      </c>
      <c r="E1396" t="str">
        <f>_xlfn.XLOOKUP(Sales[[#This Row],[Product Name]],Products[Product Name],Products[Category])</f>
        <v>Beverages</v>
      </c>
      <c r="F1396" t="s">
        <v>447</v>
      </c>
      <c r="G1396" t="s">
        <v>445</v>
      </c>
      <c r="H1396">
        <v>47</v>
      </c>
      <c r="I1396" s="5">
        <f>_xlfn.XLOOKUP(Sales[[#This Row],[Product Name]],Products[Product Name],Products[Selling Price (CAD)])</f>
        <v>2.99</v>
      </c>
      <c r="J1396" s="5">
        <f>PRODUCT(Sales[[#This Row],[Quantity Sold]],Sales[[#This Row],[Unit Selling Price (CAD)]])</f>
        <v>140.53</v>
      </c>
    </row>
    <row r="1397" spans="1:10">
      <c r="A1397" t="s">
        <v>1845</v>
      </c>
      <c r="B1397" s="2">
        <v>46209</v>
      </c>
      <c r="C1397" t="s">
        <v>329</v>
      </c>
      <c r="D1397" t="s">
        <v>330</v>
      </c>
      <c r="E1397" t="str">
        <f>_xlfn.XLOOKUP(Sales[[#This Row],[Product Name]],Products[Product Name],Products[Category])</f>
        <v>Desserts</v>
      </c>
      <c r="F1397" t="s">
        <v>449</v>
      </c>
      <c r="G1397" t="s">
        <v>445</v>
      </c>
      <c r="H1397">
        <v>77</v>
      </c>
      <c r="I1397" s="5">
        <f>_xlfn.XLOOKUP(Sales[[#This Row],[Product Name]],Products[Product Name],Products[Selling Price (CAD)])</f>
        <v>2.99</v>
      </c>
      <c r="J1397" s="5">
        <f>PRODUCT(Sales[[#This Row],[Quantity Sold]],Sales[[#This Row],[Unit Selling Price (CAD)]])</f>
        <v>230.23000000000002</v>
      </c>
    </row>
    <row r="1398" spans="1:10">
      <c r="A1398" t="s">
        <v>1846</v>
      </c>
      <c r="B1398" s="2">
        <v>46209</v>
      </c>
      <c r="C1398" t="s">
        <v>269</v>
      </c>
      <c r="D1398" t="s">
        <v>270</v>
      </c>
      <c r="E1398" t="str">
        <f>_xlfn.XLOOKUP(Sales[[#This Row],[Product Name]],Products[Product Name],Products[Category])</f>
        <v>Beverages</v>
      </c>
      <c r="F1398" t="s">
        <v>444</v>
      </c>
      <c r="G1398" t="s">
        <v>450</v>
      </c>
      <c r="H1398">
        <v>74</v>
      </c>
      <c r="I1398" s="5">
        <f>_xlfn.XLOOKUP(Sales[[#This Row],[Product Name]],Products[Product Name],Products[Selling Price (CAD)])</f>
        <v>2.99</v>
      </c>
      <c r="J1398" s="5">
        <f>PRODUCT(Sales[[#This Row],[Quantity Sold]],Sales[[#This Row],[Unit Selling Price (CAD)]])</f>
        <v>221.26000000000002</v>
      </c>
    </row>
    <row r="1399" spans="1:10">
      <c r="A1399" t="s">
        <v>1847</v>
      </c>
      <c r="B1399" s="2">
        <v>46209</v>
      </c>
      <c r="C1399" t="s">
        <v>161</v>
      </c>
      <c r="D1399" t="s">
        <v>162</v>
      </c>
      <c r="E1399" t="str">
        <f>_xlfn.XLOOKUP(Sales[[#This Row],[Product Name]],Products[Product Name],Products[Category])</f>
        <v>Breakfast</v>
      </c>
      <c r="F1399" t="s">
        <v>447</v>
      </c>
      <c r="G1399" t="s">
        <v>454</v>
      </c>
      <c r="H1399">
        <v>62</v>
      </c>
      <c r="I1399" s="5">
        <f>_xlfn.XLOOKUP(Sales[[#This Row],[Product Name]],Products[Product Name],Products[Selling Price (CAD)])</f>
        <v>2.99</v>
      </c>
      <c r="J1399" s="5">
        <f>PRODUCT(Sales[[#This Row],[Quantity Sold]],Sales[[#This Row],[Unit Selling Price (CAD)]])</f>
        <v>185.38000000000002</v>
      </c>
    </row>
    <row r="1400" spans="1:10">
      <c r="A1400" t="s">
        <v>1848</v>
      </c>
      <c r="B1400" s="2">
        <v>46209</v>
      </c>
      <c r="C1400" t="s">
        <v>121</v>
      </c>
      <c r="D1400" t="s">
        <v>122</v>
      </c>
      <c r="E1400" t="str">
        <f>_xlfn.XLOOKUP(Sales[[#This Row],[Product Name]],Products[Product Name],Products[Category])</f>
        <v>Chicken</v>
      </c>
      <c r="F1400" t="s">
        <v>444</v>
      </c>
      <c r="G1400" t="s">
        <v>445</v>
      </c>
      <c r="H1400">
        <v>40</v>
      </c>
      <c r="I1400" s="5">
        <f>_xlfn.XLOOKUP(Sales[[#This Row],[Product Name]],Products[Product Name],Products[Selling Price (CAD)])</f>
        <v>11.99</v>
      </c>
      <c r="J1400" s="5">
        <f>PRODUCT(Sales[[#This Row],[Quantity Sold]],Sales[[#This Row],[Unit Selling Price (CAD)]])</f>
        <v>479.6</v>
      </c>
    </row>
    <row r="1401" spans="1:10">
      <c r="A1401" t="s">
        <v>1849</v>
      </c>
      <c r="B1401" s="2">
        <v>46209</v>
      </c>
      <c r="C1401" t="s">
        <v>117</v>
      </c>
      <c r="D1401" t="s">
        <v>118</v>
      </c>
      <c r="E1401" t="str">
        <f>_xlfn.XLOOKUP(Sales[[#This Row],[Product Name]],Products[Product Name],Products[Category])</f>
        <v>Chicken</v>
      </c>
      <c r="F1401" t="s">
        <v>449</v>
      </c>
      <c r="G1401" t="s">
        <v>454</v>
      </c>
      <c r="H1401">
        <v>46</v>
      </c>
      <c r="I1401" s="5">
        <f>_xlfn.XLOOKUP(Sales[[#This Row],[Product Name]],Products[Product Name],Products[Selling Price (CAD)])</f>
        <v>4.99</v>
      </c>
      <c r="J1401" s="5">
        <f>PRODUCT(Sales[[#This Row],[Quantity Sold]],Sales[[#This Row],[Unit Selling Price (CAD)]])</f>
        <v>229.54000000000002</v>
      </c>
    </row>
    <row r="1402" spans="1:10">
      <c r="A1402" t="s">
        <v>1850</v>
      </c>
      <c r="B1402" s="2">
        <v>46209</v>
      </c>
      <c r="C1402" t="s">
        <v>319</v>
      </c>
      <c r="D1402" t="s">
        <v>320</v>
      </c>
      <c r="E1402" t="str">
        <f>_xlfn.XLOOKUP(Sales[[#This Row],[Product Name]],Products[Product Name],Products[Category])</f>
        <v>Beverages</v>
      </c>
      <c r="F1402" t="s">
        <v>449</v>
      </c>
      <c r="G1402" t="s">
        <v>450</v>
      </c>
      <c r="H1402">
        <v>54</v>
      </c>
      <c r="I1402" s="5">
        <f>_xlfn.XLOOKUP(Sales[[#This Row],[Product Name]],Products[Product Name],Products[Selling Price (CAD)])</f>
        <v>2.4900000000000002</v>
      </c>
      <c r="J1402" s="5">
        <f>PRODUCT(Sales[[#This Row],[Quantity Sold]],Sales[[#This Row],[Unit Selling Price (CAD)]])</f>
        <v>134.46</v>
      </c>
    </row>
    <row r="1403" spans="1:10">
      <c r="A1403" t="s">
        <v>1851</v>
      </c>
      <c r="B1403" s="2">
        <v>46210</v>
      </c>
      <c r="C1403" t="s">
        <v>21</v>
      </c>
      <c r="D1403" t="s">
        <v>22</v>
      </c>
      <c r="E1403" t="str">
        <f>_xlfn.XLOOKUP(Sales[[#This Row],[Product Name]],Products[Product Name],Products[Category])</f>
        <v>Burgers</v>
      </c>
      <c r="F1403" t="s">
        <v>444</v>
      </c>
      <c r="G1403" t="s">
        <v>450</v>
      </c>
      <c r="H1403">
        <v>48</v>
      </c>
      <c r="I1403" s="5">
        <f>_xlfn.XLOOKUP(Sales[[#This Row],[Product Name]],Products[Product Name],Products[Selling Price (CAD)])</f>
        <v>9.99</v>
      </c>
      <c r="J1403" s="5">
        <f>PRODUCT(Sales[[#This Row],[Quantity Sold]],Sales[[#This Row],[Unit Selling Price (CAD)]])</f>
        <v>479.52</v>
      </c>
    </row>
    <row r="1404" spans="1:10">
      <c r="A1404" t="s">
        <v>1852</v>
      </c>
      <c r="B1404" s="2">
        <v>46210</v>
      </c>
      <c r="C1404" t="s">
        <v>143</v>
      </c>
      <c r="D1404" t="s">
        <v>144</v>
      </c>
      <c r="E1404" t="str">
        <f>_xlfn.XLOOKUP(Sales[[#This Row],[Product Name]],Products[Product Name],Products[Category])</f>
        <v>Breakfast</v>
      </c>
      <c r="F1404" t="s">
        <v>449</v>
      </c>
      <c r="G1404" t="s">
        <v>450</v>
      </c>
      <c r="H1404">
        <v>44</v>
      </c>
      <c r="I1404" s="5">
        <f>_xlfn.XLOOKUP(Sales[[#This Row],[Product Name]],Products[Product Name],Products[Selling Price (CAD)])</f>
        <v>4.99</v>
      </c>
      <c r="J1404" s="5">
        <f>PRODUCT(Sales[[#This Row],[Quantity Sold]],Sales[[#This Row],[Unit Selling Price (CAD)]])</f>
        <v>219.56</v>
      </c>
    </row>
    <row r="1405" spans="1:10">
      <c r="A1405" t="s">
        <v>1853</v>
      </c>
      <c r="B1405" s="2">
        <v>46210</v>
      </c>
      <c r="C1405" t="s">
        <v>217</v>
      </c>
      <c r="D1405" t="s">
        <v>218</v>
      </c>
      <c r="E1405" t="str">
        <f>_xlfn.XLOOKUP(Sales[[#This Row],[Product Name]],Products[Product Name],Products[Category])</f>
        <v>Sides</v>
      </c>
      <c r="F1405" t="s">
        <v>447</v>
      </c>
      <c r="G1405" t="s">
        <v>454</v>
      </c>
      <c r="H1405">
        <v>46</v>
      </c>
      <c r="I1405" s="5">
        <f>_xlfn.XLOOKUP(Sales[[#This Row],[Product Name]],Products[Product Name],Products[Selling Price (CAD)])</f>
        <v>3.99</v>
      </c>
      <c r="J1405" s="5">
        <f>PRODUCT(Sales[[#This Row],[Quantity Sold]],Sales[[#This Row],[Unit Selling Price (CAD)]])</f>
        <v>183.54000000000002</v>
      </c>
    </row>
    <row r="1406" spans="1:10">
      <c r="A1406" t="s">
        <v>1854</v>
      </c>
      <c r="B1406" s="2">
        <v>46210</v>
      </c>
      <c r="C1406" t="s">
        <v>273</v>
      </c>
      <c r="D1406" t="s">
        <v>274</v>
      </c>
      <c r="E1406" t="str">
        <f>_xlfn.XLOOKUP(Sales[[#This Row],[Product Name]],Products[Product Name],Products[Category])</f>
        <v>Beverages</v>
      </c>
      <c r="F1406" t="s">
        <v>447</v>
      </c>
      <c r="G1406" t="s">
        <v>452</v>
      </c>
      <c r="H1406">
        <v>72</v>
      </c>
      <c r="I1406" s="5">
        <f>_xlfn.XLOOKUP(Sales[[#This Row],[Product Name]],Products[Product Name],Products[Selling Price (CAD)])</f>
        <v>2.99</v>
      </c>
      <c r="J1406" s="5">
        <f>PRODUCT(Sales[[#This Row],[Quantity Sold]],Sales[[#This Row],[Unit Selling Price (CAD)]])</f>
        <v>215.28000000000003</v>
      </c>
    </row>
    <row r="1407" spans="1:10">
      <c r="A1407" t="s">
        <v>1855</v>
      </c>
      <c r="B1407" s="2">
        <v>46210</v>
      </c>
      <c r="C1407" t="s">
        <v>159</v>
      </c>
      <c r="D1407" t="s">
        <v>160</v>
      </c>
      <c r="E1407" t="str">
        <f>_xlfn.XLOOKUP(Sales[[#This Row],[Product Name]],Products[Product Name],Products[Category])</f>
        <v>Breakfast</v>
      </c>
      <c r="F1407" t="s">
        <v>444</v>
      </c>
      <c r="G1407" t="s">
        <v>445</v>
      </c>
      <c r="H1407">
        <v>43</v>
      </c>
      <c r="I1407" s="5">
        <f>_xlfn.XLOOKUP(Sales[[#This Row],[Product Name]],Products[Product Name],Products[Selling Price (CAD)])</f>
        <v>2.4900000000000002</v>
      </c>
      <c r="J1407" s="5">
        <f>PRODUCT(Sales[[#This Row],[Quantity Sold]],Sales[[#This Row],[Unit Selling Price (CAD)]])</f>
        <v>107.07000000000001</v>
      </c>
    </row>
    <row r="1408" spans="1:10">
      <c r="A1408" t="s">
        <v>1856</v>
      </c>
      <c r="B1408" s="2">
        <v>46210</v>
      </c>
      <c r="C1408" t="s">
        <v>205</v>
      </c>
      <c r="D1408" t="s">
        <v>206</v>
      </c>
      <c r="E1408" t="str">
        <f>_xlfn.XLOOKUP(Sales[[#This Row],[Product Name]],Products[Product Name],Products[Category])</f>
        <v>Sides</v>
      </c>
      <c r="F1408" t="s">
        <v>444</v>
      </c>
      <c r="G1408" t="s">
        <v>450</v>
      </c>
      <c r="H1408">
        <v>65</v>
      </c>
      <c r="I1408" s="5">
        <f>_xlfn.XLOOKUP(Sales[[#This Row],[Product Name]],Products[Product Name],Products[Selling Price (CAD)])</f>
        <v>4.99</v>
      </c>
      <c r="J1408" s="5">
        <f>PRODUCT(Sales[[#This Row],[Quantity Sold]],Sales[[#This Row],[Unit Selling Price (CAD)]])</f>
        <v>324.35000000000002</v>
      </c>
    </row>
    <row r="1409" spans="1:10">
      <c r="A1409" t="s">
        <v>1857</v>
      </c>
      <c r="B1409" s="2">
        <v>46210</v>
      </c>
      <c r="C1409" t="s">
        <v>70</v>
      </c>
      <c r="D1409" t="s">
        <v>71</v>
      </c>
      <c r="E1409" t="str">
        <f>_xlfn.XLOOKUP(Sales[[#This Row],[Product Name]],Products[Product Name],Products[Category])</f>
        <v>Burgers</v>
      </c>
      <c r="F1409" t="s">
        <v>444</v>
      </c>
      <c r="G1409" t="s">
        <v>450</v>
      </c>
      <c r="H1409">
        <v>51</v>
      </c>
      <c r="I1409" s="5">
        <f>_xlfn.XLOOKUP(Sales[[#This Row],[Product Name]],Products[Product Name],Products[Selling Price (CAD)])</f>
        <v>8.99</v>
      </c>
      <c r="J1409" s="5">
        <f>PRODUCT(Sales[[#This Row],[Quantity Sold]],Sales[[#This Row],[Unit Selling Price (CAD)]])</f>
        <v>458.49</v>
      </c>
    </row>
    <row r="1410" spans="1:10">
      <c r="A1410" t="s">
        <v>1858</v>
      </c>
      <c r="B1410" s="2">
        <v>46210</v>
      </c>
      <c r="C1410" t="s">
        <v>195</v>
      </c>
      <c r="D1410" t="s">
        <v>196</v>
      </c>
      <c r="E1410" t="str">
        <f>_xlfn.XLOOKUP(Sales[[#This Row],[Product Name]],Products[Product Name],Products[Category])</f>
        <v>Sides</v>
      </c>
      <c r="F1410" t="s">
        <v>444</v>
      </c>
      <c r="G1410" t="s">
        <v>450</v>
      </c>
      <c r="H1410">
        <v>63</v>
      </c>
      <c r="I1410" s="5">
        <f>_xlfn.XLOOKUP(Sales[[#This Row],[Product Name]],Products[Product Name],Products[Selling Price (CAD)])</f>
        <v>3.49</v>
      </c>
      <c r="J1410" s="5">
        <f>PRODUCT(Sales[[#This Row],[Quantity Sold]],Sales[[#This Row],[Unit Selling Price (CAD)]])</f>
        <v>219.87</v>
      </c>
    </row>
    <row r="1411" spans="1:10">
      <c r="A1411" t="s">
        <v>1859</v>
      </c>
      <c r="B1411" s="2">
        <v>46211</v>
      </c>
      <c r="C1411" t="s">
        <v>217</v>
      </c>
      <c r="D1411" t="s">
        <v>218</v>
      </c>
      <c r="E1411" t="str">
        <f>_xlfn.XLOOKUP(Sales[[#This Row],[Product Name]],Products[Product Name],Products[Category])</f>
        <v>Sides</v>
      </c>
      <c r="F1411" t="s">
        <v>444</v>
      </c>
      <c r="G1411" t="s">
        <v>450</v>
      </c>
      <c r="H1411">
        <v>33</v>
      </c>
      <c r="I1411" s="5">
        <f>_xlfn.XLOOKUP(Sales[[#This Row],[Product Name]],Products[Product Name],Products[Selling Price (CAD)])</f>
        <v>3.99</v>
      </c>
      <c r="J1411" s="5">
        <f>PRODUCT(Sales[[#This Row],[Quantity Sold]],Sales[[#This Row],[Unit Selling Price (CAD)]])</f>
        <v>131.67000000000002</v>
      </c>
    </row>
    <row r="1412" spans="1:10">
      <c r="A1412" t="s">
        <v>1860</v>
      </c>
      <c r="B1412" s="2">
        <v>46211</v>
      </c>
      <c r="C1412" t="s">
        <v>388</v>
      </c>
      <c r="D1412" t="s">
        <v>389</v>
      </c>
      <c r="E1412" t="str">
        <f>_xlfn.XLOOKUP(Sales[[#This Row],[Product Name]],Products[Product Name],Products[Category])</f>
        <v>Sauces &amp; Add-ons</v>
      </c>
      <c r="F1412" t="s">
        <v>449</v>
      </c>
      <c r="G1412" t="s">
        <v>452</v>
      </c>
      <c r="H1412">
        <v>79</v>
      </c>
      <c r="I1412" s="5">
        <f>_xlfn.XLOOKUP(Sales[[#This Row],[Product Name]],Products[Product Name],Products[Selling Price (CAD)])</f>
        <v>0.25</v>
      </c>
      <c r="J1412" s="5">
        <f>PRODUCT(Sales[[#This Row],[Quantity Sold]],Sales[[#This Row],[Unit Selling Price (CAD)]])</f>
        <v>19.75</v>
      </c>
    </row>
    <row r="1413" spans="1:10">
      <c r="A1413" t="s">
        <v>1861</v>
      </c>
      <c r="B1413" s="2">
        <v>46211</v>
      </c>
      <c r="C1413" t="s">
        <v>129</v>
      </c>
      <c r="D1413" t="s">
        <v>130</v>
      </c>
      <c r="E1413" t="str">
        <f>_xlfn.XLOOKUP(Sales[[#This Row],[Product Name]],Products[Product Name],Products[Category])</f>
        <v>Chicken</v>
      </c>
      <c r="F1413" t="s">
        <v>449</v>
      </c>
      <c r="G1413" t="s">
        <v>450</v>
      </c>
      <c r="H1413">
        <v>60</v>
      </c>
      <c r="I1413" s="5">
        <f>_xlfn.XLOOKUP(Sales[[#This Row],[Product Name]],Products[Product Name],Products[Selling Price (CAD)])</f>
        <v>11.99</v>
      </c>
      <c r="J1413" s="5">
        <f>PRODUCT(Sales[[#This Row],[Quantity Sold]],Sales[[#This Row],[Unit Selling Price (CAD)]])</f>
        <v>719.4</v>
      </c>
    </row>
    <row r="1414" spans="1:10">
      <c r="A1414" t="s">
        <v>1862</v>
      </c>
      <c r="B1414" s="2">
        <v>46211</v>
      </c>
      <c r="C1414" t="s">
        <v>357</v>
      </c>
      <c r="D1414" t="s">
        <v>358</v>
      </c>
      <c r="E1414" t="str">
        <f>_xlfn.XLOOKUP(Sales[[#This Row],[Product Name]],Products[Product Name],Products[Category])</f>
        <v>Desserts</v>
      </c>
      <c r="F1414" t="s">
        <v>449</v>
      </c>
      <c r="G1414" t="s">
        <v>454</v>
      </c>
      <c r="H1414">
        <v>39</v>
      </c>
      <c r="I1414" s="5">
        <f>_xlfn.XLOOKUP(Sales[[#This Row],[Product Name]],Products[Product Name],Products[Selling Price (CAD)])</f>
        <v>4.99</v>
      </c>
      <c r="J1414" s="5">
        <f>PRODUCT(Sales[[#This Row],[Quantity Sold]],Sales[[#This Row],[Unit Selling Price (CAD)]])</f>
        <v>194.61</v>
      </c>
    </row>
    <row r="1415" spans="1:10">
      <c r="A1415" t="s">
        <v>1863</v>
      </c>
      <c r="B1415" s="2">
        <v>46211</v>
      </c>
      <c r="C1415" t="s">
        <v>117</v>
      </c>
      <c r="D1415" t="s">
        <v>118</v>
      </c>
      <c r="E1415" t="str">
        <f>_xlfn.XLOOKUP(Sales[[#This Row],[Product Name]],Products[Product Name],Products[Category])</f>
        <v>Chicken</v>
      </c>
      <c r="F1415" t="s">
        <v>444</v>
      </c>
      <c r="G1415" t="s">
        <v>450</v>
      </c>
      <c r="H1415">
        <v>34</v>
      </c>
      <c r="I1415" s="5">
        <f>_xlfn.XLOOKUP(Sales[[#This Row],[Product Name]],Products[Product Name],Products[Selling Price (CAD)])</f>
        <v>4.99</v>
      </c>
      <c r="J1415" s="5">
        <f>PRODUCT(Sales[[#This Row],[Quantity Sold]],Sales[[#This Row],[Unit Selling Price (CAD)]])</f>
        <v>169.66</v>
      </c>
    </row>
    <row r="1416" spans="1:10">
      <c r="A1416" t="s">
        <v>1864</v>
      </c>
      <c r="B1416" s="2">
        <v>46211</v>
      </c>
      <c r="C1416" t="s">
        <v>273</v>
      </c>
      <c r="D1416" t="s">
        <v>274</v>
      </c>
      <c r="E1416" t="str">
        <f>_xlfn.XLOOKUP(Sales[[#This Row],[Product Name]],Products[Product Name],Products[Category])</f>
        <v>Beverages</v>
      </c>
      <c r="F1416" t="s">
        <v>449</v>
      </c>
      <c r="G1416" t="s">
        <v>454</v>
      </c>
      <c r="H1416">
        <v>57</v>
      </c>
      <c r="I1416" s="5">
        <f>_xlfn.XLOOKUP(Sales[[#This Row],[Product Name]],Products[Product Name],Products[Selling Price (CAD)])</f>
        <v>2.99</v>
      </c>
      <c r="J1416" s="5">
        <f>PRODUCT(Sales[[#This Row],[Quantity Sold]],Sales[[#This Row],[Unit Selling Price (CAD)]])</f>
        <v>170.43</v>
      </c>
    </row>
    <row r="1417" spans="1:10">
      <c r="A1417" t="s">
        <v>1865</v>
      </c>
      <c r="B1417" s="2">
        <v>46211</v>
      </c>
      <c r="C1417" t="s">
        <v>255</v>
      </c>
      <c r="D1417" t="s">
        <v>256</v>
      </c>
      <c r="E1417" t="str">
        <f>_xlfn.XLOOKUP(Sales[[#This Row],[Product Name]],Products[Product Name],Products[Category])</f>
        <v>Beverages</v>
      </c>
      <c r="F1417" t="s">
        <v>444</v>
      </c>
      <c r="G1417" t="s">
        <v>450</v>
      </c>
      <c r="H1417">
        <v>52</v>
      </c>
      <c r="I1417" s="5">
        <f>_xlfn.XLOOKUP(Sales[[#This Row],[Product Name]],Products[Product Name],Products[Selling Price (CAD)])</f>
        <v>2.99</v>
      </c>
      <c r="J1417" s="5">
        <f>PRODUCT(Sales[[#This Row],[Quantity Sold]],Sales[[#This Row],[Unit Selling Price (CAD)]])</f>
        <v>155.48000000000002</v>
      </c>
    </row>
    <row r="1418" spans="1:10">
      <c r="A1418" t="s">
        <v>1866</v>
      </c>
      <c r="B1418" s="2">
        <v>46211</v>
      </c>
      <c r="C1418" t="s">
        <v>271</v>
      </c>
      <c r="D1418" t="s">
        <v>272</v>
      </c>
      <c r="E1418" t="str">
        <f>_xlfn.XLOOKUP(Sales[[#This Row],[Product Name]],Products[Product Name],Products[Category])</f>
        <v>Beverages</v>
      </c>
      <c r="F1418" t="s">
        <v>444</v>
      </c>
      <c r="G1418" t="s">
        <v>452</v>
      </c>
      <c r="H1418">
        <v>61</v>
      </c>
      <c r="I1418" s="5">
        <f>_xlfn.XLOOKUP(Sales[[#This Row],[Product Name]],Products[Product Name],Products[Selling Price (CAD)])</f>
        <v>1.99</v>
      </c>
      <c r="J1418" s="5">
        <f>PRODUCT(Sales[[#This Row],[Quantity Sold]],Sales[[#This Row],[Unit Selling Price (CAD)]])</f>
        <v>121.39</v>
      </c>
    </row>
    <row r="1419" spans="1:10">
      <c r="A1419" t="s">
        <v>1867</v>
      </c>
      <c r="B1419" s="2">
        <v>46211</v>
      </c>
      <c r="C1419" t="s">
        <v>80</v>
      </c>
      <c r="D1419" t="s">
        <v>81</v>
      </c>
      <c r="E1419" t="str">
        <f>_xlfn.XLOOKUP(Sales[[#This Row],[Product Name]],Products[Product Name],Products[Category])</f>
        <v>Burgers</v>
      </c>
      <c r="F1419" t="s">
        <v>447</v>
      </c>
      <c r="G1419" t="s">
        <v>445</v>
      </c>
      <c r="H1419">
        <v>50</v>
      </c>
      <c r="I1419" s="5">
        <f>_xlfn.XLOOKUP(Sales[[#This Row],[Product Name]],Products[Product Name],Products[Selling Price (CAD)])</f>
        <v>2.99</v>
      </c>
      <c r="J1419" s="5">
        <f>PRODUCT(Sales[[#This Row],[Quantity Sold]],Sales[[#This Row],[Unit Selling Price (CAD)]])</f>
        <v>149.5</v>
      </c>
    </row>
    <row r="1420" spans="1:10">
      <c r="A1420" t="s">
        <v>1868</v>
      </c>
      <c r="B1420" s="2">
        <v>46211</v>
      </c>
      <c r="C1420" t="s">
        <v>417</v>
      </c>
      <c r="D1420" t="s">
        <v>418</v>
      </c>
      <c r="E1420" t="str">
        <f>_xlfn.XLOOKUP(Sales[[#This Row],[Product Name]],Products[Product Name],Products[Category])</f>
        <v>Combo Meals</v>
      </c>
      <c r="F1420" t="s">
        <v>444</v>
      </c>
      <c r="G1420" t="s">
        <v>450</v>
      </c>
      <c r="H1420">
        <v>61</v>
      </c>
      <c r="I1420" s="5">
        <f>_xlfn.XLOOKUP(Sales[[#This Row],[Product Name]],Products[Product Name],Products[Selling Price (CAD)])</f>
        <v>9.99</v>
      </c>
      <c r="J1420" s="5">
        <f>PRODUCT(Sales[[#This Row],[Quantity Sold]],Sales[[#This Row],[Unit Selling Price (CAD)]])</f>
        <v>609.39</v>
      </c>
    </row>
    <row r="1421" spans="1:10">
      <c r="A1421" t="s">
        <v>1869</v>
      </c>
      <c r="B1421" s="2">
        <v>46211</v>
      </c>
      <c r="C1421" t="s">
        <v>279</v>
      </c>
      <c r="D1421" t="s">
        <v>280</v>
      </c>
      <c r="E1421" t="str">
        <f>_xlfn.XLOOKUP(Sales[[#This Row],[Product Name]],Products[Product Name],Products[Category])</f>
        <v>Beverages</v>
      </c>
      <c r="F1421" t="s">
        <v>444</v>
      </c>
      <c r="G1421" t="s">
        <v>452</v>
      </c>
      <c r="H1421">
        <v>56</v>
      </c>
      <c r="I1421" s="5">
        <f>_xlfn.XLOOKUP(Sales[[#This Row],[Product Name]],Products[Product Name],Products[Selling Price (CAD)])</f>
        <v>2.99</v>
      </c>
      <c r="J1421" s="5">
        <f>PRODUCT(Sales[[#This Row],[Quantity Sold]],Sales[[#This Row],[Unit Selling Price (CAD)]])</f>
        <v>167.44</v>
      </c>
    </row>
    <row r="1422" spans="1:10">
      <c r="A1422" t="s">
        <v>1870</v>
      </c>
      <c r="B1422" s="2">
        <v>46212</v>
      </c>
      <c r="C1422" t="s">
        <v>317</v>
      </c>
      <c r="D1422" t="s">
        <v>318</v>
      </c>
      <c r="E1422" t="str">
        <f>_xlfn.XLOOKUP(Sales[[#This Row],[Product Name]],Products[Product Name],Products[Category])</f>
        <v>Beverages</v>
      </c>
      <c r="F1422" t="s">
        <v>449</v>
      </c>
      <c r="G1422" t="s">
        <v>450</v>
      </c>
      <c r="H1422">
        <v>59</v>
      </c>
      <c r="I1422" s="5">
        <f>_xlfn.XLOOKUP(Sales[[#This Row],[Product Name]],Products[Product Name],Products[Selling Price (CAD)])</f>
        <v>3.99</v>
      </c>
      <c r="J1422" s="5">
        <f>PRODUCT(Sales[[#This Row],[Quantity Sold]],Sales[[#This Row],[Unit Selling Price (CAD)]])</f>
        <v>235.41000000000003</v>
      </c>
    </row>
    <row r="1423" spans="1:10">
      <c r="A1423" t="s">
        <v>1871</v>
      </c>
      <c r="B1423" s="2">
        <v>46212</v>
      </c>
      <c r="C1423" t="s">
        <v>121</v>
      </c>
      <c r="D1423" t="s">
        <v>122</v>
      </c>
      <c r="E1423" t="str">
        <f>_xlfn.XLOOKUP(Sales[[#This Row],[Product Name]],Products[Product Name],Products[Category])</f>
        <v>Chicken</v>
      </c>
      <c r="F1423" t="s">
        <v>449</v>
      </c>
      <c r="G1423" t="s">
        <v>450</v>
      </c>
      <c r="H1423">
        <v>38</v>
      </c>
      <c r="I1423" s="5">
        <f>_xlfn.XLOOKUP(Sales[[#This Row],[Product Name]],Products[Product Name],Products[Selling Price (CAD)])</f>
        <v>11.99</v>
      </c>
      <c r="J1423" s="5">
        <f>PRODUCT(Sales[[#This Row],[Quantity Sold]],Sales[[#This Row],[Unit Selling Price (CAD)]])</f>
        <v>455.62</v>
      </c>
    </row>
    <row r="1424" spans="1:10">
      <c r="A1424" t="s">
        <v>1872</v>
      </c>
      <c r="B1424" s="2">
        <v>46212</v>
      </c>
      <c r="C1424" t="s">
        <v>54</v>
      </c>
      <c r="D1424" t="s">
        <v>55</v>
      </c>
      <c r="E1424" t="str">
        <f>_xlfn.XLOOKUP(Sales[[#This Row],[Product Name]],Products[Product Name],Products[Category])</f>
        <v>Burgers</v>
      </c>
      <c r="F1424" t="s">
        <v>444</v>
      </c>
      <c r="G1424" t="s">
        <v>452</v>
      </c>
      <c r="H1424">
        <v>68</v>
      </c>
      <c r="I1424" s="5">
        <f>_xlfn.XLOOKUP(Sales[[#This Row],[Product Name]],Products[Product Name],Products[Selling Price (CAD)])</f>
        <v>8.99</v>
      </c>
      <c r="J1424" s="5">
        <f>PRODUCT(Sales[[#This Row],[Quantity Sold]],Sales[[#This Row],[Unit Selling Price (CAD)]])</f>
        <v>611.32000000000005</v>
      </c>
    </row>
    <row r="1425" spans="1:10">
      <c r="A1425" t="s">
        <v>1873</v>
      </c>
      <c r="B1425" s="2">
        <v>46212</v>
      </c>
      <c r="C1425" t="s">
        <v>297</v>
      </c>
      <c r="D1425" t="s">
        <v>298</v>
      </c>
      <c r="E1425" t="str">
        <f>_xlfn.XLOOKUP(Sales[[#This Row],[Product Name]],Products[Product Name],Products[Category])</f>
        <v>Beverages</v>
      </c>
      <c r="F1425" t="s">
        <v>449</v>
      </c>
      <c r="G1425" t="s">
        <v>445</v>
      </c>
      <c r="H1425">
        <v>76</v>
      </c>
      <c r="I1425" s="5">
        <f>_xlfn.XLOOKUP(Sales[[#This Row],[Product Name]],Products[Product Name],Products[Selling Price (CAD)])</f>
        <v>2.99</v>
      </c>
      <c r="J1425" s="5">
        <f>PRODUCT(Sales[[#This Row],[Quantity Sold]],Sales[[#This Row],[Unit Selling Price (CAD)]])</f>
        <v>227.24</v>
      </c>
    </row>
    <row r="1426" spans="1:10">
      <c r="A1426" t="s">
        <v>1874</v>
      </c>
      <c r="B1426" s="2">
        <v>46213</v>
      </c>
      <c r="C1426" t="s">
        <v>157</v>
      </c>
      <c r="D1426" t="s">
        <v>158</v>
      </c>
      <c r="E1426" t="str">
        <f>_xlfn.XLOOKUP(Sales[[#This Row],[Product Name]],Products[Product Name],Products[Category])</f>
        <v>Breakfast</v>
      </c>
      <c r="F1426" t="s">
        <v>444</v>
      </c>
      <c r="G1426" t="s">
        <v>452</v>
      </c>
      <c r="H1426">
        <v>62</v>
      </c>
      <c r="I1426" s="5">
        <f>_xlfn.XLOOKUP(Sales[[#This Row],[Product Name]],Products[Product Name],Products[Selling Price (CAD)])</f>
        <v>4.99</v>
      </c>
      <c r="J1426" s="5">
        <f>PRODUCT(Sales[[#This Row],[Quantity Sold]],Sales[[#This Row],[Unit Selling Price (CAD)]])</f>
        <v>309.38</v>
      </c>
    </row>
    <row r="1427" spans="1:10">
      <c r="A1427" t="s">
        <v>1875</v>
      </c>
      <c r="B1427" s="2">
        <v>46213</v>
      </c>
      <c r="C1427" t="s">
        <v>378</v>
      </c>
      <c r="D1427" t="s">
        <v>379</v>
      </c>
      <c r="E1427" t="str">
        <f>_xlfn.XLOOKUP(Sales[[#This Row],[Product Name]],Products[Product Name],Products[Category])</f>
        <v>Kids Meals</v>
      </c>
      <c r="F1427" t="s">
        <v>444</v>
      </c>
      <c r="G1427" t="s">
        <v>454</v>
      </c>
      <c r="H1427">
        <v>48</v>
      </c>
      <c r="I1427" s="5">
        <f>_xlfn.XLOOKUP(Sales[[#This Row],[Product Name]],Products[Product Name],Products[Selling Price (CAD)])</f>
        <v>5.99</v>
      </c>
      <c r="J1427" s="5">
        <f>PRODUCT(Sales[[#This Row],[Quantity Sold]],Sales[[#This Row],[Unit Selling Price (CAD)]])</f>
        <v>287.52</v>
      </c>
    </row>
    <row r="1428" spans="1:10">
      <c r="A1428" t="s">
        <v>1876</v>
      </c>
      <c r="B1428" s="2">
        <v>46213</v>
      </c>
      <c r="C1428" t="s">
        <v>101</v>
      </c>
      <c r="D1428" t="s">
        <v>102</v>
      </c>
      <c r="E1428" t="str">
        <f>_xlfn.XLOOKUP(Sales[[#This Row],[Product Name]],Products[Product Name],Products[Category])</f>
        <v>Chicken</v>
      </c>
      <c r="F1428" t="s">
        <v>444</v>
      </c>
      <c r="G1428" t="s">
        <v>450</v>
      </c>
      <c r="H1428">
        <v>77</v>
      </c>
      <c r="I1428" s="5">
        <f>_xlfn.XLOOKUP(Sales[[#This Row],[Product Name]],Products[Product Name],Products[Selling Price (CAD)])</f>
        <v>7.99</v>
      </c>
      <c r="J1428" s="5">
        <f>PRODUCT(Sales[[#This Row],[Quantity Sold]],Sales[[#This Row],[Unit Selling Price (CAD)]])</f>
        <v>615.23</v>
      </c>
    </row>
    <row r="1429" spans="1:10">
      <c r="A1429" t="s">
        <v>1877</v>
      </c>
      <c r="B1429" s="2">
        <v>46213</v>
      </c>
      <c r="C1429" t="s">
        <v>97</v>
      </c>
      <c r="D1429" t="s">
        <v>98</v>
      </c>
      <c r="E1429" t="str">
        <f>_xlfn.XLOOKUP(Sales[[#This Row],[Product Name]],Products[Product Name],Products[Category])</f>
        <v>Chicken</v>
      </c>
      <c r="F1429" t="s">
        <v>444</v>
      </c>
      <c r="G1429" t="s">
        <v>452</v>
      </c>
      <c r="H1429">
        <v>60</v>
      </c>
      <c r="I1429" s="5">
        <f>_xlfn.XLOOKUP(Sales[[#This Row],[Product Name]],Products[Product Name],Products[Selling Price (CAD)])</f>
        <v>6.99</v>
      </c>
      <c r="J1429" s="5">
        <f>PRODUCT(Sales[[#This Row],[Quantity Sold]],Sales[[#This Row],[Unit Selling Price (CAD)]])</f>
        <v>419.40000000000003</v>
      </c>
    </row>
    <row r="1430" spans="1:10">
      <c r="A1430" t="s">
        <v>1878</v>
      </c>
      <c r="B1430" s="2">
        <v>46213</v>
      </c>
      <c r="C1430" t="s">
        <v>315</v>
      </c>
      <c r="D1430" t="s">
        <v>316</v>
      </c>
      <c r="E1430" t="str">
        <f>_xlfn.XLOOKUP(Sales[[#This Row],[Product Name]],Products[Product Name],Products[Category])</f>
        <v>Beverages</v>
      </c>
      <c r="F1430" t="s">
        <v>447</v>
      </c>
      <c r="G1430" t="s">
        <v>450</v>
      </c>
      <c r="H1430">
        <v>62</v>
      </c>
      <c r="I1430" s="5">
        <f>_xlfn.XLOOKUP(Sales[[#This Row],[Product Name]],Products[Product Name],Products[Selling Price (CAD)])</f>
        <v>3.99</v>
      </c>
      <c r="J1430" s="5">
        <f>PRODUCT(Sales[[#This Row],[Quantity Sold]],Sales[[#This Row],[Unit Selling Price (CAD)]])</f>
        <v>247.38000000000002</v>
      </c>
    </row>
    <row r="1431" spans="1:10">
      <c r="A1431" t="s">
        <v>1879</v>
      </c>
      <c r="B1431" s="2">
        <v>46213</v>
      </c>
      <c r="C1431" t="s">
        <v>143</v>
      </c>
      <c r="D1431" t="s">
        <v>144</v>
      </c>
      <c r="E1431" t="str">
        <f>_xlfn.XLOOKUP(Sales[[#This Row],[Product Name]],Products[Product Name],Products[Category])</f>
        <v>Breakfast</v>
      </c>
      <c r="F1431" t="s">
        <v>444</v>
      </c>
      <c r="G1431" t="s">
        <v>450</v>
      </c>
      <c r="H1431">
        <v>80</v>
      </c>
      <c r="I1431" s="5">
        <f>_xlfn.XLOOKUP(Sales[[#This Row],[Product Name]],Products[Product Name],Products[Selling Price (CAD)])</f>
        <v>4.99</v>
      </c>
      <c r="J1431" s="5">
        <f>PRODUCT(Sales[[#This Row],[Quantity Sold]],Sales[[#This Row],[Unit Selling Price (CAD)]])</f>
        <v>399.20000000000005</v>
      </c>
    </row>
    <row r="1432" spans="1:10">
      <c r="A1432" t="s">
        <v>1880</v>
      </c>
      <c r="B1432" s="2">
        <v>46213</v>
      </c>
      <c r="C1432" t="s">
        <v>213</v>
      </c>
      <c r="D1432" t="s">
        <v>214</v>
      </c>
      <c r="E1432" t="str">
        <f>_xlfn.XLOOKUP(Sales[[#This Row],[Product Name]],Products[Product Name],Products[Category])</f>
        <v>Sides</v>
      </c>
      <c r="F1432" t="s">
        <v>444</v>
      </c>
      <c r="G1432" t="s">
        <v>450</v>
      </c>
      <c r="H1432">
        <v>70</v>
      </c>
      <c r="I1432" s="5">
        <f>_xlfn.XLOOKUP(Sales[[#This Row],[Product Name]],Products[Product Name],Products[Selling Price (CAD)])</f>
        <v>4.99</v>
      </c>
      <c r="J1432" s="5">
        <f>PRODUCT(Sales[[#This Row],[Quantity Sold]],Sales[[#This Row],[Unit Selling Price (CAD)]])</f>
        <v>349.3</v>
      </c>
    </row>
    <row r="1433" spans="1:10">
      <c r="A1433" t="s">
        <v>1881</v>
      </c>
      <c r="B1433" s="2">
        <v>46213</v>
      </c>
      <c r="C1433" t="s">
        <v>317</v>
      </c>
      <c r="D1433" t="s">
        <v>318</v>
      </c>
      <c r="E1433" t="str">
        <f>_xlfn.XLOOKUP(Sales[[#This Row],[Product Name]],Products[Product Name],Products[Category])</f>
        <v>Beverages</v>
      </c>
      <c r="F1433" t="s">
        <v>449</v>
      </c>
      <c r="G1433" t="s">
        <v>452</v>
      </c>
      <c r="H1433">
        <v>58</v>
      </c>
      <c r="I1433" s="5">
        <f>_xlfn.XLOOKUP(Sales[[#This Row],[Product Name]],Products[Product Name],Products[Selling Price (CAD)])</f>
        <v>3.99</v>
      </c>
      <c r="J1433" s="5">
        <f>PRODUCT(Sales[[#This Row],[Quantity Sold]],Sales[[#This Row],[Unit Selling Price (CAD)]])</f>
        <v>231.42000000000002</v>
      </c>
    </row>
    <row r="1434" spans="1:10">
      <c r="A1434" t="s">
        <v>1882</v>
      </c>
      <c r="B1434" s="2">
        <v>46213</v>
      </c>
      <c r="C1434" t="s">
        <v>265</v>
      </c>
      <c r="D1434" t="s">
        <v>266</v>
      </c>
      <c r="E1434" t="str">
        <f>_xlfn.XLOOKUP(Sales[[#This Row],[Product Name]],Products[Product Name],Products[Category])</f>
        <v>Beverages</v>
      </c>
      <c r="F1434" t="s">
        <v>444</v>
      </c>
      <c r="G1434" t="s">
        <v>450</v>
      </c>
      <c r="H1434">
        <v>51</v>
      </c>
      <c r="I1434" s="5">
        <f>_xlfn.XLOOKUP(Sales[[#This Row],[Product Name]],Products[Product Name],Products[Selling Price (CAD)])</f>
        <v>1.99</v>
      </c>
      <c r="J1434" s="5">
        <f>PRODUCT(Sales[[#This Row],[Quantity Sold]],Sales[[#This Row],[Unit Selling Price (CAD)]])</f>
        <v>101.49</v>
      </c>
    </row>
    <row r="1435" spans="1:10">
      <c r="A1435" t="s">
        <v>1883</v>
      </c>
      <c r="B1435" s="2">
        <v>46214</v>
      </c>
      <c r="C1435" t="s">
        <v>97</v>
      </c>
      <c r="D1435" t="s">
        <v>98</v>
      </c>
      <c r="E1435" t="str">
        <f>_xlfn.XLOOKUP(Sales[[#This Row],[Product Name]],Products[Product Name],Products[Category])</f>
        <v>Chicken</v>
      </c>
      <c r="F1435" t="s">
        <v>444</v>
      </c>
      <c r="G1435" t="s">
        <v>450</v>
      </c>
      <c r="H1435">
        <v>41</v>
      </c>
      <c r="I1435" s="5">
        <f>_xlfn.XLOOKUP(Sales[[#This Row],[Product Name]],Products[Product Name],Products[Selling Price (CAD)])</f>
        <v>6.99</v>
      </c>
      <c r="J1435" s="5">
        <f>PRODUCT(Sales[[#This Row],[Quantity Sold]],Sales[[#This Row],[Unit Selling Price (CAD)]])</f>
        <v>286.59000000000003</v>
      </c>
    </row>
    <row r="1436" spans="1:10">
      <c r="A1436" t="s">
        <v>1884</v>
      </c>
      <c r="B1436" s="2">
        <v>46214</v>
      </c>
      <c r="C1436" t="s">
        <v>149</v>
      </c>
      <c r="D1436" t="s">
        <v>150</v>
      </c>
      <c r="E1436" t="str">
        <f>_xlfn.XLOOKUP(Sales[[#This Row],[Product Name]],Products[Product Name],Products[Category])</f>
        <v>Breakfast</v>
      </c>
      <c r="F1436" t="s">
        <v>444</v>
      </c>
      <c r="G1436" t="s">
        <v>452</v>
      </c>
      <c r="H1436">
        <v>34</v>
      </c>
      <c r="I1436" s="5">
        <f>_xlfn.XLOOKUP(Sales[[#This Row],[Product Name]],Products[Product Name],Products[Selling Price (CAD)])</f>
        <v>5.99</v>
      </c>
      <c r="J1436" s="5">
        <f>PRODUCT(Sales[[#This Row],[Quantity Sold]],Sales[[#This Row],[Unit Selling Price (CAD)]])</f>
        <v>203.66</v>
      </c>
    </row>
    <row r="1437" spans="1:10">
      <c r="A1437" t="s">
        <v>1885</v>
      </c>
      <c r="B1437" s="2">
        <v>46214</v>
      </c>
      <c r="C1437" t="s">
        <v>165</v>
      </c>
      <c r="D1437" t="s">
        <v>166</v>
      </c>
      <c r="E1437" t="str">
        <f>_xlfn.XLOOKUP(Sales[[#This Row],[Product Name]],Products[Product Name],Products[Category])</f>
        <v>Breakfast</v>
      </c>
      <c r="F1437" t="s">
        <v>444</v>
      </c>
      <c r="G1437" t="s">
        <v>452</v>
      </c>
      <c r="H1437">
        <v>70</v>
      </c>
      <c r="I1437" s="5">
        <f>_xlfn.XLOOKUP(Sales[[#This Row],[Product Name]],Products[Product Name],Products[Selling Price (CAD)])</f>
        <v>3.99</v>
      </c>
      <c r="J1437" s="5">
        <f>PRODUCT(Sales[[#This Row],[Quantity Sold]],Sales[[#This Row],[Unit Selling Price (CAD)]])</f>
        <v>279.3</v>
      </c>
    </row>
    <row r="1438" spans="1:10">
      <c r="A1438" t="s">
        <v>1886</v>
      </c>
      <c r="B1438" s="2">
        <v>46214</v>
      </c>
      <c r="C1438" t="s">
        <v>171</v>
      </c>
      <c r="D1438" t="s">
        <v>172</v>
      </c>
      <c r="E1438" t="str">
        <f>_xlfn.XLOOKUP(Sales[[#This Row],[Product Name]],Products[Product Name],Products[Category])</f>
        <v>Breakfast</v>
      </c>
      <c r="F1438" t="s">
        <v>449</v>
      </c>
      <c r="G1438" t="s">
        <v>445</v>
      </c>
      <c r="H1438">
        <v>39</v>
      </c>
      <c r="I1438" s="5">
        <f>_xlfn.XLOOKUP(Sales[[#This Row],[Product Name]],Products[Product Name],Products[Selling Price (CAD)])</f>
        <v>3.99</v>
      </c>
      <c r="J1438" s="5">
        <f>PRODUCT(Sales[[#This Row],[Quantity Sold]],Sales[[#This Row],[Unit Selling Price (CAD)]])</f>
        <v>155.61000000000001</v>
      </c>
    </row>
    <row r="1439" spans="1:10">
      <c r="A1439" t="s">
        <v>1887</v>
      </c>
      <c r="B1439" s="2">
        <v>46214</v>
      </c>
      <c r="C1439" t="s">
        <v>311</v>
      </c>
      <c r="D1439" t="s">
        <v>312</v>
      </c>
      <c r="E1439" t="str">
        <f>_xlfn.XLOOKUP(Sales[[#This Row],[Product Name]],Products[Product Name],Products[Category])</f>
        <v>Beverages</v>
      </c>
      <c r="F1439" t="s">
        <v>444</v>
      </c>
      <c r="G1439" t="s">
        <v>450</v>
      </c>
      <c r="H1439">
        <v>46</v>
      </c>
      <c r="I1439" s="5">
        <f>_xlfn.XLOOKUP(Sales[[#This Row],[Product Name]],Products[Product Name],Products[Selling Price (CAD)])</f>
        <v>3.99</v>
      </c>
      <c r="J1439" s="5">
        <f>PRODUCT(Sales[[#This Row],[Quantity Sold]],Sales[[#This Row],[Unit Selling Price (CAD)]])</f>
        <v>183.54000000000002</v>
      </c>
    </row>
    <row r="1440" spans="1:10">
      <c r="A1440" t="s">
        <v>1888</v>
      </c>
      <c r="B1440" s="2">
        <v>46214</v>
      </c>
      <c r="C1440" t="s">
        <v>189</v>
      </c>
      <c r="D1440" t="s">
        <v>190</v>
      </c>
      <c r="E1440" t="str">
        <f>_xlfn.XLOOKUP(Sales[[#This Row],[Product Name]],Products[Product Name],Products[Category])</f>
        <v>Sides</v>
      </c>
      <c r="F1440" t="s">
        <v>447</v>
      </c>
      <c r="G1440" t="s">
        <v>452</v>
      </c>
      <c r="H1440">
        <v>71</v>
      </c>
      <c r="I1440" s="5">
        <f>_xlfn.XLOOKUP(Sales[[#This Row],[Product Name]],Products[Product Name],Products[Selling Price (CAD)])</f>
        <v>2.99</v>
      </c>
      <c r="J1440" s="5">
        <f>PRODUCT(Sales[[#This Row],[Quantity Sold]],Sales[[#This Row],[Unit Selling Price (CAD)]])</f>
        <v>212.29000000000002</v>
      </c>
    </row>
    <row r="1441" spans="1:10">
      <c r="A1441" t="s">
        <v>1889</v>
      </c>
      <c r="B1441" s="2">
        <v>46214</v>
      </c>
      <c r="C1441" t="s">
        <v>56</v>
      </c>
      <c r="D1441" t="s">
        <v>57</v>
      </c>
      <c r="E1441" t="str">
        <f>_xlfn.XLOOKUP(Sales[[#This Row],[Product Name]],Products[Product Name],Products[Category])</f>
        <v>Burgers</v>
      </c>
      <c r="F1441" t="s">
        <v>444</v>
      </c>
      <c r="G1441" t="s">
        <v>450</v>
      </c>
      <c r="H1441">
        <v>31</v>
      </c>
      <c r="I1441" s="5">
        <f>_xlfn.XLOOKUP(Sales[[#This Row],[Product Name]],Products[Product Name],Products[Selling Price (CAD)])</f>
        <v>6.49</v>
      </c>
      <c r="J1441" s="5">
        <f>PRODUCT(Sales[[#This Row],[Quantity Sold]],Sales[[#This Row],[Unit Selling Price (CAD)]])</f>
        <v>201.19</v>
      </c>
    </row>
    <row r="1442" spans="1:10">
      <c r="A1442" t="s">
        <v>1890</v>
      </c>
      <c r="B1442" s="2">
        <v>46214</v>
      </c>
      <c r="C1442" t="s">
        <v>291</v>
      </c>
      <c r="D1442" t="s">
        <v>292</v>
      </c>
      <c r="E1442" t="str">
        <f>_xlfn.XLOOKUP(Sales[[#This Row],[Product Name]],Products[Product Name],Products[Category])</f>
        <v>Beverages</v>
      </c>
      <c r="F1442" t="s">
        <v>447</v>
      </c>
      <c r="G1442" t="s">
        <v>450</v>
      </c>
      <c r="H1442">
        <v>31</v>
      </c>
      <c r="I1442" s="5">
        <f>_xlfn.XLOOKUP(Sales[[#This Row],[Product Name]],Products[Product Name],Products[Selling Price (CAD)])</f>
        <v>3.99</v>
      </c>
      <c r="J1442" s="5">
        <f>PRODUCT(Sales[[#This Row],[Quantity Sold]],Sales[[#This Row],[Unit Selling Price (CAD)]])</f>
        <v>123.69000000000001</v>
      </c>
    </row>
    <row r="1443" spans="1:10">
      <c r="A1443" t="s">
        <v>1891</v>
      </c>
      <c r="B1443" s="2">
        <v>46214</v>
      </c>
      <c r="C1443" t="s">
        <v>189</v>
      </c>
      <c r="D1443" t="s">
        <v>190</v>
      </c>
      <c r="E1443" t="str">
        <f>_xlfn.XLOOKUP(Sales[[#This Row],[Product Name]],Products[Product Name],Products[Category])</f>
        <v>Sides</v>
      </c>
      <c r="F1443" t="s">
        <v>444</v>
      </c>
      <c r="G1443" t="s">
        <v>450</v>
      </c>
      <c r="H1443">
        <v>53</v>
      </c>
      <c r="I1443" s="5">
        <f>_xlfn.XLOOKUP(Sales[[#This Row],[Product Name]],Products[Product Name],Products[Selling Price (CAD)])</f>
        <v>2.99</v>
      </c>
      <c r="J1443" s="5">
        <f>PRODUCT(Sales[[#This Row],[Quantity Sold]],Sales[[#This Row],[Unit Selling Price (CAD)]])</f>
        <v>158.47</v>
      </c>
    </row>
    <row r="1444" spans="1:10">
      <c r="A1444" t="s">
        <v>1892</v>
      </c>
      <c r="B1444" s="2">
        <v>46214</v>
      </c>
      <c r="C1444" t="s">
        <v>107</v>
      </c>
      <c r="D1444" t="s">
        <v>108</v>
      </c>
      <c r="E1444" t="str">
        <f>_xlfn.XLOOKUP(Sales[[#This Row],[Product Name]],Products[Product Name],Products[Category])</f>
        <v>Chicken</v>
      </c>
      <c r="F1444" t="s">
        <v>444</v>
      </c>
      <c r="G1444" t="s">
        <v>454</v>
      </c>
      <c r="H1444">
        <v>74</v>
      </c>
      <c r="I1444" s="5">
        <f>_xlfn.XLOOKUP(Sales[[#This Row],[Product Name]],Products[Product Name],Products[Selling Price (CAD)])</f>
        <v>5.99</v>
      </c>
      <c r="J1444" s="5">
        <f>PRODUCT(Sales[[#This Row],[Quantity Sold]],Sales[[#This Row],[Unit Selling Price (CAD)]])</f>
        <v>443.26</v>
      </c>
    </row>
    <row r="1445" spans="1:10">
      <c r="A1445" t="s">
        <v>1893</v>
      </c>
      <c r="B1445" s="2">
        <v>46215</v>
      </c>
      <c r="C1445" t="s">
        <v>44</v>
      </c>
      <c r="D1445" t="s">
        <v>45</v>
      </c>
      <c r="E1445" t="str">
        <f>_xlfn.XLOOKUP(Sales[[#This Row],[Product Name]],Products[Product Name],Products[Category])</f>
        <v>Burgers</v>
      </c>
      <c r="F1445" t="s">
        <v>449</v>
      </c>
      <c r="G1445" t="s">
        <v>445</v>
      </c>
      <c r="H1445">
        <v>49</v>
      </c>
      <c r="I1445" s="5">
        <f>_xlfn.XLOOKUP(Sales[[#This Row],[Product Name]],Products[Product Name],Products[Selling Price (CAD)])</f>
        <v>6.49</v>
      </c>
      <c r="J1445" s="5">
        <f>PRODUCT(Sales[[#This Row],[Quantity Sold]],Sales[[#This Row],[Unit Selling Price (CAD)]])</f>
        <v>318.01</v>
      </c>
    </row>
    <row r="1446" spans="1:10">
      <c r="A1446" t="s">
        <v>1894</v>
      </c>
      <c r="B1446" s="2">
        <v>46215</v>
      </c>
      <c r="C1446" t="s">
        <v>28</v>
      </c>
      <c r="D1446" t="s">
        <v>29</v>
      </c>
      <c r="E1446" t="str">
        <f>_xlfn.XLOOKUP(Sales[[#This Row],[Product Name]],Products[Product Name],Products[Category])</f>
        <v>Burgers</v>
      </c>
      <c r="F1446" t="s">
        <v>444</v>
      </c>
      <c r="G1446" t="s">
        <v>452</v>
      </c>
      <c r="H1446">
        <v>45</v>
      </c>
      <c r="I1446" s="5">
        <f>_xlfn.XLOOKUP(Sales[[#This Row],[Product Name]],Products[Product Name],Products[Selling Price (CAD)])</f>
        <v>7.99</v>
      </c>
      <c r="J1446" s="5">
        <f>PRODUCT(Sales[[#This Row],[Quantity Sold]],Sales[[#This Row],[Unit Selling Price (CAD)]])</f>
        <v>359.55</v>
      </c>
    </row>
    <row r="1447" spans="1:10">
      <c r="A1447" t="s">
        <v>1895</v>
      </c>
      <c r="B1447" s="2">
        <v>46215</v>
      </c>
      <c r="C1447" t="s">
        <v>413</v>
      </c>
      <c r="D1447" t="s">
        <v>414</v>
      </c>
      <c r="E1447" t="str">
        <f>_xlfn.XLOOKUP(Sales[[#This Row],[Product Name]],Products[Product Name],Products[Category])</f>
        <v>Combo Meals</v>
      </c>
      <c r="F1447" t="s">
        <v>444</v>
      </c>
      <c r="G1447" t="s">
        <v>450</v>
      </c>
      <c r="H1447">
        <v>75</v>
      </c>
      <c r="I1447" s="5">
        <f>_xlfn.XLOOKUP(Sales[[#This Row],[Product Name]],Products[Product Name],Products[Selling Price (CAD)])</f>
        <v>10.99</v>
      </c>
      <c r="J1447" s="5">
        <f>PRODUCT(Sales[[#This Row],[Quantity Sold]],Sales[[#This Row],[Unit Selling Price (CAD)]])</f>
        <v>824.25</v>
      </c>
    </row>
    <row r="1448" spans="1:10">
      <c r="A1448" t="s">
        <v>1896</v>
      </c>
      <c r="B1448" s="2">
        <v>46215</v>
      </c>
      <c r="C1448" t="s">
        <v>197</v>
      </c>
      <c r="D1448" t="s">
        <v>198</v>
      </c>
      <c r="E1448" t="str">
        <f>_xlfn.XLOOKUP(Sales[[#This Row],[Product Name]],Products[Product Name],Products[Category])</f>
        <v>Sides</v>
      </c>
      <c r="F1448" t="s">
        <v>444</v>
      </c>
      <c r="G1448" t="s">
        <v>445</v>
      </c>
      <c r="H1448">
        <v>54</v>
      </c>
      <c r="I1448" s="5">
        <f>_xlfn.XLOOKUP(Sales[[#This Row],[Product Name]],Products[Product Name],Products[Selling Price (CAD)])</f>
        <v>4.49</v>
      </c>
      <c r="J1448" s="5">
        <f>PRODUCT(Sales[[#This Row],[Quantity Sold]],Sales[[#This Row],[Unit Selling Price (CAD)]])</f>
        <v>242.46</v>
      </c>
    </row>
    <row r="1449" spans="1:10">
      <c r="A1449" t="s">
        <v>1897</v>
      </c>
      <c r="B1449" s="2">
        <v>46215</v>
      </c>
      <c r="C1449" t="s">
        <v>287</v>
      </c>
      <c r="D1449" t="s">
        <v>288</v>
      </c>
      <c r="E1449" t="str">
        <f>_xlfn.XLOOKUP(Sales[[#This Row],[Product Name]],Products[Product Name],Products[Category])</f>
        <v>Beverages</v>
      </c>
      <c r="F1449" t="s">
        <v>449</v>
      </c>
      <c r="G1449" t="s">
        <v>452</v>
      </c>
      <c r="H1449">
        <v>42</v>
      </c>
      <c r="I1449" s="5">
        <f>_xlfn.XLOOKUP(Sales[[#This Row],[Product Name]],Products[Product Name],Products[Selling Price (CAD)])</f>
        <v>3.99</v>
      </c>
      <c r="J1449" s="5">
        <f>PRODUCT(Sales[[#This Row],[Quantity Sold]],Sales[[#This Row],[Unit Selling Price (CAD)]])</f>
        <v>167.58</v>
      </c>
    </row>
    <row r="1450" spans="1:10">
      <c r="A1450" t="s">
        <v>1898</v>
      </c>
      <c r="B1450" s="2">
        <v>46215</v>
      </c>
      <c r="C1450" t="s">
        <v>259</v>
      </c>
      <c r="D1450" t="s">
        <v>260</v>
      </c>
      <c r="E1450" t="str">
        <f>_xlfn.XLOOKUP(Sales[[#This Row],[Product Name]],Products[Product Name],Products[Category])</f>
        <v>Beverages</v>
      </c>
      <c r="F1450" t="s">
        <v>449</v>
      </c>
      <c r="G1450" t="s">
        <v>445</v>
      </c>
      <c r="H1450">
        <v>76</v>
      </c>
      <c r="I1450" s="5">
        <f>_xlfn.XLOOKUP(Sales[[#This Row],[Product Name]],Products[Product Name],Products[Selling Price (CAD)])</f>
        <v>1.99</v>
      </c>
      <c r="J1450" s="5">
        <f>PRODUCT(Sales[[#This Row],[Quantity Sold]],Sales[[#This Row],[Unit Selling Price (CAD)]])</f>
        <v>151.24</v>
      </c>
    </row>
    <row r="1451" spans="1:10">
      <c r="A1451" t="s">
        <v>1899</v>
      </c>
      <c r="B1451" s="2">
        <v>46215</v>
      </c>
      <c r="C1451" t="s">
        <v>111</v>
      </c>
      <c r="D1451" t="s">
        <v>112</v>
      </c>
      <c r="E1451" t="str">
        <f>_xlfn.XLOOKUP(Sales[[#This Row],[Product Name]],Products[Product Name],Products[Category])</f>
        <v>Chicken</v>
      </c>
      <c r="F1451" t="s">
        <v>447</v>
      </c>
      <c r="G1451" t="s">
        <v>454</v>
      </c>
      <c r="H1451">
        <v>61</v>
      </c>
      <c r="I1451" s="5">
        <f>_xlfn.XLOOKUP(Sales[[#This Row],[Product Name]],Products[Product Name],Products[Selling Price (CAD)])</f>
        <v>5.99</v>
      </c>
      <c r="J1451" s="5">
        <f>PRODUCT(Sales[[#This Row],[Quantity Sold]],Sales[[#This Row],[Unit Selling Price (CAD)]])</f>
        <v>365.39</v>
      </c>
    </row>
    <row r="1452" spans="1:10">
      <c r="A1452" t="s">
        <v>1900</v>
      </c>
      <c r="B1452" s="2">
        <v>46216</v>
      </c>
      <c r="C1452" t="s">
        <v>165</v>
      </c>
      <c r="D1452" t="s">
        <v>166</v>
      </c>
      <c r="E1452" t="str">
        <f>_xlfn.XLOOKUP(Sales[[#This Row],[Product Name]],Products[Product Name],Products[Category])</f>
        <v>Breakfast</v>
      </c>
      <c r="F1452" t="s">
        <v>447</v>
      </c>
      <c r="G1452" t="s">
        <v>445</v>
      </c>
      <c r="H1452">
        <v>40</v>
      </c>
      <c r="I1452" s="5">
        <f>_xlfn.XLOOKUP(Sales[[#This Row],[Product Name]],Products[Product Name],Products[Selling Price (CAD)])</f>
        <v>3.99</v>
      </c>
      <c r="J1452" s="5">
        <f>PRODUCT(Sales[[#This Row],[Quantity Sold]],Sales[[#This Row],[Unit Selling Price (CAD)]])</f>
        <v>159.60000000000002</v>
      </c>
    </row>
    <row r="1453" spans="1:10">
      <c r="A1453" t="s">
        <v>1901</v>
      </c>
      <c r="B1453" s="2">
        <v>46216</v>
      </c>
      <c r="C1453" t="s">
        <v>38</v>
      </c>
      <c r="D1453" t="s">
        <v>39</v>
      </c>
      <c r="E1453" t="str">
        <f>_xlfn.XLOOKUP(Sales[[#This Row],[Product Name]],Products[Product Name],Products[Category])</f>
        <v>Burgers</v>
      </c>
      <c r="F1453" t="s">
        <v>447</v>
      </c>
      <c r="G1453" t="s">
        <v>454</v>
      </c>
      <c r="H1453">
        <v>67</v>
      </c>
      <c r="I1453" s="5">
        <f>_xlfn.XLOOKUP(Sales[[#This Row],[Product Name]],Products[Product Name],Products[Selling Price (CAD)])</f>
        <v>10.99</v>
      </c>
      <c r="J1453" s="5">
        <f>PRODUCT(Sales[[#This Row],[Quantity Sold]],Sales[[#This Row],[Unit Selling Price (CAD)]])</f>
        <v>736.33</v>
      </c>
    </row>
    <row r="1454" spans="1:10">
      <c r="A1454" t="s">
        <v>1902</v>
      </c>
      <c r="B1454" s="2">
        <v>46216</v>
      </c>
      <c r="C1454" t="s">
        <v>215</v>
      </c>
      <c r="D1454" t="s">
        <v>216</v>
      </c>
      <c r="E1454" t="str">
        <f>_xlfn.XLOOKUP(Sales[[#This Row],[Product Name]],Products[Product Name],Products[Category])</f>
        <v>Sides</v>
      </c>
      <c r="F1454" t="s">
        <v>447</v>
      </c>
      <c r="G1454" t="s">
        <v>450</v>
      </c>
      <c r="H1454">
        <v>31</v>
      </c>
      <c r="I1454" s="5">
        <f>_xlfn.XLOOKUP(Sales[[#This Row],[Product Name]],Products[Product Name],Products[Selling Price (CAD)])</f>
        <v>2.99</v>
      </c>
      <c r="J1454" s="5">
        <f>PRODUCT(Sales[[#This Row],[Quantity Sold]],Sales[[#This Row],[Unit Selling Price (CAD)]])</f>
        <v>92.690000000000012</v>
      </c>
    </row>
    <row r="1455" spans="1:10">
      <c r="A1455" t="s">
        <v>1903</v>
      </c>
      <c r="B1455" s="2">
        <v>46216</v>
      </c>
      <c r="C1455" t="s">
        <v>97</v>
      </c>
      <c r="D1455" t="s">
        <v>98</v>
      </c>
      <c r="E1455" t="str">
        <f>_xlfn.XLOOKUP(Sales[[#This Row],[Product Name]],Products[Product Name],Products[Category])</f>
        <v>Chicken</v>
      </c>
      <c r="F1455" t="s">
        <v>447</v>
      </c>
      <c r="G1455" t="s">
        <v>450</v>
      </c>
      <c r="H1455">
        <v>48</v>
      </c>
      <c r="I1455" s="5">
        <f>_xlfn.XLOOKUP(Sales[[#This Row],[Product Name]],Products[Product Name],Products[Selling Price (CAD)])</f>
        <v>6.99</v>
      </c>
      <c r="J1455" s="5">
        <f>PRODUCT(Sales[[#This Row],[Quantity Sold]],Sales[[#This Row],[Unit Selling Price (CAD)]])</f>
        <v>335.52</v>
      </c>
    </row>
    <row r="1456" spans="1:10">
      <c r="A1456" t="s">
        <v>1904</v>
      </c>
      <c r="B1456" s="2">
        <v>46216</v>
      </c>
      <c r="C1456" t="s">
        <v>355</v>
      </c>
      <c r="D1456" t="s">
        <v>356</v>
      </c>
      <c r="E1456" t="str">
        <f>_xlfn.XLOOKUP(Sales[[#This Row],[Product Name]],Products[Product Name],Products[Category])</f>
        <v>Desserts</v>
      </c>
      <c r="F1456" t="s">
        <v>444</v>
      </c>
      <c r="G1456" t="s">
        <v>450</v>
      </c>
      <c r="H1456">
        <v>61</v>
      </c>
      <c r="I1456" s="5">
        <f>_xlfn.XLOOKUP(Sales[[#This Row],[Product Name]],Products[Product Name],Products[Selling Price (CAD)])</f>
        <v>5.99</v>
      </c>
      <c r="J1456" s="5">
        <f>PRODUCT(Sales[[#This Row],[Quantity Sold]],Sales[[#This Row],[Unit Selling Price (CAD)]])</f>
        <v>365.39</v>
      </c>
    </row>
    <row r="1457" spans="1:10">
      <c r="A1457" t="s">
        <v>1905</v>
      </c>
      <c r="B1457" s="2">
        <v>46216</v>
      </c>
      <c r="C1457" t="s">
        <v>50</v>
      </c>
      <c r="D1457" t="s">
        <v>51</v>
      </c>
      <c r="E1457" t="str">
        <f>_xlfn.XLOOKUP(Sales[[#This Row],[Product Name]],Products[Product Name],Products[Category])</f>
        <v>Burgers</v>
      </c>
      <c r="F1457" t="s">
        <v>449</v>
      </c>
      <c r="G1457" t="s">
        <v>454</v>
      </c>
      <c r="H1457">
        <v>54</v>
      </c>
      <c r="I1457" s="5">
        <f>_xlfn.XLOOKUP(Sales[[#This Row],[Product Name]],Products[Product Name],Products[Selling Price (CAD)])</f>
        <v>8.49</v>
      </c>
      <c r="J1457" s="5">
        <f>PRODUCT(Sales[[#This Row],[Quantity Sold]],Sales[[#This Row],[Unit Selling Price (CAD)]])</f>
        <v>458.46000000000004</v>
      </c>
    </row>
    <row r="1458" spans="1:10">
      <c r="A1458" t="s">
        <v>1906</v>
      </c>
      <c r="B1458" s="2">
        <v>46217</v>
      </c>
      <c r="C1458" t="s">
        <v>72</v>
      </c>
      <c r="D1458" t="s">
        <v>73</v>
      </c>
      <c r="E1458" t="str">
        <f>_xlfn.XLOOKUP(Sales[[#This Row],[Product Name]],Products[Product Name],Products[Category])</f>
        <v>Burgers</v>
      </c>
      <c r="F1458" t="s">
        <v>444</v>
      </c>
      <c r="G1458" t="s">
        <v>452</v>
      </c>
      <c r="H1458">
        <v>53</v>
      </c>
      <c r="I1458" s="5">
        <f>_xlfn.XLOOKUP(Sales[[#This Row],[Product Name]],Products[Product Name],Products[Selling Price (CAD)])</f>
        <v>6.99</v>
      </c>
      <c r="J1458" s="5">
        <f>PRODUCT(Sales[[#This Row],[Quantity Sold]],Sales[[#This Row],[Unit Selling Price (CAD)]])</f>
        <v>370.47</v>
      </c>
    </row>
    <row r="1459" spans="1:10">
      <c r="A1459" t="s">
        <v>1907</v>
      </c>
      <c r="B1459" s="2">
        <v>46217</v>
      </c>
      <c r="C1459" t="s">
        <v>243</v>
      </c>
      <c r="D1459" t="s">
        <v>244</v>
      </c>
      <c r="E1459" t="str">
        <f>_xlfn.XLOOKUP(Sales[[#This Row],[Product Name]],Products[Product Name],Products[Category])</f>
        <v>Salads</v>
      </c>
      <c r="F1459" t="s">
        <v>447</v>
      </c>
      <c r="G1459" t="s">
        <v>450</v>
      </c>
      <c r="H1459">
        <v>72</v>
      </c>
      <c r="I1459" s="5">
        <f>_xlfn.XLOOKUP(Sales[[#This Row],[Product Name]],Products[Product Name],Products[Selling Price (CAD)])</f>
        <v>6.99</v>
      </c>
      <c r="J1459" s="5">
        <f>PRODUCT(Sales[[#This Row],[Quantity Sold]],Sales[[#This Row],[Unit Selling Price (CAD)]])</f>
        <v>503.28000000000003</v>
      </c>
    </row>
    <row r="1460" spans="1:10">
      <c r="A1460" t="s">
        <v>1908</v>
      </c>
      <c r="B1460" s="2">
        <v>46217</v>
      </c>
      <c r="C1460" t="s">
        <v>382</v>
      </c>
      <c r="D1460" t="s">
        <v>383</v>
      </c>
      <c r="E1460" t="str">
        <f>_xlfn.XLOOKUP(Sales[[#This Row],[Product Name]],Products[Product Name],Products[Category])</f>
        <v>Kids Meals</v>
      </c>
      <c r="F1460" t="s">
        <v>447</v>
      </c>
      <c r="G1460" t="s">
        <v>452</v>
      </c>
      <c r="H1460">
        <v>37</v>
      </c>
      <c r="I1460" s="5">
        <f>_xlfn.XLOOKUP(Sales[[#This Row],[Product Name]],Products[Product Name],Products[Selling Price (CAD)])</f>
        <v>5.99</v>
      </c>
      <c r="J1460" s="5">
        <f>PRODUCT(Sales[[#This Row],[Quantity Sold]],Sales[[#This Row],[Unit Selling Price (CAD)]])</f>
        <v>221.63</v>
      </c>
    </row>
    <row r="1461" spans="1:10">
      <c r="A1461" t="s">
        <v>1909</v>
      </c>
      <c r="B1461" s="2">
        <v>46217</v>
      </c>
      <c r="C1461" t="s">
        <v>265</v>
      </c>
      <c r="D1461" t="s">
        <v>266</v>
      </c>
      <c r="E1461" t="str">
        <f>_xlfn.XLOOKUP(Sales[[#This Row],[Product Name]],Products[Product Name],Products[Category])</f>
        <v>Beverages</v>
      </c>
      <c r="F1461" t="s">
        <v>444</v>
      </c>
      <c r="G1461" t="s">
        <v>450</v>
      </c>
      <c r="H1461">
        <v>44</v>
      </c>
      <c r="I1461" s="5">
        <f>_xlfn.XLOOKUP(Sales[[#This Row],[Product Name]],Products[Product Name],Products[Selling Price (CAD)])</f>
        <v>1.99</v>
      </c>
      <c r="J1461" s="5">
        <f>PRODUCT(Sales[[#This Row],[Quantity Sold]],Sales[[#This Row],[Unit Selling Price (CAD)]])</f>
        <v>87.56</v>
      </c>
    </row>
    <row r="1462" spans="1:10">
      <c r="A1462" t="s">
        <v>1910</v>
      </c>
      <c r="B1462" s="2">
        <v>46217</v>
      </c>
      <c r="C1462" t="s">
        <v>249</v>
      </c>
      <c r="D1462" t="s">
        <v>250</v>
      </c>
      <c r="E1462" t="str">
        <f>_xlfn.XLOOKUP(Sales[[#This Row],[Product Name]],Products[Product Name],Products[Category])</f>
        <v>Salads</v>
      </c>
      <c r="F1462" t="s">
        <v>447</v>
      </c>
      <c r="G1462" t="s">
        <v>454</v>
      </c>
      <c r="H1462">
        <v>55</v>
      </c>
      <c r="I1462" s="5">
        <f>_xlfn.XLOOKUP(Sales[[#This Row],[Product Name]],Products[Product Name],Products[Selling Price (CAD)])</f>
        <v>7.49</v>
      </c>
      <c r="J1462" s="5">
        <f>PRODUCT(Sales[[#This Row],[Quantity Sold]],Sales[[#This Row],[Unit Selling Price (CAD)]])</f>
        <v>411.95</v>
      </c>
    </row>
    <row r="1463" spans="1:10">
      <c r="A1463" t="s">
        <v>1911</v>
      </c>
      <c r="B1463" s="2">
        <v>46217</v>
      </c>
      <c r="C1463" t="s">
        <v>279</v>
      </c>
      <c r="D1463" t="s">
        <v>280</v>
      </c>
      <c r="E1463" t="str">
        <f>_xlfn.XLOOKUP(Sales[[#This Row],[Product Name]],Products[Product Name],Products[Category])</f>
        <v>Beverages</v>
      </c>
      <c r="F1463" t="s">
        <v>449</v>
      </c>
      <c r="G1463" t="s">
        <v>452</v>
      </c>
      <c r="H1463">
        <v>42</v>
      </c>
      <c r="I1463" s="5">
        <f>_xlfn.XLOOKUP(Sales[[#This Row],[Product Name]],Products[Product Name],Products[Selling Price (CAD)])</f>
        <v>2.99</v>
      </c>
      <c r="J1463" s="5">
        <f>PRODUCT(Sales[[#This Row],[Quantity Sold]],Sales[[#This Row],[Unit Selling Price (CAD)]])</f>
        <v>125.58000000000001</v>
      </c>
    </row>
    <row r="1464" spans="1:10">
      <c r="A1464" t="s">
        <v>1912</v>
      </c>
      <c r="B1464" s="2">
        <v>46217</v>
      </c>
      <c r="C1464" t="s">
        <v>269</v>
      </c>
      <c r="D1464" t="s">
        <v>270</v>
      </c>
      <c r="E1464" t="str">
        <f>_xlfn.XLOOKUP(Sales[[#This Row],[Product Name]],Products[Product Name],Products[Category])</f>
        <v>Beverages</v>
      </c>
      <c r="F1464" t="s">
        <v>447</v>
      </c>
      <c r="G1464" t="s">
        <v>450</v>
      </c>
      <c r="H1464">
        <v>56</v>
      </c>
      <c r="I1464" s="5">
        <f>_xlfn.XLOOKUP(Sales[[#This Row],[Product Name]],Products[Product Name],Products[Selling Price (CAD)])</f>
        <v>2.99</v>
      </c>
      <c r="J1464" s="5">
        <f>PRODUCT(Sales[[#This Row],[Quantity Sold]],Sales[[#This Row],[Unit Selling Price (CAD)]])</f>
        <v>167.44</v>
      </c>
    </row>
    <row r="1465" spans="1:10">
      <c r="A1465" t="s">
        <v>1913</v>
      </c>
      <c r="B1465" s="2">
        <v>46217</v>
      </c>
      <c r="C1465" t="s">
        <v>241</v>
      </c>
      <c r="D1465" t="s">
        <v>242</v>
      </c>
      <c r="E1465" t="str">
        <f>_xlfn.XLOOKUP(Sales[[#This Row],[Product Name]],Products[Product Name],Products[Category])</f>
        <v>Salads</v>
      </c>
      <c r="F1465" t="s">
        <v>444</v>
      </c>
      <c r="G1465" t="s">
        <v>452</v>
      </c>
      <c r="H1465">
        <v>39</v>
      </c>
      <c r="I1465" s="5">
        <f>_xlfn.XLOOKUP(Sales[[#This Row],[Product Name]],Products[Product Name],Products[Selling Price (CAD)])</f>
        <v>9.49</v>
      </c>
      <c r="J1465" s="5">
        <f>PRODUCT(Sales[[#This Row],[Quantity Sold]],Sales[[#This Row],[Unit Selling Price (CAD)]])</f>
        <v>370.11</v>
      </c>
    </row>
    <row r="1466" spans="1:10">
      <c r="A1466" t="s">
        <v>1914</v>
      </c>
      <c r="B1466" s="2">
        <v>46218</v>
      </c>
      <c r="C1466" t="s">
        <v>267</v>
      </c>
      <c r="D1466" t="s">
        <v>268</v>
      </c>
      <c r="E1466" t="str">
        <f>_xlfn.XLOOKUP(Sales[[#This Row],[Product Name]],Products[Product Name],Products[Category])</f>
        <v>Beverages</v>
      </c>
      <c r="F1466" t="s">
        <v>444</v>
      </c>
      <c r="G1466" t="s">
        <v>445</v>
      </c>
      <c r="H1466">
        <v>74</v>
      </c>
      <c r="I1466" s="5">
        <f>_xlfn.XLOOKUP(Sales[[#This Row],[Product Name]],Products[Product Name],Products[Selling Price (CAD)])</f>
        <v>2.99</v>
      </c>
      <c r="J1466" s="5">
        <f>PRODUCT(Sales[[#This Row],[Quantity Sold]],Sales[[#This Row],[Unit Selling Price (CAD)]])</f>
        <v>221.26000000000002</v>
      </c>
    </row>
    <row r="1467" spans="1:10">
      <c r="A1467" t="s">
        <v>1915</v>
      </c>
      <c r="B1467" s="2">
        <v>46218</v>
      </c>
      <c r="C1467" t="s">
        <v>261</v>
      </c>
      <c r="D1467" t="s">
        <v>262</v>
      </c>
      <c r="E1467" t="str">
        <f>_xlfn.XLOOKUP(Sales[[#This Row],[Product Name]],Products[Product Name],Products[Category])</f>
        <v>Beverages</v>
      </c>
      <c r="F1467" t="s">
        <v>444</v>
      </c>
      <c r="G1467" t="s">
        <v>450</v>
      </c>
      <c r="H1467">
        <v>78</v>
      </c>
      <c r="I1467" s="5">
        <f>_xlfn.XLOOKUP(Sales[[#This Row],[Product Name]],Products[Product Name],Products[Selling Price (CAD)])</f>
        <v>2.99</v>
      </c>
      <c r="J1467" s="5">
        <f>PRODUCT(Sales[[#This Row],[Quantity Sold]],Sales[[#This Row],[Unit Selling Price (CAD)]])</f>
        <v>233.22000000000003</v>
      </c>
    </row>
    <row r="1468" spans="1:10">
      <c r="A1468" t="s">
        <v>1916</v>
      </c>
      <c r="B1468" s="2">
        <v>46218</v>
      </c>
      <c r="C1468" t="s">
        <v>147</v>
      </c>
      <c r="D1468" t="s">
        <v>148</v>
      </c>
      <c r="E1468" t="str">
        <f>_xlfn.XLOOKUP(Sales[[#This Row],[Product Name]],Products[Product Name],Products[Category])</f>
        <v>Breakfast</v>
      </c>
      <c r="F1468" t="s">
        <v>447</v>
      </c>
      <c r="G1468" t="s">
        <v>454</v>
      </c>
      <c r="H1468">
        <v>69</v>
      </c>
      <c r="I1468" s="5">
        <f>_xlfn.XLOOKUP(Sales[[#This Row],[Product Name]],Products[Product Name],Products[Selling Price (CAD)])</f>
        <v>4.99</v>
      </c>
      <c r="J1468" s="5">
        <f>PRODUCT(Sales[[#This Row],[Quantity Sold]],Sales[[#This Row],[Unit Selling Price (CAD)]])</f>
        <v>344.31</v>
      </c>
    </row>
    <row r="1469" spans="1:10">
      <c r="A1469" t="s">
        <v>1917</v>
      </c>
      <c r="B1469" s="2">
        <v>46218</v>
      </c>
      <c r="C1469" t="s">
        <v>56</v>
      </c>
      <c r="D1469" t="s">
        <v>57</v>
      </c>
      <c r="E1469" t="str">
        <f>_xlfn.XLOOKUP(Sales[[#This Row],[Product Name]],Products[Product Name],Products[Category])</f>
        <v>Burgers</v>
      </c>
      <c r="F1469" t="s">
        <v>447</v>
      </c>
      <c r="G1469" t="s">
        <v>454</v>
      </c>
      <c r="H1469">
        <v>40</v>
      </c>
      <c r="I1469" s="5">
        <f>_xlfn.XLOOKUP(Sales[[#This Row],[Product Name]],Products[Product Name],Products[Selling Price (CAD)])</f>
        <v>6.49</v>
      </c>
      <c r="J1469" s="5">
        <f>PRODUCT(Sales[[#This Row],[Quantity Sold]],Sales[[#This Row],[Unit Selling Price (CAD)]])</f>
        <v>259.60000000000002</v>
      </c>
    </row>
    <row r="1470" spans="1:10">
      <c r="A1470" t="s">
        <v>1918</v>
      </c>
      <c r="B1470" s="2">
        <v>46218</v>
      </c>
      <c r="C1470" t="s">
        <v>372</v>
      </c>
      <c r="D1470" t="s">
        <v>373</v>
      </c>
      <c r="E1470" t="str">
        <f>_xlfn.XLOOKUP(Sales[[#This Row],[Product Name]],Products[Product Name],Products[Category])</f>
        <v>Kids Meals</v>
      </c>
      <c r="F1470" t="s">
        <v>444</v>
      </c>
      <c r="G1470" t="s">
        <v>450</v>
      </c>
      <c r="H1470">
        <v>71</v>
      </c>
      <c r="I1470" s="5">
        <f>_xlfn.XLOOKUP(Sales[[#This Row],[Product Name]],Products[Product Name],Products[Selling Price (CAD)])</f>
        <v>6.49</v>
      </c>
      <c r="J1470" s="5">
        <f>PRODUCT(Sales[[#This Row],[Quantity Sold]],Sales[[#This Row],[Unit Selling Price (CAD)]])</f>
        <v>460.79</v>
      </c>
    </row>
    <row r="1471" spans="1:10">
      <c r="A1471" t="s">
        <v>1919</v>
      </c>
      <c r="B1471" s="2">
        <v>46218</v>
      </c>
      <c r="C1471" t="s">
        <v>187</v>
      </c>
      <c r="D1471" t="s">
        <v>188</v>
      </c>
      <c r="E1471" t="str">
        <f>_xlfn.XLOOKUP(Sales[[#This Row],[Product Name]],Products[Product Name],Products[Category])</f>
        <v>Sides</v>
      </c>
      <c r="F1471" t="s">
        <v>444</v>
      </c>
      <c r="G1471" t="s">
        <v>445</v>
      </c>
      <c r="H1471">
        <v>74</v>
      </c>
      <c r="I1471" s="5">
        <f>_xlfn.XLOOKUP(Sales[[#This Row],[Product Name]],Products[Product Name],Products[Selling Price (CAD)])</f>
        <v>4.49</v>
      </c>
      <c r="J1471" s="5">
        <f>PRODUCT(Sales[[#This Row],[Quantity Sold]],Sales[[#This Row],[Unit Selling Price (CAD)]])</f>
        <v>332.26</v>
      </c>
    </row>
    <row r="1472" spans="1:10">
      <c r="A1472" t="s">
        <v>1920</v>
      </c>
      <c r="B1472" s="2">
        <v>46218</v>
      </c>
      <c r="C1472" t="s">
        <v>101</v>
      </c>
      <c r="D1472" t="s">
        <v>102</v>
      </c>
      <c r="E1472" t="str">
        <f>_xlfn.XLOOKUP(Sales[[#This Row],[Product Name]],Products[Product Name],Products[Category])</f>
        <v>Chicken</v>
      </c>
      <c r="F1472" t="s">
        <v>444</v>
      </c>
      <c r="G1472" t="s">
        <v>454</v>
      </c>
      <c r="H1472">
        <v>63</v>
      </c>
      <c r="I1472" s="5">
        <f>_xlfn.XLOOKUP(Sales[[#This Row],[Product Name]],Products[Product Name],Products[Selling Price (CAD)])</f>
        <v>7.99</v>
      </c>
      <c r="J1472" s="5">
        <f>PRODUCT(Sales[[#This Row],[Quantity Sold]],Sales[[#This Row],[Unit Selling Price (CAD)]])</f>
        <v>503.37</v>
      </c>
    </row>
    <row r="1473" spans="1:10">
      <c r="A1473" t="s">
        <v>1921</v>
      </c>
      <c r="B1473" s="2">
        <v>46219</v>
      </c>
      <c r="C1473" t="s">
        <v>239</v>
      </c>
      <c r="D1473" t="s">
        <v>240</v>
      </c>
      <c r="E1473" t="str">
        <f>_xlfn.XLOOKUP(Sales[[#This Row],[Product Name]],Products[Product Name],Products[Category])</f>
        <v>Salads</v>
      </c>
      <c r="F1473" t="s">
        <v>447</v>
      </c>
      <c r="G1473" t="s">
        <v>454</v>
      </c>
      <c r="H1473">
        <v>40</v>
      </c>
      <c r="I1473" s="5">
        <f>_xlfn.XLOOKUP(Sales[[#This Row],[Product Name]],Products[Product Name],Products[Selling Price (CAD)])</f>
        <v>9.49</v>
      </c>
      <c r="J1473" s="5">
        <f>PRODUCT(Sales[[#This Row],[Quantity Sold]],Sales[[#This Row],[Unit Selling Price (CAD)]])</f>
        <v>379.6</v>
      </c>
    </row>
    <row r="1474" spans="1:10">
      <c r="A1474" t="s">
        <v>1922</v>
      </c>
      <c r="B1474" s="2">
        <v>46219</v>
      </c>
      <c r="C1474" t="s">
        <v>277</v>
      </c>
      <c r="D1474" t="s">
        <v>278</v>
      </c>
      <c r="E1474" t="str">
        <f>_xlfn.XLOOKUP(Sales[[#This Row],[Product Name]],Products[Product Name],Products[Category])</f>
        <v>Beverages</v>
      </c>
      <c r="F1474" t="s">
        <v>444</v>
      </c>
      <c r="G1474" t="s">
        <v>450</v>
      </c>
      <c r="H1474">
        <v>59</v>
      </c>
      <c r="I1474" s="5">
        <f>_xlfn.XLOOKUP(Sales[[#This Row],[Product Name]],Products[Product Name],Products[Selling Price (CAD)])</f>
        <v>1.99</v>
      </c>
      <c r="J1474" s="5">
        <f>PRODUCT(Sales[[#This Row],[Quantity Sold]],Sales[[#This Row],[Unit Selling Price (CAD)]])</f>
        <v>117.41</v>
      </c>
    </row>
    <row r="1475" spans="1:10">
      <c r="A1475" t="s">
        <v>1923</v>
      </c>
      <c r="B1475" s="2">
        <v>46219</v>
      </c>
      <c r="C1475" t="s">
        <v>376</v>
      </c>
      <c r="D1475" t="s">
        <v>377</v>
      </c>
      <c r="E1475" t="str">
        <f>_xlfn.XLOOKUP(Sales[[#This Row],[Product Name]],Products[Product Name],Products[Category])</f>
        <v>Kids Meals</v>
      </c>
      <c r="F1475" t="s">
        <v>449</v>
      </c>
      <c r="G1475" t="s">
        <v>450</v>
      </c>
      <c r="H1475">
        <v>76</v>
      </c>
      <c r="I1475" s="5">
        <f>_xlfn.XLOOKUP(Sales[[#This Row],[Product Name]],Products[Product Name],Products[Selling Price (CAD)])</f>
        <v>5.99</v>
      </c>
      <c r="J1475" s="5">
        <f>PRODUCT(Sales[[#This Row],[Quantity Sold]],Sales[[#This Row],[Unit Selling Price (CAD)]])</f>
        <v>455.24</v>
      </c>
    </row>
    <row r="1476" spans="1:10">
      <c r="A1476" t="s">
        <v>1924</v>
      </c>
      <c r="B1476" s="2">
        <v>46219</v>
      </c>
      <c r="C1476" t="s">
        <v>70</v>
      </c>
      <c r="D1476" t="s">
        <v>71</v>
      </c>
      <c r="E1476" t="str">
        <f>_xlfn.XLOOKUP(Sales[[#This Row],[Product Name]],Products[Product Name],Products[Category])</f>
        <v>Burgers</v>
      </c>
      <c r="F1476" t="s">
        <v>449</v>
      </c>
      <c r="G1476" t="s">
        <v>452</v>
      </c>
      <c r="H1476">
        <v>46</v>
      </c>
      <c r="I1476" s="5">
        <f>_xlfn.XLOOKUP(Sales[[#This Row],[Product Name]],Products[Product Name],Products[Selling Price (CAD)])</f>
        <v>8.99</v>
      </c>
      <c r="J1476" s="5">
        <f>PRODUCT(Sales[[#This Row],[Quantity Sold]],Sales[[#This Row],[Unit Selling Price (CAD)]])</f>
        <v>413.54</v>
      </c>
    </row>
    <row r="1477" spans="1:10">
      <c r="A1477" t="s">
        <v>1925</v>
      </c>
      <c r="B1477" s="2">
        <v>46219</v>
      </c>
      <c r="C1477" t="s">
        <v>319</v>
      </c>
      <c r="D1477" t="s">
        <v>320</v>
      </c>
      <c r="E1477" t="str">
        <f>_xlfn.XLOOKUP(Sales[[#This Row],[Product Name]],Products[Product Name],Products[Category])</f>
        <v>Beverages</v>
      </c>
      <c r="F1477" t="s">
        <v>444</v>
      </c>
      <c r="G1477" t="s">
        <v>454</v>
      </c>
      <c r="H1477">
        <v>45</v>
      </c>
      <c r="I1477" s="5">
        <f>_xlfn.XLOOKUP(Sales[[#This Row],[Product Name]],Products[Product Name],Products[Selling Price (CAD)])</f>
        <v>2.4900000000000002</v>
      </c>
      <c r="J1477" s="5">
        <f>PRODUCT(Sales[[#This Row],[Quantity Sold]],Sales[[#This Row],[Unit Selling Price (CAD)]])</f>
        <v>112.05000000000001</v>
      </c>
    </row>
    <row r="1478" spans="1:10">
      <c r="A1478" t="s">
        <v>1926</v>
      </c>
      <c r="B1478" s="2">
        <v>46219</v>
      </c>
      <c r="C1478" t="s">
        <v>52</v>
      </c>
      <c r="D1478" t="s">
        <v>53</v>
      </c>
      <c r="E1478" t="str">
        <f>_xlfn.XLOOKUP(Sales[[#This Row],[Product Name]],Products[Product Name],Products[Category])</f>
        <v>Burgers</v>
      </c>
      <c r="F1478" t="s">
        <v>447</v>
      </c>
      <c r="G1478" t="s">
        <v>450</v>
      </c>
      <c r="H1478">
        <v>76</v>
      </c>
      <c r="I1478" s="5">
        <f>_xlfn.XLOOKUP(Sales[[#This Row],[Product Name]],Products[Product Name],Products[Selling Price (CAD)])</f>
        <v>6.99</v>
      </c>
      <c r="J1478" s="5">
        <f>PRODUCT(Sales[[#This Row],[Quantity Sold]],Sales[[#This Row],[Unit Selling Price (CAD)]])</f>
        <v>531.24</v>
      </c>
    </row>
    <row r="1479" spans="1:10">
      <c r="A1479" t="s">
        <v>1927</v>
      </c>
      <c r="B1479" s="2">
        <v>46219</v>
      </c>
      <c r="C1479" t="s">
        <v>66</v>
      </c>
      <c r="D1479" t="s">
        <v>67</v>
      </c>
      <c r="E1479" t="str">
        <f>_xlfn.XLOOKUP(Sales[[#This Row],[Product Name]],Products[Product Name],Products[Category])</f>
        <v>Burgers</v>
      </c>
      <c r="F1479" t="s">
        <v>449</v>
      </c>
      <c r="G1479" t="s">
        <v>454</v>
      </c>
      <c r="H1479">
        <v>33</v>
      </c>
      <c r="I1479" s="5">
        <f>_xlfn.XLOOKUP(Sales[[#This Row],[Product Name]],Products[Product Name],Products[Selling Price (CAD)])</f>
        <v>8.49</v>
      </c>
      <c r="J1479" s="5">
        <f>PRODUCT(Sales[[#This Row],[Quantity Sold]],Sales[[#This Row],[Unit Selling Price (CAD)]])</f>
        <v>280.17</v>
      </c>
    </row>
    <row r="1480" spans="1:10">
      <c r="A1480" t="s">
        <v>1928</v>
      </c>
      <c r="B1480" s="2">
        <v>46220</v>
      </c>
      <c r="C1480" t="s">
        <v>125</v>
      </c>
      <c r="D1480" t="s">
        <v>126</v>
      </c>
      <c r="E1480" t="str">
        <f>_xlfn.XLOOKUP(Sales[[#This Row],[Product Name]],Products[Product Name],Products[Category])</f>
        <v>Chicken</v>
      </c>
      <c r="F1480" t="s">
        <v>447</v>
      </c>
      <c r="G1480" t="s">
        <v>450</v>
      </c>
      <c r="H1480">
        <v>70</v>
      </c>
      <c r="I1480" s="5">
        <f>_xlfn.XLOOKUP(Sales[[#This Row],[Product Name]],Products[Product Name],Products[Selling Price (CAD)])</f>
        <v>4.99</v>
      </c>
      <c r="J1480" s="5">
        <f>PRODUCT(Sales[[#This Row],[Quantity Sold]],Sales[[#This Row],[Unit Selling Price (CAD)]])</f>
        <v>349.3</v>
      </c>
    </row>
    <row r="1481" spans="1:10">
      <c r="A1481" t="s">
        <v>1929</v>
      </c>
      <c r="B1481" s="2">
        <v>46220</v>
      </c>
      <c r="C1481" t="s">
        <v>68</v>
      </c>
      <c r="D1481" t="s">
        <v>69</v>
      </c>
      <c r="E1481" t="str">
        <f>_xlfn.XLOOKUP(Sales[[#This Row],[Product Name]],Products[Product Name],Products[Category])</f>
        <v>Burgers</v>
      </c>
      <c r="F1481" t="s">
        <v>444</v>
      </c>
      <c r="G1481" t="s">
        <v>452</v>
      </c>
      <c r="H1481">
        <v>32</v>
      </c>
      <c r="I1481" s="5">
        <f>_xlfn.XLOOKUP(Sales[[#This Row],[Product Name]],Products[Product Name],Products[Selling Price (CAD)])</f>
        <v>6.99</v>
      </c>
      <c r="J1481" s="5">
        <f>PRODUCT(Sales[[#This Row],[Quantity Sold]],Sales[[#This Row],[Unit Selling Price (CAD)]])</f>
        <v>223.68</v>
      </c>
    </row>
    <row r="1482" spans="1:10">
      <c r="A1482" t="s">
        <v>1930</v>
      </c>
      <c r="B1482" s="2">
        <v>46221</v>
      </c>
      <c r="C1482" t="s">
        <v>201</v>
      </c>
      <c r="D1482" t="s">
        <v>202</v>
      </c>
      <c r="E1482" t="str">
        <f>_xlfn.XLOOKUP(Sales[[#This Row],[Product Name]],Products[Product Name],Products[Category])</f>
        <v>Sides</v>
      </c>
      <c r="F1482" t="s">
        <v>444</v>
      </c>
      <c r="G1482" t="s">
        <v>454</v>
      </c>
      <c r="H1482">
        <v>51</v>
      </c>
      <c r="I1482" s="5">
        <f>_xlfn.XLOOKUP(Sales[[#This Row],[Product Name]],Products[Product Name],Products[Selling Price (CAD)])</f>
        <v>3.99</v>
      </c>
      <c r="J1482" s="5">
        <f>PRODUCT(Sales[[#This Row],[Quantity Sold]],Sales[[#This Row],[Unit Selling Price (CAD)]])</f>
        <v>203.49</v>
      </c>
    </row>
    <row r="1483" spans="1:10">
      <c r="A1483" t="s">
        <v>1931</v>
      </c>
      <c r="B1483" s="2">
        <v>46221</v>
      </c>
      <c r="C1483" t="s">
        <v>303</v>
      </c>
      <c r="D1483" t="s">
        <v>304</v>
      </c>
      <c r="E1483" t="str">
        <f>_xlfn.XLOOKUP(Sales[[#This Row],[Product Name]],Products[Product Name],Products[Category])</f>
        <v>Beverages</v>
      </c>
      <c r="F1483" t="s">
        <v>447</v>
      </c>
      <c r="G1483" t="s">
        <v>454</v>
      </c>
      <c r="H1483">
        <v>54</v>
      </c>
      <c r="I1483" s="5">
        <f>_xlfn.XLOOKUP(Sales[[#This Row],[Product Name]],Products[Product Name],Products[Selling Price (CAD)])</f>
        <v>2.4900000000000002</v>
      </c>
      <c r="J1483" s="5">
        <f>PRODUCT(Sales[[#This Row],[Quantity Sold]],Sales[[#This Row],[Unit Selling Price (CAD)]])</f>
        <v>134.46</v>
      </c>
    </row>
    <row r="1484" spans="1:10">
      <c r="A1484" t="s">
        <v>1932</v>
      </c>
      <c r="B1484" s="2">
        <v>46221</v>
      </c>
      <c r="C1484" t="s">
        <v>95</v>
      </c>
      <c r="D1484" t="s">
        <v>96</v>
      </c>
      <c r="E1484" t="str">
        <f>_xlfn.XLOOKUP(Sales[[#This Row],[Product Name]],Products[Product Name],Products[Category])</f>
        <v>Chicken</v>
      </c>
      <c r="F1484" t="s">
        <v>447</v>
      </c>
      <c r="G1484" t="s">
        <v>450</v>
      </c>
      <c r="H1484">
        <v>72</v>
      </c>
      <c r="I1484" s="5">
        <f>_xlfn.XLOOKUP(Sales[[#This Row],[Product Name]],Products[Product Name],Products[Selling Price (CAD)])</f>
        <v>7.49</v>
      </c>
      <c r="J1484" s="5">
        <f>PRODUCT(Sales[[#This Row],[Quantity Sold]],Sales[[#This Row],[Unit Selling Price (CAD)]])</f>
        <v>539.28</v>
      </c>
    </row>
    <row r="1485" spans="1:10">
      <c r="A1485" t="s">
        <v>1933</v>
      </c>
      <c r="B1485" s="2">
        <v>46221</v>
      </c>
      <c r="C1485" t="s">
        <v>273</v>
      </c>
      <c r="D1485" t="s">
        <v>274</v>
      </c>
      <c r="E1485" t="str">
        <f>_xlfn.XLOOKUP(Sales[[#This Row],[Product Name]],Products[Product Name],Products[Category])</f>
        <v>Beverages</v>
      </c>
      <c r="F1485" t="s">
        <v>444</v>
      </c>
      <c r="G1485" t="s">
        <v>450</v>
      </c>
      <c r="H1485">
        <v>38</v>
      </c>
      <c r="I1485" s="5">
        <f>_xlfn.XLOOKUP(Sales[[#This Row],[Product Name]],Products[Product Name],Products[Selling Price (CAD)])</f>
        <v>2.99</v>
      </c>
      <c r="J1485" s="5">
        <f>PRODUCT(Sales[[#This Row],[Quantity Sold]],Sales[[#This Row],[Unit Selling Price (CAD)]])</f>
        <v>113.62</v>
      </c>
    </row>
    <row r="1486" spans="1:10">
      <c r="A1486" t="s">
        <v>1934</v>
      </c>
      <c r="B1486" s="2">
        <v>46221</v>
      </c>
      <c r="C1486" t="s">
        <v>321</v>
      </c>
      <c r="D1486" t="s">
        <v>322</v>
      </c>
      <c r="E1486" t="str">
        <f>_xlfn.XLOOKUP(Sales[[#This Row],[Product Name]],Products[Product Name],Products[Category])</f>
        <v>Beverages</v>
      </c>
      <c r="F1486" t="s">
        <v>449</v>
      </c>
      <c r="G1486" t="s">
        <v>450</v>
      </c>
      <c r="H1486">
        <v>61</v>
      </c>
      <c r="I1486" s="5">
        <f>_xlfn.XLOOKUP(Sales[[#This Row],[Product Name]],Products[Product Name],Products[Selling Price (CAD)])</f>
        <v>2.4900000000000002</v>
      </c>
      <c r="J1486" s="5">
        <f>PRODUCT(Sales[[#This Row],[Quantity Sold]],Sales[[#This Row],[Unit Selling Price (CAD)]])</f>
        <v>151.89000000000001</v>
      </c>
    </row>
    <row r="1487" spans="1:10">
      <c r="A1487" t="s">
        <v>1935</v>
      </c>
      <c r="B1487" s="2">
        <v>46221</v>
      </c>
      <c r="C1487" t="s">
        <v>203</v>
      </c>
      <c r="D1487" t="s">
        <v>204</v>
      </c>
      <c r="E1487" t="str">
        <f>_xlfn.XLOOKUP(Sales[[#This Row],[Product Name]],Products[Product Name],Products[Category])</f>
        <v>Sides</v>
      </c>
      <c r="F1487" t="s">
        <v>449</v>
      </c>
      <c r="G1487" t="s">
        <v>454</v>
      </c>
      <c r="H1487">
        <v>31</v>
      </c>
      <c r="I1487" s="5">
        <f>_xlfn.XLOOKUP(Sales[[#This Row],[Product Name]],Products[Product Name],Products[Selling Price (CAD)])</f>
        <v>4.49</v>
      </c>
      <c r="J1487" s="5">
        <f>PRODUCT(Sales[[#This Row],[Quantity Sold]],Sales[[#This Row],[Unit Selling Price (CAD)]])</f>
        <v>139.19</v>
      </c>
    </row>
    <row r="1488" spans="1:10">
      <c r="A1488" t="s">
        <v>1936</v>
      </c>
      <c r="B1488" s="2">
        <v>46221</v>
      </c>
      <c r="C1488" t="s">
        <v>107</v>
      </c>
      <c r="D1488" t="s">
        <v>108</v>
      </c>
      <c r="E1488" t="str">
        <f>_xlfn.XLOOKUP(Sales[[#This Row],[Product Name]],Products[Product Name],Products[Category])</f>
        <v>Chicken</v>
      </c>
      <c r="F1488" t="s">
        <v>444</v>
      </c>
      <c r="G1488" t="s">
        <v>454</v>
      </c>
      <c r="H1488">
        <v>67</v>
      </c>
      <c r="I1488" s="5">
        <f>_xlfn.XLOOKUP(Sales[[#This Row],[Product Name]],Products[Product Name],Products[Selling Price (CAD)])</f>
        <v>5.99</v>
      </c>
      <c r="J1488" s="5">
        <f>PRODUCT(Sales[[#This Row],[Quantity Sold]],Sales[[#This Row],[Unit Selling Price (CAD)]])</f>
        <v>401.33000000000004</v>
      </c>
    </row>
    <row r="1489" spans="1:10">
      <c r="A1489" t="s">
        <v>1937</v>
      </c>
      <c r="B1489" s="2">
        <v>46222</v>
      </c>
      <c r="C1489" t="s">
        <v>201</v>
      </c>
      <c r="D1489" t="s">
        <v>202</v>
      </c>
      <c r="E1489" t="str">
        <f>_xlfn.XLOOKUP(Sales[[#This Row],[Product Name]],Products[Product Name],Products[Category])</f>
        <v>Sides</v>
      </c>
      <c r="F1489" t="s">
        <v>449</v>
      </c>
      <c r="G1489" t="s">
        <v>450</v>
      </c>
      <c r="H1489">
        <v>48</v>
      </c>
      <c r="I1489" s="5">
        <f>_xlfn.XLOOKUP(Sales[[#This Row],[Product Name]],Products[Product Name],Products[Selling Price (CAD)])</f>
        <v>3.99</v>
      </c>
      <c r="J1489" s="5">
        <f>PRODUCT(Sales[[#This Row],[Quantity Sold]],Sales[[#This Row],[Unit Selling Price (CAD)]])</f>
        <v>191.52</v>
      </c>
    </row>
    <row r="1490" spans="1:10">
      <c r="A1490" t="s">
        <v>1938</v>
      </c>
      <c r="B1490" s="2">
        <v>46222</v>
      </c>
      <c r="C1490" t="s">
        <v>113</v>
      </c>
      <c r="D1490" t="s">
        <v>114</v>
      </c>
      <c r="E1490" t="str">
        <f>_xlfn.XLOOKUP(Sales[[#This Row],[Product Name]],Products[Product Name],Products[Category])</f>
        <v>Chicken</v>
      </c>
      <c r="F1490" t="s">
        <v>444</v>
      </c>
      <c r="G1490" t="s">
        <v>450</v>
      </c>
      <c r="H1490">
        <v>60</v>
      </c>
      <c r="I1490" s="5">
        <f>_xlfn.XLOOKUP(Sales[[#This Row],[Product Name]],Products[Product Name],Products[Selling Price (CAD)])</f>
        <v>5.99</v>
      </c>
      <c r="J1490" s="5">
        <f>PRODUCT(Sales[[#This Row],[Quantity Sold]],Sales[[#This Row],[Unit Selling Price (CAD)]])</f>
        <v>359.40000000000003</v>
      </c>
    </row>
    <row r="1491" spans="1:10">
      <c r="A1491" t="s">
        <v>1939</v>
      </c>
      <c r="B1491" s="2">
        <v>46222</v>
      </c>
      <c r="C1491" t="s">
        <v>307</v>
      </c>
      <c r="D1491" t="s">
        <v>308</v>
      </c>
      <c r="E1491" t="str">
        <f>_xlfn.XLOOKUP(Sales[[#This Row],[Product Name]],Products[Product Name],Products[Category])</f>
        <v>Beverages</v>
      </c>
      <c r="F1491" t="s">
        <v>447</v>
      </c>
      <c r="G1491" t="s">
        <v>450</v>
      </c>
      <c r="H1491">
        <v>35</v>
      </c>
      <c r="I1491" s="5">
        <f>_xlfn.XLOOKUP(Sales[[#This Row],[Product Name]],Products[Product Name],Products[Selling Price (CAD)])</f>
        <v>2.99</v>
      </c>
      <c r="J1491" s="5">
        <f>PRODUCT(Sales[[#This Row],[Quantity Sold]],Sales[[#This Row],[Unit Selling Price (CAD)]])</f>
        <v>104.65</v>
      </c>
    </row>
    <row r="1492" spans="1:10">
      <c r="A1492" t="s">
        <v>1940</v>
      </c>
      <c r="B1492" s="2">
        <v>46222</v>
      </c>
      <c r="C1492" t="s">
        <v>12</v>
      </c>
      <c r="D1492" t="s">
        <v>13</v>
      </c>
      <c r="E1492" t="str">
        <f>_xlfn.XLOOKUP(Sales[[#This Row],[Product Name]],Products[Product Name],Products[Category])</f>
        <v>Burgers</v>
      </c>
      <c r="F1492" t="s">
        <v>449</v>
      </c>
      <c r="G1492" t="s">
        <v>450</v>
      </c>
      <c r="H1492">
        <v>37</v>
      </c>
      <c r="I1492" s="5">
        <f>_xlfn.XLOOKUP(Sales[[#This Row],[Product Name]],Products[Product Name],Products[Selling Price (CAD)])</f>
        <v>5.99</v>
      </c>
      <c r="J1492" s="5">
        <f>PRODUCT(Sales[[#This Row],[Quantity Sold]],Sales[[#This Row],[Unit Selling Price (CAD)]])</f>
        <v>221.63</v>
      </c>
    </row>
    <row r="1493" spans="1:10">
      <c r="A1493" t="s">
        <v>1941</v>
      </c>
      <c r="B1493" s="2">
        <v>46222</v>
      </c>
      <c r="C1493" t="s">
        <v>56</v>
      </c>
      <c r="D1493" t="s">
        <v>57</v>
      </c>
      <c r="E1493" t="str">
        <f>_xlfn.XLOOKUP(Sales[[#This Row],[Product Name]],Products[Product Name],Products[Category])</f>
        <v>Burgers</v>
      </c>
      <c r="F1493" t="s">
        <v>447</v>
      </c>
      <c r="G1493" t="s">
        <v>445</v>
      </c>
      <c r="H1493">
        <v>31</v>
      </c>
      <c r="I1493" s="5">
        <f>_xlfn.XLOOKUP(Sales[[#This Row],[Product Name]],Products[Product Name],Products[Selling Price (CAD)])</f>
        <v>6.49</v>
      </c>
      <c r="J1493" s="5">
        <f>PRODUCT(Sales[[#This Row],[Quantity Sold]],Sales[[#This Row],[Unit Selling Price (CAD)]])</f>
        <v>201.19</v>
      </c>
    </row>
    <row r="1494" spans="1:10">
      <c r="A1494" t="s">
        <v>1942</v>
      </c>
      <c r="B1494" s="2">
        <v>46222</v>
      </c>
      <c r="C1494" t="s">
        <v>277</v>
      </c>
      <c r="D1494" t="s">
        <v>278</v>
      </c>
      <c r="E1494" t="str">
        <f>_xlfn.XLOOKUP(Sales[[#This Row],[Product Name]],Products[Product Name],Products[Category])</f>
        <v>Beverages</v>
      </c>
      <c r="F1494" t="s">
        <v>444</v>
      </c>
      <c r="G1494" t="s">
        <v>450</v>
      </c>
      <c r="H1494">
        <v>77</v>
      </c>
      <c r="I1494" s="5">
        <f>_xlfn.XLOOKUP(Sales[[#This Row],[Product Name]],Products[Product Name],Products[Selling Price (CAD)])</f>
        <v>1.99</v>
      </c>
      <c r="J1494" s="5">
        <f>PRODUCT(Sales[[#This Row],[Quantity Sold]],Sales[[#This Row],[Unit Selling Price (CAD)]])</f>
        <v>153.22999999999999</v>
      </c>
    </row>
    <row r="1495" spans="1:10">
      <c r="A1495" t="s">
        <v>1943</v>
      </c>
      <c r="B1495" s="2">
        <v>46222</v>
      </c>
      <c r="C1495" t="s">
        <v>185</v>
      </c>
      <c r="D1495" t="s">
        <v>186</v>
      </c>
      <c r="E1495" t="str">
        <f>_xlfn.XLOOKUP(Sales[[#This Row],[Product Name]],Products[Product Name],Products[Category])</f>
        <v>Sides</v>
      </c>
      <c r="F1495" t="s">
        <v>444</v>
      </c>
      <c r="G1495" t="s">
        <v>454</v>
      </c>
      <c r="H1495">
        <v>68</v>
      </c>
      <c r="I1495" s="5">
        <f>_xlfn.XLOOKUP(Sales[[#This Row],[Product Name]],Products[Product Name],Products[Selling Price (CAD)])</f>
        <v>3.49</v>
      </c>
      <c r="J1495" s="5">
        <f>PRODUCT(Sales[[#This Row],[Quantity Sold]],Sales[[#This Row],[Unit Selling Price (CAD)]])</f>
        <v>237.32000000000002</v>
      </c>
    </row>
    <row r="1496" spans="1:10">
      <c r="A1496" t="s">
        <v>1944</v>
      </c>
      <c r="B1496" s="2">
        <v>46223</v>
      </c>
      <c r="C1496" t="s">
        <v>269</v>
      </c>
      <c r="D1496" t="s">
        <v>270</v>
      </c>
      <c r="E1496" t="str">
        <f>_xlfn.XLOOKUP(Sales[[#This Row],[Product Name]],Products[Product Name],Products[Category])</f>
        <v>Beverages</v>
      </c>
      <c r="F1496" t="s">
        <v>444</v>
      </c>
      <c r="G1496" t="s">
        <v>450</v>
      </c>
      <c r="H1496">
        <v>58</v>
      </c>
      <c r="I1496" s="5">
        <f>_xlfn.XLOOKUP(Sales[[#This Row],[Product Name]],Products[Product Name],Products[Selling Price (CAD)])</f>
        <v>2.99</v>
      </c>
      <c r="J1496" s="5">
        <f>PRODUCT(Sales[[#This Row],[Quantity Sold]],Sales[[#This Row],[Unit Selling Price (CAD)]])</f>
        <v>173.42000000000002</v>
      </c>
    </row>
    <row r="1497" spans="1:10">
      <c r="A1497" t="s">
        <v>1945</v>
      </c>
      <c r="B1497" s="2">
        <v>46223</v>
      </c>
      <c r="C1497" t="s">
        <v>213</v>
      </c>
      <c r="D1497" t="s">
        <v>214</v>
      </c>
      <c r="E1497" t="str">
        <f>_xlfn.XLOOKUP(Sales[[#This Row],[Product Name]],Products[Product Name],Products[Category])</f>
        <v>Sides</v>
      </c>
      <c r="F1497" t="s">
        <v>444</v>
      </c>
      <c r="G1497" t="s">
        <v>454</v>
      </c>
      <c r="H1497">
        <v>47</v>
      </c>
      <c r="I1497" s="5">
        <f>_xlfn.XLOOKUP(Sales[[#This Row],[Product Name]],Products[Product Name],Products[Selling Price (CAD)])</f>
        <v>4.99</v>
      </c>
      <c r="J1497" s="5">
        <f>PRODUCT(Sales[[#This Row],[Quantity Sold]],Sales[[#This Row],[Unit Selling Price (CAD)]])</f>
        <v>234.53</v>
      </c>
    </row>
    <row r="1498" spans="1:10">
      <c r="A1498" t="s">
        <v>1946</v>
      </c>
      <c r="B1498" s="2">
        <v>46223</v>
      </c>
      <c r="C1498" t="s">
        <v>219</v>
      </c>
      <c r="D1498" t="s">
        <v>220</v>
      </c>
      <c r="E1498" t="str">
        <f>_xlfn.XLOOKUP(Sales[[#This Row],[Product Name]],Products[Product Name],Products[Category])</f>
        <v>Sides</v>
      </c>
      <c r="F1498" t="s">
        <v>449</v>
      </c>
      <c r="G1498" t="s">
        <v>452</v>
      </c>
      <c r="H1498">
        <v>47</v>
      </c>
      <c r="I1498" s="5">
        <f>_xlfn.XLOOKUP(Sales[[#This Row],[Product Name]],Products[Product Name],Products[Selling Price (CAD)])</f>
        <v>3.49</v>
      </c>
      <c r="J1498" s="5">
        <f>PRODUCT(Sales[[#This Row],[Quantity Sold]],Sales[[#This Row],[Unit Selling Price (CAD)]])</f>
        <v>164.03</v>
      </c>
    </row>
    <row r="1499" spans="1:10">
      <c r="A1499" t="s">
        <v>1947</v>
      </c>
      <c r="B1499" s="2">
        <v>46223</v>
      </c>
      <c r="C1499" t="s">
        <v>289</v>
      </c>
      <c r="D1499" t="s">
        <v>290</v>
      </c>
      <c r="E1499" t="str">
        <f>_xlfn.XLOOKUP(Sales[[#This Row],[Product Name]],Products[Product Name],Products[Category])</f>
        <v>Beverages</v>
      </c>
      <c r="F1499" t="s">
        <v>447</v>
      </c>
      <c r="G1499" t="s">
        <v>445</v>
      </c>
      <c r="H1499">
        <v>39</v>
      </c>
      <c r="I1499" s="5">
        <f>_xlfn.XLOOKUP(Sales[[#This Row],[Product Name]],Products[Product Name],Products[Selling Price (CAD)])</f>
        <v>2.99</v>
      </c>
      <c r="J1499" s="5">
        <f>PRODUCT(Sales[[#This Row],[Quantity Sold]],Sales[[#This Row],[Unit Selling Price (CAD)]])</f>
        <v>116.61000000000001</v>
      </c>
    </row>
    <row r="1500" spans="1:10">
      <c r="A1500" t="s">
        <v>1948</v>
      </c>
      <c r="B1500" s="2">
        <v>46223</v>
      </c>
      <c r="C1500" t="s">
        <v>12</v>
      </c>
      <c r="D1500" t="s">
        <v>13</v>
      </c>
      <c r="E1500" t="str">
        <f>_xlfn.XLOOKUP(Sales[[#This Row],[Product Name]],Products[Product Name],Products[Category])</f>
        <v>Burgers</v>
      </c>
      <c r="F1500" t="s">
        <v>444</v>
      </c>
      <c r="G1500" t="s">
        <v>450</v>
      </c>
      <c r="H1500">
        <v>53</v>
      </c>
      <c r="I1500" s="5">
        <f>_xlfn.XLOOKUP(Sales[[#This Row],[Product Name]],Products[Product Name],Products[Selling Price (CAD)])</f>
        <v>5.99</v>
      </c>
      <c r="J1500" s="5">
        <f>PRODUCT(Sales[[#This Row],[Quantity Sold]],Sales[[#This Row],[Unit Selling Price (CAD)]])</f>
        <v>317.47000000000003</v>
      </c>
    </row>
    <row r="1501" spans="1:10">
      <c r="A1501" t="s">
        <v>1949</v>
      </c>
      <c r="B1501" s="2">
        <v>46224</v>
      </c>
      <c r="C1501" t="s">
        <v>127</v>
      </c>
      <c r="D1501" t="s">
        <v>128</v>
      </c>
      <c r="E1501" t="str">
        <f>_xlfn.XLOOKUP(Sales[[#This Row],[Product Name]],Products[Product Name],Products[Category])</f>
        <v>Chicken</v>
      </c>
      <c r="F1501" t="s">
        <v>447</v>
      </c>
      <c r="G1501" t="s">
        <v>452</v>
      </c>
      <c r="H1501">
        <v>63</v>
      </c>
      <c r="I1501" s="5">
        <f>_xlfn.XLOOKUP(Sales[[#This Row],[Product Name]],Products[Product Name],Products[Selling Price (CAD)])</f>
        <v>6.99</v>
      </c>
      <c r="J1501" s="5">
        <f>PRODUCT(Sales[[#This Row],[Quantity Sold]],Sales[[#This Row],[Unit Selling Price (CAD)]])</f>
        <v>440.37</v>
      </c>
    </row>
    <row r="1502" spans="1:10">
      <c r="A1502" t="s">
        <v>1950</v>
      </c>
      <c r="B1502" s="2">
        <v>46224</v>
      </c>
      <c r="C1502" t="s">
        <v>291</v>
      </c>
      <c r="D1502" t="s">
        <v>292</v>
      </c>
      <c r="E1502" t="str">
        <f>_xlfn.XLOOKUP(Sales[[#This Row],[Product Name]],Products[Product Name],Products[Category])</f>
        <v>Beverages</v>
      </c>
      <c r="F1502" t="s">
        <v>447</v>
      </c>
      <c r="G1502" t="s">
        <v>452</v>
      </c>
      <c r="H1502">
        <v>78</v>
      </c>
      <c r="I1502" s="5">
        <f>_xlfn.XLOOKUP(Sales[[#This Row],[Product Name]],Products[Product Name],Products[Selling Price (CAD)])</f>
        <v>3.99</v>
      </c>
      <c r="J1502" s="5">
        <f>PRODUCT(Sales[[#This Row],[Quantity Sold]],Sales[[#This Row],[Unit Selling Price (CAD)]])</f>
        <v>311.22000000000003</v>
      </c>
    </row>
    <row r="1503" spans="1:10">
      <c r="A1503" t="s">
        <v>1951</v>
      </c>
      <c r="B1503" s="2">
        <v>46224</v>
      </c>
      <c r="C1503" t="s">
        <v>199</v>
      </c>
      <c r="D1503" t="s">
        <v>200</v>
      </c>
      <c r="E1503" t="str">
        <f>_xlfn.XLOOKUP(Sales[[#This Row],[Product Name]],Products[Product Name],Products[Category])</f>
        <v>Sides</v>
      </c>
      <c r="F1503" t="s">
        <v>449</v>
      </c>
      <c r="G1503" t="s">
        <v>454</v>
      </c>
      <c r="H1503">
        <v>62</v>
      </c>
      <c r="I1503" s="5">
        <f>_xlfn.XLOOKUP(Sales[[#This Row],[Product Name]],Products[Product Name],Products[Selling Price (CAD)])</f>
        <v>4.99</v>
      </c>
      <c r="J1503" s="5">
        <f>PRODUCT(Sales[[#This Row],[Quantity Sold]],Sales[[#This Row],[Unit Selling Price (CAD)]])</f>
        <v>309.38</v>
      </c>
    </row>
    <row r="1504" spans="1:10">
      <c r="A1504" t="s">
        <v>1952</v>
      </c>
      <c r="B1504" s="2">
        <v>46224</v>
      </c>
      <c r="C1504" t="s">
        <v>394</v>
      </c>
      <c r="D1504" t="s">
        <v>395</v>
      </c>
      <c r="E1504" t="str">
        <f>_xlfn.XLOOKUP(Sales[[#This Row],[Product Name]],Products[Product Name],Products[Category])</f>
        <v>Sauces &amp; Add-ons</v>
      </c>
      <c r="F1504" t="s">
        <v>447</v>
      </c>
      <c r="G1504" t="s">
        <v>450</v>
      </c>
      <c r="H1504">
        <v>51</v>
      </c>
      <c r="I1504" s="5">
        <f>_xlfn.XLOOKUP(Sales[[#This Row],[Product Name]],Products[Product Name],Products[Selling Price (CAD)])</f>
        <v>0.5</v>
      </c>
      <c r="J1504" s="5">
        <f>PRODUCT(Sales[[#This Row],[Quantity Sold]],Sales[[#This Row],[Unit Selling Price (CAD)]])</f>
        <v>25.5</v>
      </c>
    </row>
    <row r="1505" spans="1:10">
      <c r="A1505" t="s">
        <v>1953</v>
      </c>
      <c r="B1505" s="2">
        <v>46224</v>
      </c>
      <c r="C1505" t="s">
        <v>187</v>
      </c>
      <c r="D1505" t="s">
        <v>188</v>
      </c>
      <c r="E1505" t="str">
        <f>_xlfn.XLOOKUP(Sales[[#This Row],[Product Name]],Products[Product Name],Products[Category])</f>
        <v>Sides</v>
      </c>
      <c r="F1505" t="s">
        <v>449</v>
      </c>
      <c r="G1505" t="s">
        <v>454</v>
      </c>
      <c r="H1505">
        <v>31</v>
      </c>
      <c r="I1505" s="5">
        <f>_xlfn.XLOOKUP(Sales[[#This Row],[Product Name]],Products[Product Name],Products[Selling Price (CAD)])</f>
        <v>4.49</v>
      </c>
      <c r="J1505" s="5">
        <f>PRODUCT(Sales[[#This Row],[Quantity Sold]],Sales[[#This Row],[Unit Selling Price (CAD)]])</f>
        <v>139.19</v>
      </c>
    </row>
    <row r="1506" spans="1:10">
      <c r="A1506" t="s">
        <v>1954</v>
      </c>
      <c r="B1506" s="2">
        <v>46224</v>
      </c>
      <c r="C1506" t="s">
        <v>78</v>
      </c>
      <c r="D1506" t="s">
        <v>79</v>
      </c>
      <c r="E1506" t="str">
        <f>_xlfn.XLOOKUP(Sales[[#This Row],[Product Name]],Products[Product Name],Products[Category])</f>
        <v>Burgers</v>
      </c>
      <c r="F1506" t="s">
        <v>449</v>
      </c>
      <c r="G1506" t="s">
        <v>454</v>
      </c>
      <c r="H1506">
        <v>68</v>
      </c>
      <c r="I1506" s="5">
        <f>_xlfn.XLOOKUP(Sales[[#This Row],[Product Name]],Products[Product Name],Products[Selling Price (CAD)])</f>
        <v>3.99</v>
      </c>
      <c r="J1506" s="5">
        <f>PRODUCT(Sales[[#This Row],[Quantity Sold]],Sales[[#This Row],[Unit Selling Price (CAD)]])</f>
        <v>271.32</v>
      </c>
    </row>
    <row r="1507" spans="1:10">
      <c r="A1507" t="s">
        <v>1955</v>
      </c>
      <c r="B1507" s="2">
        <v>46224</v>
      </c>
      <c r="C1507" t="s">
        <v>42</v>
      </c>
      <c r="D1507" t="s">
        <v>43</v>
      </c>
      <c r="E1507" t="str">
        <f>_xlfn.XLOOKUP(Sales[[#This Row],[Product Name]],Products[Product Name],Products[Category])</f>
        <v>Burgers</v>
      </c>
      <c r="F1507" t="s">
        <v>449</v>
      </c>
      <c r="G1507" t="s">
        <v>452</v>
      </c>
      <c r="H1507">
        <v>70</v>
      </c>
      <c r="I1507" s="5">
        <f>_xlfn.XLOOKUP(Sales[[#This Row],[Product Name]],Products[Product Name],Products[Selling Price (CAD)])</f>
        <v>8.99</v>
      </c>
      <c r="J1507" s="5">
        <f>PRODUCT(Sales[[#This Row],[Quantity Sold]],Sales[[#This Row],[Unit Selling Price (CAD)]])</f>
        <v>629.30000000000007</v>
      </c>
    </row>
    <row r="1508" spans="1:10">
      <c r="A1508" t="s">
        <v>1956</v>
      </c>
      <c r="B1508" s="2">
        <v>46224</v>
      </c>
      <c r="C1508" t="s">
        <v>273</v>
      </c>
      <c r="D1508" t="s">
        <v>274</v>
      </c>
      <c r="E1508" t="str">
        <f>_xlfn.XLOOKUP(Sales[[#This Row],[Product Name]],Products[Product Name],Products[Category])</f>
        <v>Beverages</v>
      </c>
      <c r="F1508" t="s">
        <v>447</v>
      </c>
      <c r="G1508" t="s">
        <v>452</v>
      </c>
      <c r="H1508">
        <v>34</v>
      </c>
      <c r="I1508" s="5">
        <f>_xlfn.XLOOKUP(Sales[[#This Row],[Product Name]],Products[Product Name],Products[Selling Price (CAD)])</f>
        <v>2.99</v>
      </c>
      <c r="J1508" s="5">
        <f>PRODUCT(Sales[[#This Row],[Quantity Sold]],Sales[[#This Row],[Unit Selling Price (CAD)]])</f>
        <v>101.66000000000001</v>
      </c>
    </row>
    <row r="1509" spans="1:10">
      <c r="A1509" t="s">
        <v>1957</v>
      </c>
      <c r="B1509" s="2">
        <v>46225</v>
      </c>
      <c r="C1509" t="s">
        <v>407</v>
      </c>
      <c r="D1509" t="s">
        <v>408</v>
      </c>
      <c r="E1509" t="str">
        <f>_xlfn.XLOOKUP(Sales[[#This Row],[Product Name]],Products[Product Name],Products[Category])</f>
        <v>Combo Meals</v>
      </c>
      <c r="F1509" t="s">
        <v>444</v>
      </c>
      <c r="G1509" t="s">
        <v>450</v>
      </c>
      <c r="H1509">
        <v>48</v>
      </c>
      <c r="I1509" s="5">
        <f>_xlfn.XLOOKUP(Sales[[#This Row],[Product Name]],Products[Product Name],Products[Selling Price (CAD)])</f>
        <v>10.99</v>
      </c>
      <c r="J1509" s="5">
        <f>PRODUCT(Sales[[#This Row],[Quantity Sold]],Sales[[#This Row],[Unit Selling Price (CAD)]])</f>
        <v>527.52</v>
      </c>
    </row>
    <row r="1510" spans="1:10">
      <c r="A1510" t="s">
        <v>1958</v>
      </c>
      <c r="B1510" s="2">
        <v>46225</v>
      </c>
      <c r="C1510" t="s">
        <v>76</v>
      </c>
      <c r="D1510" t="s">
        <v>77</v>
      </c>
      <c r="E1510" t="str">
        <f>_xlfn.XLOOKUP(Sales[[#This Row],[Product Name]],Products[Product Name],Products[Category])</f>
        <v>Burgers</v>
      </c>
      <c r="F1510" t="s">
        <v>444</v>
      </c>
      <c r="G1510" t="s">
        <v>445</v>
      </c>
      <c r="H1510">
        <v>39</v>
      </c>
      <c r="I1510" s="5">
        <f>_xlfn.XLOOKUP(Sales[[#This Row],[Product Name]],Products[Product Name],Products[Selling Price (CAD)])</f>
        <v>2.99</v>
      </c>
      <c r="J1510" s="5">
        <f>PRODUCT(Sales[[#This Row],[Quantity Sold]],Sales[[#This Row],[Unit Selling Price (CAD)]])</f>
        <v>116.61000000000001</v>
      </c>
    </row>
    <row r="1511" spans="1:10">
      <c r="A1511" t="s">
        <v>1959</v>
      </c>
      <c r="B1511" s="2">
        <v>46225</v>
      </c>
      <c r="C1511" t="s">
        <v>411</v>
      </c>
      <c r="D1511" t="s">
        <v>412</v>
      </c>
      <c r="E1511" t="str">
        <f>_xlfn.XLOOKUP(Sales[[#This Row],[Product Name]],Products[Product Name],Products[Category])</f>
        <v>Combo Meals</v>
      </c>
      <c r="F1511" t="s">
        <v>447</v>
      </c>
      <c r="G1511" t="s">
        <v>452</v>
      </c>
      <c r="H1511">
        <v>69</v>
      </c>
      <c r="I1511" s="5">
        <f>_xlfn.XLOOKUP(Sales[[#This Row],[Product Name]],Products[Product Name],Products[Selling Price (CAD)])</f>
        <v>10.99</v>
      </c>
      <c r="J1511" s="5">
        <f>PRODUCT(Sales[[#This Row],[Quantity Sold]],Sales[[#This Row],[Unit Selling Price (CAD)]])</f>
        <v>758.31000000000006</v>
      </c>
    </row>
    <row r="1512" spans="1:10">
      <c r="A1512" t="s">
        <v>1960</v>
      </c>
      <c r="B1512" s="2">
        <v>46225</v>
      </c>
      <c r="C1512" t="s">
        <v>239</v>
      </c>
      <c r="D1512" t="s">
        <v>240</v>
      </c>
      <c r="E1512" t="str">
        <f>_xlfn.XLOOKUP(Sales[[#This Row],[Product Name]],Products[Product Name],Products[Category])</f>
        <v>Salads</v>
      </c>
      <c r="F1512" t="s">
        <v>449</v>
      </c>
      <c r="G1512" t="s">
        <v>450</v>
      </c>
      <c r="H1512">
        <v>42</v>
      </c>
      <c r="I1512" s="5">
        <f>_xlfn.XLOOKUP(Sales[[#This Row],[Product Name]],Products[Product Name],Products[Selling Price (CAD)])</f>
        <v>9.49</v>
      </c>
      <c r="J1512" s="5">
        <f>PRODUCT(Sales[[#This Row],[Quantity Sold]],Sales[[#This Row],[Unit Selling Price (CAD)]])</f>
        <v>398.58</v>
      </c>
    </row>
    <row r="1513" spans="1:10">
      <c r="A1513" t="s">
        <v>1961</v>
      </c>
      <c r="B1513" s="2">
        <v>46225</v>
      </c>
      <c r="C1513" t="s">
        <v>56</v>
      </c>
      <c r="D1513" t="s">
        <v>57</v>
      </c>
      <c r="E1513" t="str">
        <f>_xlfn.XLOOKUP(Sales[[#This Row],[Product Name]],Products[Product Name],Products[Category])</f>
        <v>Burgers</v>
      </c>
      <c r="F1513" t="s">
        <v>449</v>
      </c>
      <c r="G1513" t="s">
        <v>452</v>
      </c>
      <c r="H1513">
        <v>46</v>
      </c>
      <c r="I1513" s="5">
        <f>_xlfn.XLOOKUP(Sales[[#This Row],[Product Name]],Products[Product Name],Products[Selling Price (CAD)])</f>
        <v>6.49</v>
      </c>
      <c r="J1513" s="5">
        <f>PRODUCT(Sales[[#This Row],[Quantity Sold]],Sales[[#This Row],[Unit Selling Price (CAD)]])</f>
        <v>298.54000000000002</v>
      </c>
    </row>
    <row r="1514" spans="1:10">
      <c r="A1514" t="s">
        <v>1962</v>
      </c>
      <c r="B1514" s="2">
        <v>46225</v>
      </c>
      <c r="C1514" t="s">
        <v>261</v>
      </c>
      <c r="D1514" t="s">
        <v>262</v>
      </c>
      <c r="E1514" t="str">
        <f>_xlfn.XLOOKUP(Sales[[#This Row],[Product Name]],Products[Product Name],Products[Category])</f>
        <v>Beverages</v>
      </c>
      <c r="F1514" t="s">
        <v>447</v>
      </c>
      <c r="G1514" t="s">
        <v>450</v>
      </c>
      <c r="H1514">
        <v>33</v>
      </c>
      <c r="I1514" s="5">
        <f>_xlfn.XLOOKUP(Sales[[#This Row],[Product Name]],Products[Product Name],Products[Selling Price (CAD)])</f>
        <v>2.99</v>
      </c>
      <c r="J1514" s="5">
        <f>PRODUCT(Sales[[#This Row],[Quantity Sold]],Sales[[#This Row],[Unit Selling Price (CAD)]])</f>
        <v>98.67</v>
      </c>
    </row>
    <row r="1515" spans="1:10">
      <c r="A1515" t="s">
        <v>1963</v>
      </c>
      <c r="B1515" s="2">
        <v>46226</v>
      </c>
      <c r="C1515" t="s">
        <v>307</v>
      </c>
      <c r="D1515" t="s">
        <v>308</v>
      </c>
      <c r="E1515" t="str">
        <f>_xlfn.XLOOKUP(Sales[[#This Row],[Product Name]],Products[Product Name],Products[Category])</f>
        <v>Beverages</v>
      </c>
      <c r="F1515" t="s">
        <v>447</v>
      </c>
      <c r="G1515" t="s">
        <v>450</v>
      </c>
      <c r="H1515">
        <v>37</v>
      </c>
      <c r="I1515" s="5">
        <f>_xlfn.XLOOKUP(Sales[[#This Row],[Product Name]],Products[Product Name],Products[Selling Price (CAD)])</f>
        <v>2.99</v>
      </c>
      <c r="J1515" s="5">
        <f>PRODUCT(Sales[[#This Row],[Quantity Sold]],Sales[[#This Row],[Unit Selling Price (CAD)]])</f>
        <v>110.63000000000001</v>
      </c>
    </row>
    <row r="1516" spans="1:10">
      <c r="A1516" t="s">
        <v>1964</v>
      </c>
      <c r="B1516" s="2">
        <v>46226</v>
      </c>
      <c r="C1516" t="s">
        <v>394</v>
      </c>
      <c r="D1516" t="s">
        <v>395</v>
      </c>
      <c r="E1516" t="str">
        <f>_xlfn.XLOOKUP(Sales[[#This Row],[Product Name]],Products[Product Name],Products[Category])</f>
        <v>Sauces &amp; Add-ons</v>
      </c>
      <c r="F1516" t="s">
        <v>447</v>
      </c>
      <c r="G1516" t="s">
        <v>450</v>
      </c>
      <c r="H1516">
        <v>30</v>
      </c>
      <c r="I1516" s="5">
        <f>_xlfn.XLOOKUP(Sales[[#This Row],[Product Name]],Products[Product Name],Products[Selling Price (CAD)])</f>
        <v>0.5</v>
      </c>
      <c r="J1516" s="5">
        <f>PRODUCT(Sales[[#This Row],[Quantity Sold]],Sales[[#This Row],[Unit Selling Price (CAD)]])</f>
        <v>15</v>
      </c>
    </row>
    <row r="1517" spans="1:10">
      <c r="A1517" t="s">
        <v>1965</v>
      </c>
      <c r="B1517" s="2">
        <v>46227</v>
      </c>
      <c r="C1517" t="s">
        <v>121</v>
      </c>
      <c r="D1517" t="s">
        <v>122</v>
      </c>
      <c r="E1517" t="str">
        <f>_xlfn.XLOOKUP(Sales[[#This Row],[Product Name]],Products[Product Name],Products[Category])</f>
        <v>Chicken</v>
      </c>
      <c r="F1517" t="s">
        <v>449</v>
      </c>
      <c r="G1517" t="s">
        <v>450</v>
      </c>
      <c r="H1517">
        <v>49</v>
      </c>
      <c r="I1517" s="5">
        <f>_xlfn.XLOOKUP(Sales[[#This Row],[Product Name]],Products[Product Name],Products[Selling Price (CAD)])</f>
        <v>11.99</v>
      </c>
      <c r="J1517" s="5">
        <f>PRODUCT(Sales[[#This Row],[Quantity Sold]],Sales[[#This Row],[Unit Selling Price (CAD)]])</f>
        <v>587.51</v>
      </c>
    </row>
    <row r="1518" spans="1:10">
      <c r="A1518" t="s">
        <v>1966</v>
      </c>
      <c r="B1518" s="2">
        <v>46227</v>
      </c>
      <c r="C1518" t="s">
        <v>72</v>
      </c>
      <c r="D1518" t="s">
        <v>73</v>
      </c>
      <c r="E1518" t="str">
        <f>_xlfn.XLOOKUP(Sales[[#This Row],[Product Name]],Products[Product Name],Products[Category])</f>
        <v>Burgers</v>
      </c>
      <c r="F1518" t="s">
        <v>444</v>
      </c>
      <c r="G1518" t="s">
        <v>454</v>
      </c>
      <c r="H1518">
        <v>37</v>
      </c>
      <c r="I1518" s="5">
        <f>_xlfn.XLOOKUP(Sales[[#This Row],[Product Name]],Products[Product Name],Products[Selling Price (CAD)])</f>
        <v>6.99</v>
      </c>
      <c r="J1518" s="5">
        <f>PRODUCT(Sales[[#This Row],[Quantity Sold]],Sales[[#This Row],[Unit Selling Price (CAD)]])</f>
        <v>258.63</v>
      </c>
    </row>
    <row r="1519" spans="1:10">
      <c r="A1519" t="s">
        <v>1967</v>
      </c>
      <c r="B1519" s="2">
        <v>46227</v>
      </c>
      <c r="C1519" t="s">
        <v>255</v>
      </c>
      <c r="D1519" t="s">
        <v>256</v>
      </c>
      <c r="E1519" t="str">
        <f>_xlfn.XLOOKUP(Sales[[#This Row],[Product Name]],Products[Product Name],Products[Category])</f>
        <v>Beverages</v>
      </c>
      <c r="F1519" t="s">
        <v>444</v>
      </c>
      <c r="G1519" t="s">
        <v>450</v>
      </c>
      <c r="H1519">
        <v>73</v>
      </c>
      <c r="I1519" s="5">
        <f>_xlfn.XLOOKUP(Sales[[#This Row],[Product Name]],Products[Product Name],Products[Selling Price (CAD)])</f>
        <v>2.99</v>
      </c>
      <c r="J1519" s="5">
        <f>PRODUCT(Sales[[#This Row],[Quantity Sold]],Sales[[#This Row],[Unit Selling Price (CAD)]])</f>
        <v>218.27</v>
      </c>
    </row>
    <row r="1520" spans="1:10">
      <c r="A1520" t="s">
        <v>1968</v>
      </c>
      <c r="B1520" s="2">
        <v>46227</v>
      </c>
      <c r="C1520" t="s">
        <v>87</v>
      </c>
      <c r="D1520" t="s">
        <v>88</v>
      </c>
      <c r="E1520" t="str">
        <f>_xlfn.XLOOKUP(Sales[[#This Row],[Product Name]],Products[Product Name],Products[Category])</f>
        <v>Chicken</v>
      </c>
      <c r="F1520" t="s">
        <v>449</v>
      </c>
      <c r="G1520" t="s">
        <v>452</v>
      </c>
      <c r="H1520">
        <v>31</v>
      </c>
      <c r="I1520" s="5">
        <f>_xlfn.XLOOKUP(Sales[[#This Row],[Product Name]],Products[Product Name],Products[Selling Price (CAD)])</f>
        <v>6.99</v>
      </c>
      <c r="J1520" s="5">
        <f>PRODUCT(Sales[[#This Row],[Quantity Sold]],Sales[[#This Row],[Unit Selling Price (CAD)]])</f>
        <v>216.69</v>
      </c>
    </row>
    <row r="1521" spans="1:10">
      <c r="A1521" t="s">
        <v>1969</v>
      </c>
      <c r="B1521" s="2">
        <v>46227</v>
      </c>
      <c r="C1521" t="s">
        <v>151</v>
      </c>
      <c r="D1521" t="s">
        <v>152</v>
      </c>
      <c r="E1521" t="str">
        <f>_xlfn.XLOOKUP(Sales[[#This Row],[Product Name]],Products[Product Name],Products[Category])</f>
        <v>Breakfast</v>
      </c>
      <c r="F1521" t="s">
        <v>447</v>
      </c>
      <c r="G1521" t="s">
        <v>450</v>
      </c>
      <c r="H1521">
        <v>65</v>
      </c>
      <c r="I1521" s="5">
        <f>_xlfn.XLOOKUP(Sales[[#This Row],[Product Name]],Products[Product Name],Products[Selling Price (CAD)])</f>
        <v>5.99</v>
      </c>
      <c r="J1521" s="5">
        <f>PRODUCT(Sales[[#This Row],[Quantity Sold]],Sales[[#This Row],[Unit Selling Price (CAD)]])</f>
        <v>389.35</v>
      </c>
    </row>
    <row r="1522" spans="1:10">
      <c r="A1522" t="s">
        <v>1970</v>
      </c>
      <c r="B1522" s="2">
        <v>46227</v>
      </c>
      <c r="C1522" t="s">
        <v>368</v>
      </c>
      <c r="D1522" t="s">
        <v>369</v>
      </c>
      <c r="E1522" t="str">
        <f>_xlfn.XLOOKUP(Sales[[#This Row],[Product Name]],Products[Product Name],Products[Category])</f>
        <v>Kids Meals</v>
      </c>
      <c r="F1522" t="s">
        <v>449</v>
      </c>
      <c r="G1522" t="s">
        <v>450</v>
      </c>
      <c r="H1522">
        <v>43</v>
      </c>
      <c r="I1522" s="5">
        <f>_xlfn.XLOOKUP(Sales[[#This Row],[Product Name]],Products[Product Name],Products[Selling Price (CAD)])</f>
        <v>5.99</v>
      </c>
      <c r="J1522" s="5">
        <f>PRODUCT(Sales[[#This Row],[Quantity Sold]],Sales[[#This Row],[Unit Selling Price (CAD)]])</f>
        <v>257.57</v>
      </c>
    </row>
    <row r="1523" spans="1:10">
      <c r="A1523" t="s">
        <v>1971</v>
      </c>
      <c r="B1523" s="2">
        <v>46227</v>
      </c>
      <c r="C1523" t="s">
        <v>64</v>
      </c>
      <c r="D1523" t="s">
        <v>65</v>
      </c>
      <c r="E1523" t="str">
        <f>_xlfn.XLOOKUP(Sales[[#This Row],[Product Name]],Products[Product Name],Products[Category])</f>
        <v>Burgers</v>
      </c>
      <c r="F1523" t="s">
        <v>444</v>
      </c>
      <c r="G1523" t="s">
        <v>454</v>
      </c>
      <c r="H1523">
        <v>80</v>
      </c>
      <c r="I1523" s="5">
        <f>_xlfn.XLOOKUP(Sales[[#This Row],[Product Name]],Products[Product Name],Products[Selling Price (CAD)])</f>
        <v>6.49</v>
      </c>
      <c r="J1523" s="5">
        <f>PRODUCT(Sales[[#This Row],[Quantity Sold]],Sales[[#This Row],[Unit Selling Price (CAD)]])</f>
        <v>519.20000000000005</v>
      </c>
    </row>
    <row r="1524" spans="1:10">
      <c r="A1524" t="s">
        <v>1972</v>
      </c>
      <c r="B1524" s="2">
        <v>46228</v>
      </c>
      <c r="C1524" t="s">
        <v>70</v>
      </c>
      <c r="D1524" t="s">
        <v>71</v>
      </c>
      <c r="E1524" t="str">
        <f>_xlfn.XLOOKUP(Sales[[#This Row],[Product Name]],Products[Product Name],Products[Category])</f>
        <v>Burgers</v>
      </c>
      <c r="F1524" t="s">
        <v>444</v>
      </c>
      <c r="G1524" t="s">
        <v>450</v>
      </c>
      <c r="H1524">
        <v>75</v>
      </c>
      <c r="I1524" s="5">
        <f>_xlfn.XLOOKUP(Sales[[#This Row],[Product Name]],Products[Product Name],Products[Selling Price (CAD)])</f>
        <v>8.99</v>
      </c>
      <c r="J1524" s="5">
        <f>PRODUCT(Sales[[#This Row],[Quantity Sold]],Sales[[#This Row],[Unit Selling Price (CAD)]])</f>
        <v>674.25</v>
      </c>
    </row>
    <row r="1525" spans="1:10">
      <c r="A1525" t="s">
        <v>1973</v>
      </c>
      <c r="B1525" s="2">
        <v>46228</v>
      </c>
      <c r="C1525" t="s">
        <v>331</v>
      </c>
      <c r="D1525" t="s">
        <v>332</v>
      </c>
      <c r="E1525" t="str">
        <f>_xlfn.XLOOKUP(Sales[[#This Row],[Product Name]],Products[Product Name],Products[Category])</f>
        <v>Desserts</v>
      </c>
      <c r="F1525" t="s">
        <v>449</v>
      </c>
      <c r="G1525" t="s">
        <v>450</v>
      </c>
      <c r="H1525">
        <v>33</v>
      </c>
      <c r="I1525" s="5">
        <f>_xlfn.XLOOKUP(Sales[[#This Row],[Product Name]],Products[Product Name],Products[Selling Price (CAD)])</f>
        <v>3.49</v>
      </c>
      <c r="J1525" s="5">
        <f>PRODUCT(Sales[[#This Row],[Quantity Sold]],Sales[[#This Row],[Unit Selling Price (CAD)]])</f>
        <v>115.17</v>
      </c>
    </row>
    <row r="1526" spans="1:10">
      <c r="A1526" t="s">
        <v>1974</v>
      </c>
      <c r="B1526" s="2">
        <v>46228</v>
      </c>
      <c r="C1526" t="s">
        <v>183</v>
      </c>
      <c r="D1526" t="s">
        <v>184</v>
      </c>
      <c r="E1526" t="str">
        <f>_xlfn.XLOOKUP(Sales[[#This Row],[Product Name]],Products[Product Name],Products[Category])</f>
        <v>Sides</v>
      </c>
      <c r="F1526" t="s">
        <v>449</v>
      </c>
      <c r="G1526" t="s">
        <v>445</v>
      </c>
      <c r="H1526">
        <v>65</v>
      </c>
      <c r="I1526" s="5">
        <f>_xlfn.XLOOKUP(Sales[[#This Row],[Product Name]],Products[Product Name],Products[Selling Price (CAD)])</f>
        <v>2.99</v>
      </c>
      <c r="J1526" s="5">
        <f>PRODUCT(Sales[[#This Row],[Quantity Sold]],Sales[[#This Row],[Unit Selling Price (CAD)]])</f>
        <v>194.35000000000002</v>
      </c>
    </row>
    <row r="1527" spans="1:10">
      <c r="A1527" t="s">
        <v>1975</v>
      </c>
      <c r="B1527" s="2">
        <v>46228</v>
      </c>
      <c r="C1527" t="s">
        <v>66</v>
      </c>
      <c r="D1527" t="s">
        <v>67</v>
      </c>
      <c r="E1527" t="str">
        <f>_xlfn.XLOOKUP(Sales[[#This Row],[Product Name]],Products[Product Name],Products[Category])</f>
        <v>Burgers</v>
      </c>
      <c r="F1527" t="s">
        <v>444</v>
      </c>
      <c r="G1527" t="s">
        <v>450</v>
      </c>
      <c r="H1527">
        <v>52</v>
      </c>
      <c r="I1527" s="5">
        <f>_xlfn.XLOOKUP(Sales[[#This Row],[Product Name]],Products[Product Name],Products[Selling Price (CAD)])</f>
        <v>8.49</v>
      </c>
      <c r="J1527" s="5">
        <f>PRODUCT(Sales[[#This Row],[Quantity Sold]],Sales[[#This Row],[Unit Selling Price (CAD)]])</f>
        <v>441.48</v>
      </c>
    </row>
    <row r="1528" spans="1:10">
      <c r="A1528" t="s">
        <v>1976</v>
      </c>
      <c r="B1528" s="2">
        <v>46228</v>
      </c>
      <c r="C1528" t="s">
        <v>303</v>
      </c>
      <c r="D1528" t="s">
        <v>304</v>
      </c>
      <c r="E1528" t="str">
        <f>_xlfn.XLOOKUP(Sales[[#This Row],[Product Name]],Products[Product Name],Products[Category])</f>
        <v>Beverages</v>
      </c>
      <c r="F1528" t="s">
        <v>449</v>
      </c>
      <c r="G1528" t="s">
        <v>450</v>
      </c>
      <c r="H1528">
        <v>80</v>
      </c>
      <c r="I1528" s="5">
        <f>_xlfn.XLOOKUP(Sales[[#This Row],[Product Name]],Products[Product Name],Products[Selling Price (CAD)])</f>
        <v>2.4900000000000002</v>
      </c>
      <c r="J1528" s="5">
        <f>PRODUCT(Sales[[#This Row],[Quantity Sold]],Sales[[#This Row],[Unit Selling Price (CAD)]])</f>
        <v>199.20000000000002</v>
      </c>
    </row>
    <row r="1529" spans="1:10">
      <c r="A1529" t="s">
        <v>1977</v>
      </c>
      <c r="B1529" s="2">
        <v>46228</v>
      </c>
      <c r="C1529" t="s">
        <v>253</v>
      </c>
      <c r="D1529" t="s">
        <v>254</v>
      </c>
      <c r="E1529" t="str">
        <f>_xlfn.XLOOKUP(Sales[[#This Row],[Product Name]],Products[Product Name],Products[Category])</f>
        <v>Beverages</v>
      </c>
      <c r="F1529" t="s">
        <v>449</v>
      </c>
      <c r="G1529" t="s">
        <v>445</v>
      </c>
      <c r="H1529">
        <v>54</v>
      </c>
      <c r="I1529" s="5">
        <f>_xlfn.XLOOKUP(Sales[[#This Row],[Product Name]],Products[Product Name],Products[Selling Price (CAD)])</f>
        <v>1.99</v>
      </c>
      <c r="J1529" s="5">
        <f>PRODUCT(Sales[[#This Row],[Quantity Sold]],Sales[[#This Row],[Unit Selling Price (CAD)]])</f>
        <v>107.46</v>
      </c>
    </row>
    <row r="1530" spans="1:10">
      <c r="A1530" t="s">
        <v>1978</v>
      </c>
      <c r="B1530" s="2">
        <v>46228</v>
      </c>
      <c r="C1530" t="s">
        <v>50</v>
      </c>
      <c r="D1530" t="s">
        <v>51</v>
      </c>
      <c r="E1530" t="str">
        <f>_xlfn.XLOOKUP(Sales[[#This Row],[Product Name]],Products[Product Name],Products[Category])</f>
        <v>Burgers</v>
      </c>
      <c r="F1530" t="s">
        <v>447</v>
      </c>
      <c r="G1530" t="s">
        <v>445</v>
      </c>
      <c r="H1530">
        <v>65</v>
      </c>
      <c r="I1530" s="5">
        <f>_xlfn.XLOOKUP(Sales[[#This Row],[Product Name]],Products[Product Name],Products[Selling Price (CAD)])</f>
        <v>8.49</v>
      </c>
      <c r="J1530" s="5">
        <f>PRODUCT(Sales[[#This Row],[Quantity Sold]],Sales[[#This Row],[Unit Selling Price (CAD)]])</f>
        <v>551.85</v>
      </c>
    </row>
    <row r="1531" spans="1:10">
      <c r="A1531" t="s">
        <v>1979</v>
      </c>
      <c r="B1531" s="2">
        <v>46228</v>
      </c>
      <c r="C1531" t="s">
        <v>129</v>
      </c>
      <c r="D1531" t="s">
        <v>130</v>
      </c>
      <c r="E1531" t="str">
        <f>_xlfn.XLOOKUP(Sales[[#This Row],[Product Name]],Products[Product Name],Products[Category])</f>
        <v>Chicken</v>
      </c>
      <c r="F1531" t="s">
        <v>444</v>
      </c>
      <c r="G1531" t="s">
        <v>450</v>
      </c>
      <c r="H1531">
        <v>46</v>
      </c>
      <c r="I1531" s="5">
        <f>_xlfn.XLOOKUP(Sales[[#This Row],[Product Name]],Products[Product Name],Products[Selling Price (CAD)])</f>
        <v>11.99</v>
      </c>
      <c r="J1531" s="5">
        <f>PRODUCT(Sales[[#This Row],[Quantity Sold]],Sales[[#This Row],[Unit Selling Price (CAD)]])</f>
        <v>551.54</v>
      </c>
    </row>
    <row r="1532" spans="1:10">
      <c r="A1532" t="s">
        <v>1980</v>
      </c>
      <c r="B1532" s="2">
        <v>46228</v>
      </c>
      <c r="C1532" t="s">
        <v>411</v>
      </c>
      <c r="D1532" t="s">
        <v>412</v>
      </c>
      <c r="E1532" t="str">
        <f>_xlfn.XLOOKUP(Sales[[#This Row],[Product Name]],Products[Product Name],Products[Category])</f>
        <v>Combo Meals</v>
      </c>
      <c r="F1532" t="s">
        <v>444</v>
      </c>
      <c r="G1532" t="s">
        <v>452</v>
      </c>
      <c r="H1532">
        <v>37</v>
      </c>
      <c r="I1532" s="5">
        <f>_xlfn.XLOOKUP(Sales[[#This Row],[Product Name]],Products[Product Name],Products[Selling Price (CAD)])</f>
        <v>10.99</v>
      </c>
      <c r="J1532" s="5">
        <f>PRODUCT(Sales[[#This Row],[Quantity Sold]],Sales[[#This Row],[Unit Selling Price (CAD)]])</f>
        <v>406.63</v>
      </c>
    </row>
    <row r="1533" spans="1:10">
      <c r="A1533" t="s">
        <v>1981</v>
      </c>
      <c r="B1533" s="2">
        <v>46229</v>
      </c>
      <c r="C1533" t="s">
        <v>66</v>
      </c>
      <c r="D1533" t="s">
        <v>67</v>
      </c>
      <c r="E1533" t="str">
        <f>_xlfn.XLOOKUP(Sales[[#This Row],[Product Name]],Products[Product Name],Products[Category])</f>
        <v>Burgers</v>
      </c>
      <c r="F1533" t="s">
        <v>447</v>
      </c>
      <c r="G1533" t="s">
        <v>452</v>
      </c>
      <c r="H1533">
        <v>49</v>
      </c>
      <c r="I1533" s="5">
        <f>_xlfn.XLOOKUP(Sales[[#This Row],[Product Name]],Products[Product Name],Products[Selling Price (CAD)])</f>
        <v>8.49</v>
      </c>
      <c r="J1533" s="5">
        <f>PRODUCT(Sales[[#This Row],[Quantity Sold]],Sales[[#This Row],[Unit Selling Price (CAD)]])</f>
        <v>416.01</v>
      </c>
    </row>
    <row r="1534" spans="1:10">
      <c r="A1534" t="s">
        <v>1982</v>
      </c>
      <c r="B1534" s="2">
        <v>46229</v>
      </c>
      <c r="C1534" t="s">
        <v>207</v>
      </c>
      <c r="D1534" t="s">
        <v>208</v>
      </c>
      <c r="E1534" t="str">
        <f>_xlfn.XLOOKUP(Sales[[#This Row],[Product Name]],Products[Product Name],Products[Category])</f>
        <v>Sides</v>
      </c>
      <c r="F1534" t="s">
        <v>444</v>
      </c>
      <c r="G1534" t="s">
        <v>450</v>
      </c>
      <c r="H1534">
        <v>73</v>
      </c>
      <c r="I1534" s="5">
        <f>_xlfn.XLOOKUP(Sales[[#This Row],[Product Name]],Products[Product Name],Products[Selling Price (CAD)])</f>
        <v>3.99</v>
      </c>
      <c r="J1534" s="5">
        <f>PRODUCT(Sales[[#This Row],[Quantity Sold]],Sales[[#This Row],[Unit Selling Price (CAD)]])</f>
        <v>291.27000000000004</v>
      </c>
    </row>
    <row r="1535" spans="1:10">
      <c r="A1535" t="s">
        <v>1983</v>
      </c>
      <c r="B1535" s="2">
        <v>46229</v>
      </c>
      <c r="C1535" t="s">
        <v>392</v>
      </c>
      <c r="D1535" t="s">
        <v>393</v>
      </c>
      <c r="E1535" t="str">
        <f>_xlfn.XLOOKUP(Sales[[#This Row],[Product Name]],Products[Product Name],Products[Category])</f>
        <v>Sauces &amp; Add-ons</v>
      </c>
      <c r="F1535" t="s">
        <v>444</v>
      </c>
      <c r="G1535" t="s">
        <v>452</v>
      </c>
      <c r="H1535">
        <v>68</v>
      </c>
      <c r="I1535" s="5">
        <f>_xlfn.XLOOKUP(Sales[[#This Row],[Product Name]],Products[Product Name],Products[Selling Price (CAD)])</f>
        <v>0.5</v>
      </c>
      <c r="J1535" s="5">
        <f>PRODUCT(Sales[[#This Row],[Quantity Sold]],Sales[[#This Row],[Unit Selling Price (CAD)]])</f>
        <v>34</v>
      </c>
    </row>
    <row r="1536" spans="1:10">
      <c r="A1536" t="s">
        <v>1984</v>
      </c>
      <c r="B1536" s="2">
        <v>46229</v>
      </c>
      <c r="C1536" t="s">
        <v>317</v>
      </c>
      <c r="D1536" t="s">
        <v>318</v>
      </c>
      <c r="E1536" t="str">
        <f>_xlfn.XLOOKUP(Sales[[#This Row],[Product Name]],Products[Product Name],Products[Category])</f>
        <v>Beverages</v>
      </c>
      <c r="F1536" t="s">
        <v>449</v>
      </c>
      <c r="G1536" t="s">
        <v>452</v>
      </c>
      <c r="H1536">
        <v>33</v>
      </c>
      <c r="I1536" s="5">
        <f>_xlfn.XLOOKUP(Sales[[#This Row],[Product Name]],Products[Product Name],Products[Selling Price (CAD)])</f>
        <v>3.99</v>
      </c>
      <c r="J1536" s="5">
        <f>PRODUCT(Sales[[#This Row],[Quantity Sold]],Sales[[#This Row],[Unit Selling Price (CAD)]])</f>
        <v>131.67000000000002</v>
      </c>
    </row>
    <row r="1537" spans="1:10">
      <c r="A1537" t="s">
        <v>1985</v>
      </c>
      <c r="B1537" s="2">
        <v>46229</v>
      </c>
      <c r="C1537" t="s">
        <v>54</v>
      </c>
      <c r="D1537" t="s">
        <v>55</v>
      </c>
      <c r="E1537" t="str">
        <f>_xlfn.XLOOKUP(Sales[[#This Row],[Product Name]],Products[Product Name],Products[Category])</f>
        <v>Burgers</v>
      </c>
      <c r="F1537" t="s">
        <v>444</v>
      </c>
      <c r="G1537" t="s">
        <v>450</v>
      </c>
      <c r="H1537">
        <v>30</v>
      </c>
      <c r="I1537" s="5">
        <f>_xlfn.XLOOKUP(Sales[[#This Row],[Product Name]],Products[Product Name],Products[Selling Price (CAD)])</f>
        <v>8.99</v>
      </c>
      <c r="J1537" s="5">
        <f>PRODUCT(Sales[[#This Row],[Quantity Sold]],Sales[[#This Row],[Unit Selling Price (CAD)]])</f>
        <v>269.7</v>
      </c>
    </row>
    <row r="1538" spans="1:10">
      <c r="A1538" t="s">
        <v>1986</v>
      </c>
      <c r="B1538" s="2">
        <v>46229</v>
      </c>
      <c r="C1538" t="s">
        <v>127</v>
      </c>
      <c r="D1538" t="s">
        <v>128</v>
      </c>
      <c r="E1538" t="str">
        <f>_xlfn.XLOOKUP(Sales[[#This Row],[Product Name]],Products[Product Name],Products[Category])</f>
        <v>Chicken</v>
      </c>
      <c r="F1538" t="s">
        <v>444</v>
      </c>
      <c r="G1538" t="s">
        <v>445</v>
      </c>
      <c r="H1538">
        <v>59</v>
      </c>
      <c r="I1538" s="5">
        <f>_xlfn.XLOOKUP(Sales[[#This Row],[Product Name]],Products[Product Name],Products[Selling Price (CAD)])</f>
        <v>6.99</v>
      </c>
      <c r="J1538" s="5">
        <f>PRODUCT(Sales[[#This Row],[Quantity Sold]],Sales[[#This Row],[Unit Selling Price (CAD)]])</f>
        <v>412.41</v>
      </c>
    </row>
    <row r="1539" spans="1:10">
      <c r="A1539" t="s">
        <v>1987</v>
      </c>
      <c r="B1539" s="2">
        <v>46230</v>
      </c>
      <c r="C1539" t="s">
        <v>279</v>
      </c>
      <c r="D1539" t="s">
        <v>280</v>
      </c>
      <c r="E1539" t="str">
        <f>_xlfn.XLOOKUP(Sales[[#This Row],[Product Name]],Products[Product Name],Products[Category])</f>
        <v>Beverages</v>
      </c>
      <c r="F1539" t="s">
        <v>447</v>
      </c>
      <c r="G1539" t="s">
        <v>452</v>
      </c>
      <c r="H1539">
        <v>78</v>
      </c>
      <c r="I1539" s="5">
        <f>_xlfn.XLOOKUP(Sales[[#This Row],[Product Name]],Products[Product Name],Products[Selling Price (CAD)])</f>
        <v>2.99</v>
      </c>
      <c r="J1539" s="5">
        <f>PRODUCT(Sales[[#This Row],[Quantity Sold]],Sales[[#This Row],[Unit Selling Price (CAD)]])</f>
        <v>233.22000000000003</v>
      </c>
    </row>
    <row r="1540" spans="1:10">
      <c r="A1540" t="s">
        <v>1988</v>
      </c>
      <c r="B1540" s="2">
        <v>46230</v>
      </c>
      <c r="C1540" t="s">
        <v>121</v>
      </c>
      <c r="D1540" t="s">
        <v>122</v>
      </c>
      <c r="E1540" t="str">
        <f>_xlfn.XLOOKUP(Sales[[#This Row],[Product Name]],Products[Product Name],Products[Category])</f>
        <v>Chicken</v>
      </c>
      <c r="F1540" t="s">
        <v>449</v>
      </c>
      <c r="G1540" t="s">
        <v>450</v>
      </c>
      <c r="H1540">
        <v>60</v>
      </c>
      <c r="I1540" s="5">
        <f>_xlfn.XLOOKUP(Sales[[#This Row],[Product Name]],Products[Product Name],Products[Selling Price (CAD)])</f>
        <v>11.99</v>
      </c>
      <c r="J1540" s="5">
        <f>PRODUCT(Sales[[#This Row],[Quantity Sold]],Sales[[#This Row],[Unit Selling Price (CAD)]])</f>
        <v>719.4</v>
      </c>
    </row>
    <row r="1541" spans="1:10">
      <c r="A1541" t="s">
        <v>1989</v>
      </c>
      <c r="B1541" s="2">
        <v>46230</v>
      </c>
      <c r="C1541" t="s">
        <v>291</v>
      </c>
      <c r="D1541" t="s">
        <v>292</v>
      </c>
      <c r="E1541" t="str">
        <f>_xlfn.XLOOKUP(Sales[[#This Row],[Product Name]],Products[Product Name],Products[Category])</f>
        <v>Beverages</v>
      </c>
      <c r="F1541" t="s">
        <v>449</v>
      </c>
      <c r="G1541" t="s">
        <v>450</v>
      </c>
      <c r="H1541">
        <v>39</v>
      </c>
      <c r="I1541" s="5">
        <f>_xlfn.XLOOKUP(Sales[[#This Row],[Product Name]],Products[Product Name],Products[Selling Price (CAD)])</f>
        <v>3.99</v>
      </c>
      <c r="J1541" s="5">
        <f>PRODUCT(Sales[[#This Row],[Quantity Sold]],Sales[[#This Row],[Unit Selling Price (CAD)]])</f>
        <v>155.61000000000001</v>
      </c>
    </row>
    <row r="1542" spans="1:10">
      <c r="A1542" t="s">
        <v>1990</v>
      </c>
      <c r="B1542" s="2">
        <v>46230</v>
      </c>
      <c r="C1542" t="s">
        <v>105</v>
      </c>
      <c r="D1542" t="s">
        <v>106</v>
      </c>
      <c r="E1542" t="str">
        <f>_xlfn.XLOOKUP(Sales[[#This Row],[Product Name]],Products[Product Name],Products[Category])</f>
        <v>Chicken</v>
      </c>
      <c r="F1542" t="s">
        <v>444</v>
      </c>
      <c r="G1542" t="s">
        <v>450</v>
      </c>
      <c r="H1542">
        <v>76</v>
      </c>
      <c r="I1542" s="5">
        <f>_xlfn.XLOOKUP(Sales[[#This Row],[Product Name]],Products[Product Name],Products[Selling Price (CAD)])</f>
        <v>4.99</v>
      </c>
      <c r="J1542" s="5">
        <f>PRODUCT(Sales[[#This Row],[Quantity Sold]],Sales[[#This Row],[Unit Selling Price (CAD)]])</f>
        <v>379.24</v>
      </c>
    </row>
    <row r="1543" spans="1:10">
      <c r="A1543" t="s">
        <v>1991</v>
      </c>
      <c r="B1543" s="2">
        <v>46230</v>
      </c>
      <c r="C1543" t="s">
        <v>313</v>
      </c>
      <c r="D1543" t="s">
        <v>314</v>
      </c>
      <c r="E1543" t="str">
        <f>_xlfn.XLOOKUP(Sales[[#This Row],[Product Name]],Products[Product Name],Products[Category])</f>
        <v>Beverages</v>
      </c>
      <c r="F1543" t="s">
        <v>444</v>
      </c>
      <c r="G1543" t="s">
        <v>452</v>
      </c>
      <c r="H1543">
        <v>51</v>
      </c>
      <c r="I1543" s="5">
        <f>_xlfn.XLOOKUP(Sales[[#This Row],[Product Name]],Products[Product Name],Products[Selling Price (CAD)])</f>
        <v>3.99</v>
      </c>
      <c r="J1543" s="5">
        <f>PRODUCT(Sales[[#This Row],[Quantity Sold]],Sales[[#This Row],[Unit Selling Price (CAD)]])</f>
        <v>203.49</v>
      </c>
    </row>
    <row r="1544" spans="1:10">
      <c r="A1544" t="s">
        <v>1992</v>
      </c>
      <c r="B1544" s="2">
        <v>46230</v>
      </c>
      <c r="C1544" t="s">
        <v>42</v>
      </c>
      <c r="D1544" t="s">
        <v>43</v>
      </c>
      <c r="E1544" t="str">
        <f>_xlfn.XLOOKUP(Sales[[#This Row],[Product Name]],Products[Product Name],Products[Category])</f>
        <v>Burgers</v>
      </c>
      <c r="F1544" t="s">
        <v>449</v>
      </c>
      <c r="G1544" t="s">
        <v>452</v>
      </c>
      <c r="H1544">
        <v>73</v>
      </c>
      <c r="I1544" s="5">
        <f>_xlfn.XLOOKUP(Sales[[#This Row],[Product Name]],Products[Product Name],Products[Selling Price (CAD)])</f>
        <v>8.99</v>
      </c>
      <c r="J1544" s="5">
        <f>PRODUCT(Sales[[#This Row],[Quantity Sold]],Sales[[#This Row],[Unit Selling Price (CAD)]])</f>
        <v>656.27</v>
      </c>
    </row>
    <row r="1545" spans="1:10">
      <c r="A1545" t="s">
        <v>1993</v>
      </c>
      <c r="B1545" s="2">
        <v>46231</v>
      </c>
      <c r="C1545" t="s">
        <v>66</v>
      </c>
      <c r="D1545" t="s">
        <v>67</v>
      </c>
      <c r="E1545" t="str">
        <f>_xlfn.XLOOKUP(Sales[[#This Row],[Product Name]],Products[Product Name],Products[Category])</f>
        <v>Burgers</v>
      </c>
      <c r="F1545" t="s">
        <v>447</v>
      </c>
      <c r="G1545" t="s">
        <v>452</v>
      </c>
      <c r="H1545">
        <v>41</v>
      </c>
      <c r="I1545" s="5">
        <f>_xlfn.XLOOKUP(Sales[[#This Row],[Product Name]],Products[Product Name],Products[Selling Price (CAD)])</f>
        <v>8.49</v>
      </c>
      <c r="J1545" s="5">
        <f>PRODUCT(Sales[[#This Row],[Quantity Sold]],Sales[[#This Row],[Unit Selling Price (CAD)]])</f>
        <v>348.09000000000003</v>
      </c>
    </row>
    <row r="1546" spans="1:10">
      <c r="A1546" t="s">
        <v>1994</v>
      </c>
      <c r="B1546" s="2">
        <v>46231</v>
      </c>
      <c r="C1546" t="s">
        <v>151</v>
      </c>
      <c r="D1546" t="s">
        <v>152</v>
      </c>
      <c r="E1546" t="str">
        <f>_xlfn.XLOOKUP(Sales[[#This Row],[Product Name]],Products[Product Name],Products[Category])</f>
        <v>Breakfast</v>
      </c>
      <c r="F1546" t="s">
        <v>449</v>
      </c>
      <c r="G1546" t="s">
        <v>450</v>
      </c>
      <c r="H1546">
        <v>49</v>
      </c>
      <c r="I1546" s="5">
        <f>_xlfn.XLOOKUP(Sales[[#This Row],[Product Name]],Products[Product Name],Products[Selling Price (CAD)])</f>
        <v>5.99</v>
      </c>
      <c r="J1546" s="5">
        <f>PRODUCT(Sales[[#This Row],[Quantity Sold]],Sales[[#This Row],[Unit Selling Price (CAD)]])</f>
        <v>293.51</v>
      </c>
    </row>
    <row r="1547" spans="1:10">
      <c r="A1547" t="s">
        <v>1995</v>
      </c>
      <c r="B1547" s="2">
        <v>46231</v>
      </c>
      <c r="C1547" t="s">
        <v>167</v>
      </c>
      <c r="D1547" t="s">
        <v>168</v>
      </c>
      <c r="E1547" t="str">
        <f>_xlfn.XLOOKUP(Sales[[#This Row],[Product Name]],Products[Product Name],Products[Category])</f>
        <v>Breakfast</v>
      </c>
      <c r="F1547" t="s">
        <v>444</v>
      </c>
      <c r="G1547" t="s">
        <v>452</v>
      </c>
      <c r="H1547">
        <v>79</v>
      </c>
      <c r="I1547" s="5">
        <f>_xlfn.XLOOKUP(Sales[[#This Row],[Product Name]],Products[Product Name],Products[Selling Price (CAD)])</f>
        <v>4.99</v>
      </c>
      <c r="J1547" s="5">
        <f>PRODUCT(Sales[[#This Row],[Quantity Sold]],Sales[[#This Row],[Unit Selling Price (CAD)]])</f>
        <v>394.21000000000004</v>
      </c>
    </row>
    <row r="1548" spans="1:10">
      <c r="A1548" t="s">
        <v>1996</v>
      </c>
      <c r="B1548" s="2">
        <v>46231</v>
      </c>
      <c r="C1548" t="s">
        <v>281</v>
      </c>
      <c r="D1548" t="s">
        <v>282</v>
      </c>
      <c r="E1548" t="str">
        <f>_xlfn.XLOOKUP(Sales[[#This Row],[Product Name]],Products[Product Name],Products[Category])</f>
        <v>Beverages</v>
      </c>
      <c r="F1548" t="s">
        <v>444</v>
      </c>
      <c r="G1548" t="s">
        <v>450</v>
      </c>
      <c r="H1548">
        <v>31</v>
      </c>
      <c r="I1548" s="5">
        <f>_xlfn.XLOOKUP(Sales[[#This Row],[Product Name]],Products[Product Name],Products[Selling Price (CAD)])</f>
        <v>2.99</v>
      </c>
      <c r="J1548" s="5">
        <f>PRODUCT(Sales[[#This Row],[Quantity Sold]],Sales[[#This Row],[Unit Selling Price (CAD)]])</f>
        <v>92.690000000000012</v>
      </c>
    </row>
    <row r="1549" spans="1:10">
      <c r="A1549" t="s">
        <v>1997</v>
      </c>
      <c r="B1549" s="2">
        <v>46231</v>
      </c>
      <c r="C1549" t="s">
        <v>62</v>
      </c>
      <c r="D1549" t="s">
        <v>63</v>
      </c>
      <c r="E1549" t="str">
        <f>_xlfn.XLOOKUP(Sales[[#This Row],[Product Name]],Products[Product Name],Products[Category])</f>
        <v>Burgers</v>
      </c>
      <c r="F1549" t="s">
        <v>449</v>
      </c>
      <c r="G1549" t="s">
        <v>450</v>
      </c>
      <c r="H1549">
        <v>72</v>
      </c>
      <c r="I1549" s="5">
        <f>_xlfn.XLOOKUP(Sales[[#This Row],[Product Name]],Products[Product Name],Products[Selling Price (CAD)])</f>
        <v>8.99</v>
      </c>
      <c r="J1549" s="5">
        <f>PRODUCT(Sales[[#This Row],[Quantity Sold]],Sales[[#This Row],[Unit Selling Price (CAD)]])</f>
        <v>647.28</v>
      </c>
    </row>
    <row r="1550" spans="1:10">
      <c r="A1550" t="s">
        <v>1998</v>
      </c>
      <c r="B1550" s="2">
        <v>46232</v>
      </c>
      <c r="C1550" t="s">
        <v>48</v>
      </c>
      <c r="D1550" t="s">
        <v>49</v>
      </c>
      <c r="E1550" t="str">
        <f>_xlfn.XLOOKUP(Sales[[#This Row],[Product Name]],Products[Product Name],Products[Category])</f>
        <v>Burgers</v>
      </c>
      <c r="F1550" t="s">
        <v>444</v>
      </c>
      <c r="G1550" t="s">
        <v>450</v>
      </c>
      <c r="H1550">
        <v>63</v>
      </c>
      <c r="I1550" s="5">
        <f>_xlfn.XLOOKUP(Sales[[#This Row],[Product Name]],Products[Product Name],Products[Selling Price (CAD)])</f>
        <v>6.49</v>
      </c>
      <c r="J1550" s="5">
        <f>PRODUCT(Sales[[#This Row],[Quantity Sold]],Sales[[#This Row],[Unit Selling Price (CAD)]])</f>
        <v>408.87</v>
      </c>
    </row>
    <row r="1551" spans="1:10">
      <c r="A1551" t="s">
        <v>1999</v>
      </c>
      <c r="B1551" s="2">
        <v>46232</v>
      </c>
      <c r="C1551" t="s">
        <v>89</v>
      </c>
      <c r="D1551" t="s">
        <v>90</v>
      </c>
      <c r="E1551" t="str">
        <f>_xlfn.XLOOKUP(Sales[[#This Row],[Product Name]],Products[Product Name],Products[Category])</f>
        <v>Chicken</v>
      </c>
      <c r="F1551" t="s">
        <v>447</v>
      </c>
      <c r="G1551" t="s">
        <v>450</v>
      </c>
      <c r="H1551">
        <v>35</v>
      </c>
      <c r="I1551" s="5">
        <f>_xlfn.XLOOKUP(Sales[[#This Row],[Product Name]],Products[Product Name],Products[Selling Price (CAD)])</f>
        <v>7.49</v>
      </c>
      <c r="J1551" s="5">
        <f>PRODUCT(Sales[[#This Row],[Quantity Sold]],Sales[[#This Row],[Unit Selling Price (CAD)]])</f>
        <v>262.15000000000003</v>
      </c>
    </row>
    <row r="1552" spans="1:10">
      <c r="A1552" t="s">
        <v>2000</v>
      </c>
      <c r="B1552" s="2">
        <v>46232</v>
      </c>
      <c r="C1552" t="s">
        <v>291</v>
      </c>
      <c r="D1552" t="s">
        <v>292</v>
      </c>
      <c r="E1552" t="str">
        <f>_xlfn.XLOOKUP(Sales[[#This Row],[Product Name]],Products[Product Name],Products[Category])</f>
        <v>Beverages</v>
      </c>
      <c r="F1552" t="s">
        <v>444</v>
      </c>
      <c r="G1552" t="s">
        <v>450</v>
      </c>
      <c r="H1552">
        <v>57</v>
      </c>
      <c r="I1552" s="5">
        <f>_xlfn.XLOOKUP(Sales[[#This Row],[Product Name]],Products[Product Name],Products[Selling Price (CAD)])</f>
        <v>3.99</v>
      </c>
      <c r="J1552" s="5">
        <f>PRODUCT(Sales[[#This Row],[Quantity Sold]],Sales[[#This Row],[Unit Selling Price (CAD)]])</f>
        <v>227.43</v>
      </c>
    </row>
    <row r="1553" spans="1:10">
      <c r="A1553" t="s">
        <v>2001</v>
      </c>
      <c r="B1553" s="2">
        <v>46232</v>
      </c>
      <c r="C1553" t="s">
        <v>269</v>
      </c>
      <c r="D1553" t="s">
        <v>270</v>
      </c>
      <c r="E1553" t="str">
        <f>_xlfn.XLOOKUP(Sales[[#This Row],[Product Name]],Products[Product Name],Products[Category])</f>
        <v>Beverages</v>
      </c>
      <c r="F1553" t="s">
        <v>449</v>
      </c>
      <c r="G1553" t="s">
        <v>450</v>
      </c>
      <c r="H1553">
        <v>46</v>
      </c>
      <c r="I1553" s="5">
        <f>_xlfn.XLOOKUP(Sales[[#This Row],[Product Name]],Products[Product Name],Products[Selling Price (CAD)])</f>
        <v>2.99</v>
      </c>
      <c r="J1553" s="5">
        <f>PRODUCT(Sales[[#This Row],[Quantity Sold]],Sales[[#This Row],[Unit Selling Price (CAD)]])</f>
        <v>137.54000000000002</v>
      </c>
    </row>
    <row r="1554" spans="1:10">
      <c r="A1554" t="s">
        <v>2002</v>
      </c>
      <c r="B1554" s="2">
        <v>46232</v>
      </c>
      <c r="C1554" t="s">
        <v>141</v>
      </c>
      <c r="D1554" t="s">
        <v>142</v>
      </c>
      <c r="E1554" t="str">
        <f>_xlfn.XLOOKUP(Sales[[#This Row],[Product Name]],Products[Product Name],Products[Category])</f>
        <v>Breakfast</v>
      </c>
      <c r="F1554" t="s">
        <v>447</v>
      </c>
      <c r="G1554" t="s">
        <v>450</v>
      </c>
      <c r="H1554">
        <v>76</v>
      </c>
      <c r="I1554" s="5">
        <f>_xlfn.XLOOKUP(Sales[[#This Row],[Product Name]],Products[Product Name],Products[Selling Price (CAD)])</f>
        <v>4.99</v>
      </c>
      <c r="J1554" s="5">
        <f>PRODUCT(Sales[[#This Row],[Quantity Sold]],Sales[[#This Row],[Unit Selling Price (CAD)]])</f>
        <v>379.24</v>
      </c>
    </row>
    <row r="1555" spans="1:10">
      <c r="A1555" t="s">
        <v>2003</v>
      </c>
      <c r="B1555" s="2">
        <v>46232</v>
      </c>
      <c r="C1555" t="s">
        <v>80</v>
      </c>
      <c r="D1555" t="s">
        <v>81</v>
      </c>
      <c r="E1555" t="str">
        <f>_xlfn.XLOOKUP(Sales[[#This Row],[Product Name]],Products[Product Name],Products[Category])</f>
        <v>Burgers</v>
      </c>
      <c r="F1555" t="s">
        <v>444</v>
      </c>
      <c r="G1555" t="s">
        <v>450</v>
      </c>
      <c r="H1555">
        <v>79</v>
      </c>
      <c r="I1555" s="5">
        <f>_xlfn.XLOOKUP(Sales[[#This Row],[Product Name]],Products[Product Name],Products[Selling Price (CAD)])</f>
        <v>2.99</v>
      </c>
      <c r="J1555" s="5">
        <f>PRODUCT(Sales[[#This Row],[Quantity Sold]],Sales[[#This Row],[Unit Selling Price (CAD)]])</f>
        <v>236.21</v>
      </c>
    </row>
    <row r="1556" spans="1:10">
      <c r="A1556" t="s">
        <v>2004</v>
      </c>
      <c r="B1556" s="2">
        <v>46232</v>
      </c>
      <c r="C1556" t="s">
        <v>169</v>
      </c>
      <c r="D1556" t="s">
        <v>170</v>
      </c>
      <c r="E1556" t="str">
        <f>_xlfn.XLOOKUP(Sales[[#This Row],[Product Name]],Products[Product Name],Products[Category])</f>
        <v>Breakfast</v>
      </c>
      <c r="F1556" t="s">
        <v>449</v>
      </c>
      <c r="G1556" t="s">
        <v>450</v>
      </c>
      <c r="H1556">
        <v>30</v>
      </c>
      <c r="I1556" s="5">
        <f>_xlfn.XLOOKUP(Sales[[#This Row],[Product Name]],Products[Product Name],Products[Selling Price (CAD)])</f>
        <v>2.99</v>
      </c>
      <c r="J1556" s="5">
        <f>PRODUCT(Sales[[#This Row],[Quantity Sold]],Sales[[#This Row],[Unit Selling Price (CAD)]])</f>
        <v>89.7</v>
      </c>
    </row>
    <row r="1557" spans="1:10">
      <c r="A1557" t="s">
        <v>2005</v>
      </c>
      <c r="B1557" s="2">
        <v>46232</v>
      </c>
      <c r="C1557" t="s">
        <v>87</v>
      </c>
      <c r="D1557" t="s">
        <v>88</v>
      </c>
      <c r="E1557" t="str">
        <f>_xlfn.XLOOKUP(Sales[[#This Row],[Product Name]],Products[Product Name],Products[Category])</f>
        <v>Chicken</v>
      </c>
      <c r="F1557" t="s">
        <v>444</v>
      </c>
      <c r="G1557" t="s">
        <v>445</v>
      </c>
      <c r="H1557">
        <v>76</v>
      </c>
      <c r="I1557" s="5">
        <f>_xlfn.XLOOKUP(Sales[[#This Row],[Product Name]],Products[Product Name],Products[Selling Price (CAD)])</f>
        <v>6.99</v>
      </c>
      <c r="J1557" s="5">
        <f>PRODUCT(Sales[[#This Row],[Quantity Sold]],Sales[[#This Row],[Unit Selling Price (CAD)]])</f>
        <v>531.24</v>
      </c>
    </row>
    <row r="1558" spans="1:10">
      <c r="A1558" t="s">
        <v>2006</v>
      </c>
      <c r="B1558" s="2">
        <v>46233</v>
      </c>
      <c r="C1558" t="s">
        <v>68</v>
      </c>
      <c r="D1558" t="s">
        <v>69</v>
      </c>
      <c r="E1558" t="str">
        <f>_xlfn.XLOOKUP(Sales[[#This Row],[Product Name]],Products[Product Name],Products[Category])</f>
        <v>Burgers</v>
      </c>
      <c r="F1558" t="s">
        <v>449</v>
      </c>
      <c r="G1558" t="s">
        <v>445</v>
      </c>
      <c r="H1558">
        <v>76</v>
      </c>
      <c r="I1558" s="5">
        <f>_xlfn.XLOOKUP(Sales[[#This Row],[Product Name]],Products[Product Name],Products[Selling Price (CAD)])</f>
        <v>6.99</v>
      </c>
      <c r="J1558" s="5">
        <f>PRODUCT(Sales[[#This Row],[Quantity Sold]],Sales[[#This Row],[Unit Selling Price (CAD)]])</f>
        <v>531.24</v>
      </c>
    </row>
    <row r="1559" spans="1:10">
      <c r="A1559" t="s">
        <v>2007</v>
      </c>
      <c r="B1559" s="2">
        <v>46233</v>
      </c>
      <c r="C1559" t="s">
        <v>48</v>
      </c>
      <c r="D1559" t="s">
        <v>49</v>
      </c>
      <c r="E1559" t="str">
        <f>_xlfn.XLOOKUP(Sales[[#This Row],[Product Name]],Products[Product Name],Products[Category])</f>
        <v>Burgers</v>
      </c>
      <c r="F1559" t="s">
        <v>444</v>
      </c>
      <c r="G1559" t="s">
        <v>450</v>
      </c>
      <c r="H1559">
        <v>71</v>
      </c>
      <c r="I1559" s="5">
        <f>_xlfn.XLOOKUP(Sales[[#This Row],[Product Name]],Products[Product Name],Products[Selling Price (CAD)])</f>
        <v>6.49</v>
      </c>
      <c r="J1559" s="5">
        <f>PRODUCT(Sales[[#This Row],[Quantity Sold]],Sales[[#This Row],[Unit Selling Price (CAD)]])</f>
        <v>460.79</v>
      </c>
    </row>
    <row r="1560" spans="1:10">
      <c r="A1560" t="s">
        <v>2008</v>
      </c>
      <c r="B1560" s="2">
        <v>46233</v>
      </c>
      <c r="C1560" t="s">
        <v>333</v>
      </c>
      <c r="D1560" t="s">
        <v>334</v>
      </c>
      <c r="E1560" t="str">
        <f>_xlfn.XLOOKUP(Sales[[#This Row],[Product Name]],Products[Product Name],Products[Category])</f>
        <v>Desserts</v>
      </c>
      <c r="F1560" t="s">
        <v>447</v>
      </c>
      <c r="G1560" t="s">
        <v>454</v>
      </c>
      <c r="H1560">
        <v>68</v>
      </c>
      <c r="I1560" s="5">
        <f>_xlfn.XLOOKUP(Sales[[#This Row],[Product Name]],Products[Product Name],Products[Selling Price (CAD)])</f>
        <v>4.49</v>
      </c>
      <c r="J1560" s="5">
        <f>PRODUCT(Sales[[#This Row],[Quantity Sold]],Sales[[#This Row],[Unit Selling Price (CAD)]])</f>
        <v>305.32</v>
      </c>
    </row>
    <row r="1561" spans="1:10">
      <c r="A1561" t="s">
        <v>2009</v>
      </c>
      <c r="B1561" s="2">
        <v>46233</v>
      </c>
      <c r="C1561" t="s">
        <v>271</v>
      </c>
      <c r="D1561" t="s">
        <v>272</v>
      </c>
      <c r="E1561" t="str">
        <f>_xlfn.XLOOKUP(Sales[[#This Row],[Product Name]],Products[Product Name],Products[Category])</f>
        <v>Beverages</v>
      </c>
      <c r="F1561" t="s">
        <v>447</v>
      </c>
      <c r="G1561" t="s">
        <v>450</v>
      </c>
      <c r="H1561">
        <v>78</v>
      </c>
      <c r="I1561" s="5">
        <f>_xlfn.XLOOKUP(Sales[[#This Row],[Product Name]],Products[Product Name],Products[Selling Price (CAD)])</f>
        <v>1.99</v>
      </c>
      <c r="J1561" s="5">
        <f>PRODUCT(Sales[[#This Row],[Quantity Sold]],Sales[[#This Row],[Unit Selling Price (CAD)]])</f>
        <v>155.22</v>
      </c>
    </row>
    <row r="1562" spans="1:10">
      <c r="A1562" t="s">
        <v>2010</v>
      </c>
      <c r="B1562" s="2">
        <v>46233</v>
      </c>
      <c r="C1562" t="s">
        <v>209</v>
      </c>
      <c r="D1562" t="s">
        <v>210</v>
      </c>
      <c r="E1562" t="str">
        <f>_xlfn.XLOOKUP(Sales[[#This Row],[Product Name]],Products[Product Name],Products[Category])</f>
        <v>Sides</v>
      </c>
      <c r="F1562" t="s">
        <v>449</v>
      </c>
      <c r="G1562" t="s">
        <v>452</v>
      </c>
      <c r="H1562">
        <v>41</v>
      </c>
      <c r="I1562" s="5">
        <f>_xlfn.XLOOKUP(Sales[[#This Row],[Product Name]],Products[Product Name],Products[Selling Price (CAD)])</f>
        <v>4.99</v>
      </c>
      <c r="J1562" s="5">
        <f>PRODUCT(Sales[[#This Row],[Quantity Sold]],Sales[[#This Row],[Unit Selling Price (CAD)]])</f>
        <v>204.59</v>
      </c>
    </row>
    <row r="1563" spans="1:10">
      <c r="A1563" t="s">
        <v>2011</v>
      </c>
      <c r="B1563" s="2">
        <v>46233</v>
      </c>
      <c r="C1563" t="s">
        <v>40</v>
      </c>
      <c r="D1563" t="s">
        <v>41</v>
      </c>
      <c r="E1563" t="str">
        <f>_xlfn.XLOOKUP(Sales[[#This Row],[Product Name]],Products[Product Name],Products[Category])</f>
        <v>Burgers</v>
      </c>
      <c r="F1563" t="s">
        <v>447</v>
      </c>
      <c r="G1563" t="s">
        <v>452</v>
      </c>
      <c r="H1563">
        <v>61</v>
      </c>
      <c r="I1563" s="5">
        <f>_xlfn.XLOOKUP(Sales[[#This Row],[Product Name]],Products[Product Name],Products[Selling Price (CAD)])</f>
        <v>6.99</v>
      </c>
      <c r="J1563" s="5">
        <f>PRODUCT(Sales[[#This Row],[Quantity Sold]],Sales[[#This Row],[Unit Selling Price (CAD)]])</f>
        <v>426.39</v>
      </c>
    </row>
    <row r="1564" spans="1:10">
      <c r="A1564" t="s">
        <v>2012</v>
      </c>
      <c r="B1564" s="2">
        <v>46233</v>
      </c>
      <c r="C1564" t="s">
        <v>177</v>
      </c>
      <c r="D1564" t="s">
        <v>178</v>
      </c>
      <c r="E1564" t="str">
        <f>_xlfn.XLOOKUP(Sales[[#This Row],[Product Name]],Products[Product Name],Products[Category])</f>
        <v>Breakfast</v>
      </c>
      <c r="F1564" t="s">
        <v>449</v>
      </c>
      <c r="G1564" t="s">
        <v>452</v>
      </c>
      <c r="H1564">
        <v>35</v>
      </c>
      <c r="I1564" s="5">
        <f>_xlfn.XLOOKUP(Sales[[#This Row],[Product Name]],Products[Product Name],Products[Selling Price (CAD)])</f>
        <v>7.99</v>
      </c>
      <c r="J1564" s="5">
        <f>PRODUCT(Sales[[#This Row],[Quantity Sold]],Sales[[#This Row],[Unit Selling Price (CAD)]])</f>
        <v>279.65000000000003</v>
      </c>
    </row>
    <row r="1565" spans="1:10">
      <c r="A1565" t="s">
        <v>2013</v>
      </c>
      <c r="B1565" s="2">
        <v>46233</v>
      </c>
      <c r="C1565" t="s">
        <v>378</v>
      </c>
      <c r="D1565" t="s">
        <v>379</v>
      </c>
      <c r="E1565" t="str">
        <f>_xlfn.XLOOKUP(Sales[[#This Row],[Product Name]],Products[Product Name],Products[Category])</f>
        <v>Kids Meals</v>
      </c>
      <c r="F1565" t="s">
        <v>449</v>
      </c>
      <c r="G1565" t="s">
        <v>452</v>
      </c>
      <c r="H1565">
        <v>54</v>
      </c>
      <c r="I1565" s="5">
        <f>_xlfn.XLOOKUP(Sales[[#This Row],[Product Name]],Products[Product Name],Products[Selling Price (CAD)])</f>
        <v>5.99</v>
      </c>
      <c r="J1565" s="5">
        <f>PRODUCT(Sales[[#This Row],[Quantity Sold]],Sales[[#This Row],[Unit Selling Price (CAD)]])</f>
        <v>323.46000000000004</v>
      </c>
    </row>
    <row r="1566" spans="1:10">
      <c r="A1566" t="s">
        <v>2014</v>
      </c>
      <c r="B1566" s="2">
        <v>46233</v>
      </c>
      <c r="C1566" t="s">
        <v>315</v>
      </c>
      <c r="D1566" t="s">
        <v>316</v>
      </c>
      <c r="E1566" t="str">
        <f>_xlfn.XLOOKUP(Sales[[#This Row],[Product Name]],Products[Product Name],Products[Category])</f>
        <v>Beverages</v>
      </c>
      <c r="F1566" t="s">
        <v>444</v>
      </c>
      <c r="G1566" t="s">
        <v>450</v>
      </c>
      <c r="H1566">
        <v>59</v>
      </c>
      <c r="I1566" s="5">
        <f>_xlfn.XLOOKUP(Sales[[#This Row],[Product Name]],Products[Product Name],Products[Selling Price (CAD)])</f>
        <v>3.99</v>
      </c>
      <c r="J1566" s="5">
        <f>PRODUCT(Sales[[#This Row],[Quantity Sold]],Sales[[#This Row],[Unit Selling Price (CAD)]])</f>
        <v>235.41000000000003</v>
      </c>
    </row>
    <row r="1567" spans="1:10">
      <c r="A1567" t="s">
        <v>2015</v>
      </c>
      <c r="B1567" s="2">
        <v>46233</v>
      </c>
      <c r="C1567" t="s">
        <v>42</v>
      </c>
      <c r="D1567" t="s">
        <v>43</v>
      </c>
      <c r="E1567" t="str">
        <f>_xlfn.XLOOKUP(Sales[[#This Row],[Product Name]],Products[Product Name],Products[Category])</f>
        <v>Burgers</v>
      </c>
      <c r="F1567" t="s">
        <v>444</v>
      </c>
      <c r="G1567" t="s">
        <v>450</v>
      </c>
      <c r="H1567">
        <v>57</v>
      </c>
      <c r="I1567" s="5">
        <f>_xlfn.XLOOKUP(Sales[[#This Row],[Product Name]],Products[Product Name],Products[Selling Price (CAD)])</f>
        <v>8.99</v>
      </c>
      <c r="J1567" s="5">
        <f>PRODUCT(Sales[[#This Row],[Quantity Sold]],Sales[[#This Row],[Unit Selling Price (CAD)]])</f>
        <v>512.43000000000006</v>
      </c>
    </row>
    <row r="1568" spans="1:10">
      <c r="A1568" t="s">
        <v>2016</v>
      </c>
      <c r="B1568" s="2">
        <v>46234</v>
      </c>
      <c r="C1568" t="s">
        <v>293</v>
      </c>
      <c r="D1568" t="s">
        <v>294</v>
      </c>
      <c r="E1568" t="str">
        <f>_xlfn.XLOOKUP(Sales[[#This Row],[Product Name]],Products[Product Name],Products[Category])</f>
        <v>Beverages</v>
      </c>
      <c r="F1568" t="s">
        <v>447</v>
      </c>
      <c r="G1568" t="s">
        <v>445</v>
      </c>
      <c r="H1568">
        <v>48</v>
      </c>
      <c r="I1568" s="5">
        <f>_xlfn.XLOOKUP(Sales[[#This Row],[Product Name]],Products[Product Name],Products[Selling Price (CAD)])</f>
        <v>3.99</v>
      </c>
      <c r="J1568" s="5">
        <f>PRODUCT(Sales[[#This Row],[Quantity Sold]],Sales[[#This Row],[Unit Selling Price (CAD)]])</f>
        <v>191.52</v>
      </c>
    </row>
    <row r="1569" spans="1:10">
      <c r="A1569" t="s">
        <v>2017</v>
      </c>
      <c r="B1569" s="2">
        <v>46234</v>
      </c>
      <c r="C1569" t="s">
        <v>34</v>
      </c>
      <c r="D1569" t="s">
        <v>35</v>
      </c>
      <c r="E1569" t="str">
        <f>_xlfn.XLOOKUP(Sales[[#This Row],[Product Name]],Products[Product Name],Products[Category])</f>
        <v>Burgers</v>
      </c>
      <c r="F1569" t="s">
        <v>449</v>
      </c>
      <c r="G1569" t="s">
        <v>452</v>
      </c>
      <c r="H1569">
        <v>72</v>
      </c>
      <c r="I1569" s="5">
        <f>_xlfn.XLOOKUP(Sales[[#This Row],[Product Name]],Products[Product Name],Products[Selling Price (CAD)])</f>
        <v>6.99</v>
      </c>
      <c r="J1569" s="5">
        <f>PRODUCT(Sales[[#This Row],[Quantity Sold]],Sales[[#This Row],[Unit Selling Price (CAD)]])</f>
        <v>503.28000000000003</v>
      </c>
    </row>
    <row r="1570" spans="1:10">
      <c r="A1570" t="s">
        <v>2018</v>
      </c>
      <c r="B1570" s="2">
        <v>46234</v>
      </c>
      <c r="C1570" t="s">
        <v>123</v>
      </c>
      <c r="D1570" t="s">
        <v>124</v>
      </c>
      <c r="E1570" t="str">
        <f>_xlfn.XLOOKUP(Sales[[#This Row],[Product Name]],Products[Product Name],Products[Category])</f>
        <v>Chicken</v>
      </c>
      <c r="F1570" t="s">
        <v>444</v>
      </c>
      <c r="G1570" t="s">
        <v>450</v>
      </c>
      <c r="H1570">
        <v>41</v>
      </c>
      <c r="I1570" s="5">
        <f>_xlfn.XLOOKUP(Sales[[#This Row],[Product Name]],Products[Product Name],Products[Selling Price (CAD)])</f>
        <v>2.99</v>
      </c>
      <c r="J1570" s="5">
        <f>PRODUCT(Sales[[#This Row],[Quantity Sold]],Sales[[#This Row],[Unit Selling Price (CAD)]])</f>
        <v>122.59</v>
      </c>
    </row>
    <row r="1571" spans="1:10">
      <c r="A1571" t="s">
        <v>2019</v>
      </c>
      <c r="B1571" s="2">
        <v>46235</v>
      </c>
      <c r="C1571" t="s">
        <v>231</v>
      </c>
      <c r="D1571" t="s">
        <v>232</v>
      </c>
      <c r="E1571" t="str">
        <f>_xlfn.XLOOKUP(Sales[[#This Row],[Product Name]],Products[Product Name],Products[Category])</f>
        <v>Salads</v>
      </c>
      <c r="F1571" t="s">
        <v>449</v>
      </c>
      <c r="G1571" t="s">
        <v>450</v>
      </c>
      <c r="H1571">
        <v>79</v>
      </c>
      <c r="I1571" s="5">
        <f>_xlfn.XLOOKUP(Sales[[#This Row],[Product Name]],Products[Product Name],Products[Selling Price (CAD)])</f>
        <v>8.99</v>
      </c>
      <c r="J1571" s="5">
        <f>PRODUCT(Sales[[#This Row],[Quantity Sold]],Sales[[#This Row],[Unit Selling Price (CAD)]])</f>
        <v>710.21</v>
      </c>
    </row>
    <row r="1572" spans="1:10">
      <c r="A1572" t="s">
        <v>2020</v>
      </c>
      <c r="B1572" s="2">
        <v>46235</v>
      </c>
      <c r="C1572" t="s">
        <v>227</v>
      </c>
      <c r="D1572" t="s">
        <v>228</v>
      </c>
      <c r="E1572" t="str">
        <f>_xlfn.XLOOKUP(Sales[[#This Row],[Product Name]],Products[Product Name],Products[Category])</f>
        <v>Salads</v>
      </c>
      <c r="F1572" t="s">
        <v>444</v>
      </c>
      <c r="G1572" t="s">
        <v>450</v>
      </c>
      <c r="H1572">
        <v>53</v>
      </c>
      <c r="I1572" s="5">
        <f>_xlfn.XLOOKUP(Sales[[#This Row],[Product Name]],Products[Product Name],Products[Selling Price (CAD)])</f>
        <v>8.99</v>
      </c>
      <c r="J1572" s="5">
        <f>PRODUCT(Sales[[#This Row],[Quantity Sold]],Sales[[#This Row],[Unit Selling Price (CAD)]])</f>
        <v>476.47</v>
      </c>
    </row>
    <row r="1573" spans="1:10">
      <c r="A1573" t="s">
        <v>2021</v>
      </c>
      <c r="B1573" s="2">
        <v>46235</v>
      </c>
      <c r="C1573" t="s">
        <v>113</v>
      </c>
      <c r="D1573" t="s">
        <v>114</v>
      </c>
      <c r="E1573" t="str">
        <f>_xlfn.XLOOKUP(Sales[[#This Row],[Product Name]],Products[Product Name],Products[Category])</f>
        <v>Chicken</v>
      </c>
      <c r="F1573" t="s">
        <v>444</v>
      </c>
      <c r="G1573" t="s">
        <v>450</v>
      </c>
      <c r="H1573">
        <v>74</v>
      </c>
      <c r="I1573" s="5">
        <f>_xlfn.XLOOKUP(Sales[[#This Row],[Product Name]],Products[Product Name],Products[Selling Price (CAD)])</f>
        <v>5.99</v>
      </c>
      <c r="J1573" s="5">
        <f>PRODUCT(Sales[[#This Row],[Quantity Sold]],Sales[[#This Row],[Unit Selling Price (CAD)]])</f>
        <v>443.26</v>
      </c>
    </row>
    <row r="1574" spans="1:10">
      <c r="A1574" t="s">
        <v>2022</v>
      </c>
      <c r="B1574" s="2">
        <v>46235</v>
      </c>
      <c r="C1574" t="s">
        <v>257</v>
      </c>
      <c r="D1574" t="s">
        <v>258</v>
      </c>
      <c r="E1574" t="str">
        <f>_xlfn.XLOOKUP(Sales[[#This Row],[Product Name]],Products[Product Name],Products[Category])</f>
        <v>Beverages</v>
      </c>
      <c r="F1574" t="s">
        <v>449</v>
      </c>
      <c r="G1574" t="s">
        <v>450</v>
      </c>
      <c r="H1574">
        <v>59</v>
      </c>
      <c r="I1574" s="5">
        <f>_xlfn.XLOOKUP(Sales[[#This Row],[Product Name]],Products[Product Name],Products[Selling Price (CAD)])</f>
        <v>2.99</v>
      </c>
      <c r="J1574" s="5">
        <f>PRODUCT(Sales[[#This Row],[Quantity Sold]],Sales[[#This Row],[Unit Selling Price (CAD)]])</f>
        <v>176.41000000000003</v>
      </c>
    </row>
    <row r="1575" spans="1:10">
      <c r="A1575" t="s">
        <v>2023</v>
      </c>
      <c r="B1575" s="2">
        <v>46235</v>
      </c>
      <c r="C1575" t="s">
        <v>404</v>
      </c>
      <c r="D1575" t="s">
        <v>405</v>
      </c>
      <c r="E1575" t="str">
        <f>_xlfn.XLOOKUP(Sales[[#This Row],[Product Name]],Products[Product Name],Products[Category])</f>
        <v>Combo Meals</v>
      </c>
      <c r="F1575" t="s">
        <v>444</v>
      </c>
      <c r="G1575" t="s">
        <v>450</v>
      </c>
      <c r="H1575">
        <v>79</v>
      </c>
      <c r="I1575" s="5">
        <f>_xlfn.XLOOKUP(Sales[[#This Row],[Product Name]],Products[Product Name],Products[Selling Price (CAD)])</f>
        <v>8.99</v>
      </c>
      <c r="J1575" s="5">
        <f>PRODUCT(Sales[[#This Row],[Quantity Sold]],Sales[[#This Row],[Unit Selling Price (CAD)]])</f>
        <v>710.21</v>
      </c>
    </row>
    <row r="1576" spans="1:10">
      <c r="A1576" t="s">
        <v>2024</v>
      </c>
      <c r="B1576" s="2">
        <v>46235</v>
      </c>
      <c r="C1576" t="s">
        <v>301</v>
      </c>
      <c r="D1576" t="s">
        <v>302</v>
      </c>
      <c r="E1576" t="str">
        <f>_xlfn.XLOOKUP(Sales[[#This Row],[Product Name]],Products[Product Name],Products[Category])</f>
        <v>Beverages</v>
      </c>
      <c r="F1576" t="s">
        <v>449</v>
      </c>
      <c r="G1576" t="s">
        <v>450</v>
      </c>
      <c r="H1576">
        <v>65</v>
      </c>
      <c r="I1576" s="5">
        <f>_xlfn.XLOOKUP(Sales[[#This Row],[Product Name]],Products[Product Name],Products[Selling Price (CAD)])</f>
        <v>1.99</v>
      </c>
      <c r="J1576" s="5">
        <f>PRODUCT(Sales[[#This Row],[Quantity Sold]],Sales[[#This Row],[Unit Selling Price (CAD)]])</f>
        <v>129.35</v>
      </c>
    </row>
    <row r="1577" spans="1:10">
      <c r="A1577" t="s">
        <v>2025</v>
      </c>
      <c r="B1577" s="2">
        <v>46235</v>
      </c>
      <c r="C1577" t="s">
        <v>301</v>
      </c>
      <c r="D1577" t="s">
        <v>302</v>
      </c>
      <c r="E1577" t="str">
        <f>_xlfn.XLOOKUP(Sales[[#This Row],[Product Name]],Products[Product Name],Products[Category])</f>
        <v>Beverages</v>
      </c>
      <c r="F1577" t="s">
        <v>447</v>
      </c>
      <c r="G1577" t="s">
        <v>445</v>
      </c>
      <c r="H1577">
        <v>54</v>
      </c>
      <c r="I1577" s="5">
        <f>_xlfn.XLOOKUP(Sales[[#This Row],[Product Name]],Products[Product Name],Products[Selling Price (CAD)])</f>
        <v>1.99</v>
      </c>
      <c r="J1577" s="5">
        <f>PRODUCT(Sales[[#This Row],[Quantity Sold]],Sales[[#This Row],[Unit Selling Price (CAD)]])</f>
        <v>107.46</v>
      </c>
    </row>
    <row r="1578" spans="1:10">
      <c r="A1578" t="s">
        <v>2026</v>
      </c>
      <c r="B1578" s="2">
        <v>46235</v>
      </c>
      <c r="C1578" t="s">
        <v>38</v>
      </c>
      <c r="D1578" t="s">
        <v>39</v>
      </c>
      <c r="E1578" t="str">
        <f>_xlfn.XLOOKUP(Sales[[#This Row],[Product Name]],Products[Product Name],Products[Category])</f>
        <v>Burgers</v>
      </c>
      <c r="F1578" t="s">
        <v>444</v>
      </c>
      <c r="G1578" t="s">
        <v>450</v>
      </c>
      <c r="H1578">
        <v>68</v>
      </c>
      <c r="I1578" s="5">
        <f>_xlfn.XLOOKUP(Sales[[#This Row],[Product Name]],Products[Product Name],Products[Selling Price (CAD)])</f>
        <v>10.99</v>
      </c>
      <c r="J1578" s="5">
        <f>PRODUCT(Sales[[#This Row],[Quantity Sold]],Sales[[#This Row],[Unit Selling Price (CAD)]])</f>
        <v>747.32</v>
      </c>
    </row>
    <row r="1579" spans="1:10">
      <c r="A1579" t="s">
        <v>2027</v>
      </c>
      <c r="B1579" s="2">
        <v>46235</v>
      </c>
      <c r="C1579" t="s">
        <v>113</v>
      </c>
      <c r="D1579" t="s">
        <v>114</v>
      </c>
      <c r="E1579" t="str">
        <f>_xlfn.XLOOKUP(Sales[[#This Row],[Product Name]],Products[Product Name],Products[Category])</f>
        <v>Chicken</v>
      </c>
      <c r="F1579" t="s">
        <v>444</v>
      </c>
      <c r="G1579" t="s">
        <v>454</v>
      </c>
      <c r="H1579">
        <v>49</v>
      </c>
      <c r="I1579" s="5">
        <f>_xlfn.XLOOKUP(Sales[[#This Row],[Product Name]],Products[Product Name],Products[Selling Price (CAD)])</f>
        <v>5.99</v>
      </c>
      <c r="J1579" s="5">
        <f>PRODUCT(Sales[[#This Row],[Quantity Sold]],Sales[[#This Row],[Unit Selling Price (CAD)]])</f>
        <v>293.51</v>
      </c>
    </row>
    <row r="1580" spans="1:10">
      <c r="A1580" t="s">
        <v>2028</v>
      </c>
      <c r="B1580" s="2">
        <v>46235</v>
      </c>
      <c r="C1580" t="s">
        <v>315</v>
      </c>
      <c r="D1580" t="s">
        <v>316</v>
      </c>
      <c r="E1580" t="str">
        <f>_xlfn.XLOOKUP(Sales[[#This Row],[Product Name]],Products[Product Name],Products[Category])</f>
        <v>Beverages</v>
      </c>
      <c r="F1580" t="s">
        <v>447</v>
      </c>
      <c r="G1580" t="s">
        <v>445</v>
      </c>
      <c r="H1580">
        <v>52</v>
      </c>
      <c r="I1580" s="5">
        <f>_xlfn.XLOOKUP(Sales[[#This Row],[Product Name]],Products[Product Name],Products[Selling Price (CAD)])</f>
        <v>3.99</v>
      </c>
      <c r="J1580" s="5">
        <f>PRODUCT(Sales[[#This Row],[Quantity Sold]],Sales[[#This Row],[Unit Selling Price (CAD)]])</f>
        <v>207.48000000000002</v>
      </c>
    </row>
    <row r="1581" spans="1:10">
      <c r="A1581" t="s">
        <v>2029</v>
      </c>
      <c r="B1581" s="2">
        <v>46235</v>
      </c>
      <c r="C1581" t="s">
        <v>62</v>
      </c>
      <c r="D1581" t="s">
        <v>63</v>
      </c>
      <c r="E1581" t="str">
        <f>_xlfn.XLOOKUP(Sales[[#This Row],[Product Name]],Products[Product Name],Products[Category])</f>
        <v>Burgers</v>
      </c>
      <c r="F1581" t="s">
        <v>447</v>
      </c>
      <c r="G1581" t="s">
        <v>452</v>
      </c>
      <c r="H1581">
        <v>66</v>
      </c>
      <c r="I1581" s="5">
        <f>_xlfn.XLOOKUP(Sales[[#This Row],[Product Name]],Products[Product Name],Products[Selling Price (CAD)])</f>
        <v>8.99</v>
      </c>
      <c r="J1581" s="5">
        <f>PRODUCT(Sales[[#This Row],[Quantity Sold]],Sales[[#This Row],[Unit Selling Price (CAD)]])</f>
        <v>593.34</v>
      </c>
    </row>
    <row r="1582" spans="1:10">
      <c r="A1582" t="s">
        <v>2030</v>
      </c>
      <c r="B1582" s="2">
        <v>46235</v>
      </c>
      <c r="C1582" t="s">
        <v>145</v>
      </c>
      <c r="D1582" t="s">
        <v>146</v>
      </c>
      <c r="E1582" t="str">
        <f>_xlfn.XLOOKUP(Sales[[#This Row],[Product Name]],Products[Product Name],Products[Category])</f>
        <v>Breakfast</v>
      </c>
      <c r="F1582" t="s">
        <v>447</v>
      </c>
      <c r="G1582" t="s">
        <v>445</v>
      </c>
      <c r="H1582">
        <v>64</v>
      </c>
      <c r="I1582" s="5">
        <f>_xlfn.XLOOKUP(Sales[[#This Row],[Product Name]],Products[Product Name],Products[Selling Price (CAD)])</f>
        <v>4.99</v>
      </c>
      <c r="J1582" s="5">
        <f>PRODUCT(Sales[[#This Row],[Quantity Sold]],Sales[[#This Row],[Unit Selling Price (CAD)]])</f>
        <v>319.36</v>
      </c>
    </row>
    <row r="1583" spans="1:10">
      <c r="A1583" t="s">
        <v>2031</v>
      </c>
      <c r="B1583" s="2">
        <v>46236</v>
      </c>
      <c r="C1583" t="s">
        <v>85</v>
      </c>
      <c r="D1583" t="s">
        <v>86</v>
      </c>
      <c r="E1583" t="str">
        <f>_xlfn.XLOOKUP(Sales[[#This Row],[Product Name]],Products[Product Name],Products[Category])</f>
        <v>Chicken</v>
      </c>
      <c r="F1583" t="s">
        <v>444</v>
      </c>
      <c r="G1583" t="s">
        <v>452</v>
      </c>
      <c r="H1583">
        <v>76</v>
      </c>
      <c r="I1583" s="5">
        <f>_xlfn.XLOOKUP(Sales[[#This Row],[Product Name]],Products[Product Name],Products[Selling Price (CAD)])</f>
        <v>6.99</v>
      </c>
      <c r="J1583" s="5">
        <f>PRODUCT(Sales[[#This Row],[Quantity Sold]],Sales[[#This Row],[Unit Selling Price (CAD)]])</f>
        <v>531.24</v>
      </c>
    </row>
    <row r="1584" spans="1:10">
      <c r="A1584" t="s">
        <v>2032</v>
      </c>
      <c r="B1584" s="2">
        <v>46236</v>
      </c>
      <c r="C1584" t="s">
        <v>207</v>
      </c>
      <c r="D1584" t="s">
        <v>208</v>
      </c>
      <c r="E1584" t="str">
        <f>_xlfn.XLOOKUP(Sales[[#This Row],[Product Name]],Products[Product Name],Products[Category])</f>
        <v>Sides</v>
      </c>
      <c r="F1584" t="s">
        <v>449</v>
      </c>
      <c r="G1584" t="s">
        <v>450</v>
      </c>
      <c r="H1584">
        <v>74</v>
      </c>
      <c r="I1584" s="5">
        <f>_xlfn.XLOOKUP(Sales[[#This Row],[Product Name]],Products[Product Name],Products[Selling Price (CAD)])</f>
        <v>3.99</v>
      </c>
      <c r="J1584" s="5">
        <f>PRODUCT(Sales[[#This Row],[Quantity Sold]],Sales[[#This Row],[Unit Selling Price (CAD)]])</f>
        <v>295.26</v>
      </c>
    </row>
    <row r="1585" spans="1:10">
      <c r="A1585" t="s">
        <v>2033</v>
      </c>
      <c r="B1585" s="2">
        <v>46236</v>
      </c>
      <c r="C1585" t="s">
        <v>225</v>
      </c>
      <c r="D1585" t="s">
        <v>226</v>
      </c>
      <c r="E1585" t="str">
        <f>_xlfn.XLOOKUP(Sales[[#This Row],[Product Name]],Products[Product Name],Products[Category])</f>
        <v>Salads</v>
      </c>
      <c r="F1585" t="s">
        <v>449</v>
      </c>
      <c r="G1585" t="s">
        <v>454</v>
      </c>
      <c r="H1585">
        <v>40</v>
      </c>
      <c r="I1585" s="5">
        <f>_xlfn.XLOOKUP(Sales[[#This Row],[Product Name]],Products[Product Name],Products[Selling Price (CAD)])</f>
        <v>8.99</v>
      </c>
      <c r="J1585" s="5">
        <f>PRODUCT(Sales[[#This Row],[Quantity Sold]],Sales[[#This Row],[Unit Selling Price (CAD)]])</f>
        <v>359.6</v>
      </c>
    </row>
    <row r="1586" spans="1:10">
      <c r="A1586" t="s">
        <v>2034</v>
      </c>
      <c r="B1586" s="2">
        <v>46236</v>
      </c>
      <c r="C1586" t="s">
        <v>247</v>
      </c>
      <c r="D1586" t="s">
        <v>248</v>
      </c>
      <c r="E1586" t="str">
        <f>_xlfn.XLOOKUP(Sales[[#This Row],[Product Name]],Products[Product Name],Products[Category])</f>
        <v>Salads</v>
      </c>
      <c r="F1586" t="s">
        <v>449</v>
      </c>
      <c r="G1586" t="s">
        <v>450</v>
      </c>
      <c r="H1586">
        <v>69</v>
      </c>
      <c r="I1586" s="5">
        <f>_xlfn.XLOOKUP(Sales[[#This Row],[Product Name]],Products[Product Name],Products[Selling Price (CAD)])</f>
        <v>6.99</v>
      </c>
      <c r="J1586" s="5">
        <f>PRODUCT(Sales[[#This Row],[Quantity Sold]],Sales[[#This Row],[Unit Selling Price (CAD)]])</f>
        <v>482.31</v>
      </c>
    </row>
    <row r="1587" spans="1:10">
      <c r="A1587" t="s">
        <v>2035</v>
      </c>
      <c r="B1587" s="2">
        <v>46236</v>
      </c>
      <c r="C1587" t="s">
        <v>12</v>
      </c>
      <c r="D1587" t="s">
        <v>13</v>
      </c>
      <c r="E1587" t="str">
        <f>_xlfn.XLOOKUP(Sales[[#This Row],[Product Name]],Products[Product Name],Products[Category])</f>
        <v>Burgers</v>
      </c>
      <c r="F1587" t="s">
        <v>444</v>
      </c>
      <c r="G1587" t="s">
        <v>454</v>
      </c>
      <c r="H1587">
        <v>55</v>
      </c>
      <c r="I1587" s="5">
        <f>_xlfn.XLOOKUP(Sales[[#This Row],[Product Name]],Products[Product Name],Products[Selling Price (CAD)])</f>
        <v>5.99</v>
      </c>
      <c r="J1587" s="5">
        <f>PRODUCT(Sales[[#This Row],[Quantity Sold]],Sales[[#This Row],[Unit Selling Price (CAD)]])</f>
        <v>329.45</v>
      </c>
    </row>
    <row r="1588" spans="1:10">
      <c r="A1588" t="s">
        <v>2036</v>
      </c>
      <c r="B1588" s="2">
        <v>46237</v>
      </c>
      <c r="C1588" t="s">
        <v>267</v>
      </c>
      <c r="D1588" t="s">
        <v>268</v>
      </c>
      <c r="E1588" t="str">
        <f>_xlfn.XLOOKUP(Sales[[#This Row],[Product Name]],Products[Product Name],Products[Category])</f>
        <v>Beverages</v>
      </c>
      <c r="F1588" t="s">
        <v>444</v>
      </c>
      <c r="G1588" t="s">
        <v>450</v>
      </c>
      <c r="H1588">
        <v>78</v>
      </c>
      <c r="I1588" s="5">
        <f>_xlfn.XLOOKUP(Sales[[#This Row],[Product Name]],Products[Product Name],Products[Selling Price (CAD)])</f>
        <v>2.99</v>
      </c>
      <c r="J1588" s="5">
        <f>PRODUCT(Sales[[#This Row],[Quantity Sold]],Sales[[#This Row],[Unit Selling Price (CAD)]])</f>
        <v>233.22000000000003</v>
      </c>
    </row>
    <row r="1589" spans="1:10">
      <c r="A1589" t="s">
        <v>2037</v>
      </c>
      <c r="B1589" s="2">
        <v>46237</v>
      </c>
      <c r="C1589" t="s">
        <v>307</v>
      </c>
      <c r="D1589" t="s">
        <v>308</v>
      </c>
      <c r="E1589" t="str">
        <f>_xlfn.XLOOKUP(Sales[[#This Row],[Product Name]],Products[Product Name],Products[Category])</f>
        <v>Beverages</v>
      </c>
      <c r="F1589" t="s">
        <v>449</v>
      </c>
      <c r="G1589" t="s">
        <v>445</v>
      </c>
      <c r="H1589">
        <v>63</v>
      </c>
      <c r="I1589" s="5">
        <f>_xlfn.XLOOKUP(Sales[[#This Row],[Product Name]],Products[Product Name],Products[Selling Price (CAD)])</f>
        <v>2.99</v>
      </c>
      <c r="J1589" s="5">
        <f>PRODUCT(Sales[[#This Row],[Quantity Sold]],Sales[[#This Row],[Unit Selling Price (CAD)]])</f>
        <v>188.37</v>
      </c>
    </row>
    <row r="1590" spans="1:10">
      <c r="A1590" t="s">
        <v>2038</v>
      </c>
      <c r="B1590" s="2">
        <v>46237</v>
      </c>
      <c r="C1590" t="s">
        <v>313</v>
      </c>
      <c r="D1590" t="s">
        <v>314</v>
      </c>
      <c r="E1590" t="str">
        <f>_xlfn.XLOOKUP(Sales[[#This Row],[Product Name]],Products[Product Name],Products[Category])</f>
        <v>Beverages</v>
      </c>
      <c r="F1590" t="s">
        <v>447</v>
      </c>
      <c r="G1590" t="s">
        <v>450</v>
      </c>
      <c r="H1590">
        <v>46</v>
      </c>
      <c r="I1590" s="5">
        <f>_xlfn.XLOOKUP(Sales[[#This Row],[Product Name]],Products[Product Name],Products[Selling Price (CAD)])</f>
        <v>3.99</v>
      </c>
      <c r="J1590" s="5">
        <f>PRODUCT(Sales[[#This Row],[Quantity Sold]],Sales[[#This Row],[Unit Selling Price (CAD)]])</f>
        <v>183.54000000000002</v>
      </c>
    </row>
    <row r="1591" spans="1:10">
      <c r="A1591" t="s">
        <v>2039</v>
      </c>
      <c r="B1591" s="2">
        <v>46238</v>
      </c>
      <c r="C1591" t="s">
        <v>327</v>
      </c>
      <c r="D1591" t="s">
        <v>328</v>
      </c>
      <c r="E1591" t="str">
        <f>_xlfn.XLOOKUP(Sales[[#This Row],[Product Name]],Products[Product Name],Products[Category])</f>
        <v>Desserts</v>
      </c>
      <c r="F1591" t="s">
        <v>447</v>
      </c>
      <c r="G1591" t="s">
        <v>452</v>
      </c>
      <c r="H1591">
        <v>58</v>
      </c>
      <c r="I1591" s="5">
        <f>_xlfn.XLOOKUP(Sales[[#This Row],[Product Name]],Products[Product Name],Products[Selling Price (CAD)])</f>
        <v>4.49</v>
      </c>
      <c r="J1591" s="5">
        <f>PRODUCT(Sales[[#This Row],[Quantity Sold]],Sales[[#This Row],[Unit Selling Price (CAD)]])</f>
        <v>260.42</v>
      </c>
    </row>
    <row r="1592" spans="1:10">
      <c r="A1592" t="s">
        <v>2040</v>
      </c>
      <c r="B1592" s="2">
        <v>46238</v>
      </c>
      <c r="C1592" t="s">
        <v>423</v>
      </c>
      <c r="D1592" t="s">
        <v>424</v>
      </c>
      <c r="E1592" t="str">
        <f>_xlfn.XLOOKUP(Sales[[#This Row],[Product Name]],Products[Product Name],Products[Category])</f>
        <v>Combo Meals</v>
      </c>
      <c r="F1592" t="s">
        <v>447</v>
      </c>
      <c r="G1592" t="s">
        <v>454</v>
      </c>
      <c r="H1592">
        <v>46</v>
      </c>
      <c r="I1592" s="5">
        <f>_xlfn.XLOOKUP(Sales[[#This Row],[Product Name]],Products[Product Name],Products[Selling Price (CAD)])</f>
        <v>12.99</v>
      </c>
      <c r="J1592" s="5">
        <f>PRODUCT(Sales[[#This Row],[Quantity Sold]],Sales[[#This Row],[Unit Selling Price (CAD)]])</f>
        <v>597.54</v>
      </c>
    </row>
    <row r="1593" spans="1:10">
      <c r="A1593" t="s">
        <v>2041</v>
      </c>
      <c r="B1593" s="2">
        <v>46238</v>
      </c>
      <c r="C1593" t="s">
        <v>325</v>
      </c>
      <c r="D1593" t="s">
        <v>326</v>
      </c>
      <c r="E1593" t="str">
        <f>_xlfn.XLOOKUP(Sales[[#This Row],[Product Name]],Products[Product Name],Products[Category])</f>
        <v>Desserts</v>
      </c>
      <c r="F1593" t="s">
        <v>447</v>
      </c>
      <c r="G1593" t="s">
        <v>452</v>
      </c>
      <c r="H1593">
        <v>40</v>
      </c>
      <c r="I1593" s="5">
        <f>_xlfn.XLOOKUP(Sales[[#This Row],[Product Name]],Products[Product Name],Products[Selling Price (CAD)])</f>
        <v>3.49</v>
      </c>
      <c r="J1593" s="5">
        <f>PRODUCT(Sales[[#This Row],[Quantity Sold]],Sales[[#This Row],[Unit Selling Price (CAD)]])</f>
        <v>139.60000000000002</v>
      </c>
    </row>
    <row r="1594" spans="1:10">
      <c r="A1594" t="s">
        <v>2042</v>
      </c>
      <c r="B1594" s="2">
        <v>46238</v>
      </c>
      <c r="C1594" t="s">
        <v>215</v>
      </c>
      <c r="D1594" t="s">
        <v>216</v>
      </c>
      <c r="E1594" t="str">
        <f>_xlfn.XLOOKUP(Sales[[#This Row],[Product Name]],Products[Product Name],Products[Category])</f>
        <v>Sides</v>
      </c>
      <c r="F1594" t="s">
        <v>444</v>
      </c>
      <c r="G1594" t="s">
        <v>445</v>
      </c>
      <c r="H1594">
        <v>78</v>
      </c>
      <c r="I1594" s="5">
        <f>_xlfn.XLOOKUP(Sales[[#This Row],[Product Name]],Products[Product Name],Products[Selling Price (CAD)])</f>
        <v>2.99</v>
      </c>
      <c r="J1594" s="5">
        <f>PRODUCT(Sales[[#This Row],[Quantity Sold]],Sales[[#This Row],[Unit Selling Price (CAD)]])</f>
        <v>233.22000000000003</v>
      </c>
    </row>
    <row r="1595" spans="1:10">
      <c r="A1595" t="s">
        <v>2043</v>
      </c>
      <c r="B1595" s="2">
        <v>46238</v>
      </c>
      <c r="C1595" t="s">
        <v>129</v>
      </c>
      <c r="D1595" t="s">
        <v>130</v>
      </c>
      <c r="E1595" t="str">
        <f>_xlfn.XLOOKUP(Sales[[#This Row],[Product Name]],Products[Product Name],Products[Category])</f>
        <v>Chicken</v>
      </c>
      <c r="F1595" t="s">
        <v>447</v>
      </c>
      <c r="G1595" t="s">
        <v>450</v>
      </c>
      <c r="H1595">
        <v>42</v>
      </c>
      <c r="I1595" s="5">
        <f>_xlfn.XLOOKUP(Sales[[#This Row],[Product Name]],Products[Product Name],Products[Selling Price (CAD)])</f>
        <v>11.99</v>
      </c>
      <c r="J1595" s="5">
        <f>PRODUCT(Sales[[#This Row],[Quantity Sold]],Sales[[#This Row],[Unit Selling Price (CAD)]])</f>
        <v>503.58</v>
      </c>
    </row>
    <row r="1596" spans="1:10">
      <c r="A1596" t="s">
        <v>2044</v>
      </c>
      <c r="B1596" s="2">
        <v>46238</v>
      </c>
      <c r="C1596" t="s">
        <v>259</v>
      </c>
      <c r="D1596" t="s">
        <v>260</v>
      </c>
      <c r="E1596" t="str">
        <f>_xlfn.XLOOKUP(Sales[[#This Row],[Product Name]],Products[Product Name],Products[Category])</f>
        <v>Beverages</v>
      </c>
      <c r="F1596" t="s">
        <v>444</v>
      </c>
      <c r="G1596" t="s">
        <v>450</v>
      </c>
      <c r="H1596">
        <v>75</v>
      </c>
      <c r="I1596" s="5">
        <f>_xlfn.XLOOKUP(Sales[[#This Row],[Product Name]],Products[Product Name],Products[Selling Price (CAD)])</f>
        <v>1.99</v>
      </c>
      <c r="J1596" s="5">
        <f>PRODUCT(Sales[[#This Row],[Quantity Sold]],Sales[[#This Row],[Unit Selling Price (CAD)]])</f>
        <v>149.25</v>
      </c>
    </row>
    <row r="1597" spans="1:10">
      <c r="A1597" t="s">
        <v>2045</v>
      </c>
      <c r="B1597" s="2">
        <v>46239</v>
      </c>
      <c r="C1597" t="s">
        <v>70</v>
      </c>
      <c r="D1597" t="s">
        <v>71</v>
      </c>
      <c r="E1597" t="str">
        <f>_xlfn.XLOOKUP(Sales[[#This Row],[Product Name]],Products[Product Name],Products[Category])</f>
        <v>Burgers</v>
      </c>
      <c r="F1597" t="s">
        <v>449</v>
      </c>
      <c r="G1597" t="s">
        <v>450</v>
      </c>
      <c r="H1597">
        <v>75</v>
      </c>
      <c r="I1597" s="5">
        <f>_xlfn.XLOOKUP(Sales[[#This Row],[Product Name]],Products[Product Name],Products[Selling Price (CAD)])</f>
        <v>8.99</v>
      </c>
      <c r="J1597" s="5">
        <f>PRODUCT(Sales[[#This Row],[Quantity Sold]],Sales[[#This Row],[Unit Selling Price (CAD)]])</f>
        <v>674.25</v>
      </c>
    </row>
    <row r="1598" spans="1:10">
      <c r="A1598" t="s">
        <v>2046</v>
      </c>
      <c r="B1598" s="2">
        <v>46239</v>
      </c>
      <c r="C1598" t="s">
        <v>48</v>
      </c>
      <c r="D1598" t="s">
        <v>49</v>
      </c>
      <c r="E1598" t="str">
        <f>_xlfn.XLOOKUP(Sales[[#This Row],[Product Name]],Products[Product Name],Products[Category])</f>
        <v>Burgers</v>
      </c>
      <c r="F1598" t="s">
        <v>447</v>
      </c>
      <c r="G1598" t="s">
        <v>445</v>
      </c>
      <c r="H1598">
        <v>72</v>
      </c>
      <c r="I1598" s="5">
        <f>_xlfn.XLOOKUP(Sales[[#This Row],[Product Name]],Products[Product Name],Products[Selling Price (CAD)])</f>
        <v>6.49</v>
      </c>
      <c r="J1598" s="5">
        <f>PRODUCT(Sales[[#This Row],[Quantity Sold]],Sales[[#This Row],[Unit Selling Price (CAD)]])</f>
        <v>467.28000000000003</v>
      </c>
    </row>
    <row r="1599" spans="1:10">
      <c r="A1599" t="s">
        <v>2047</v>
      </c>
      <c r="B1599" s="2">
        <v>46239</v>
      </c>
      <c r="C1599" t="s">
        <v>107</v>
      </c>
      <c r="D1599" t="s">
        <v>108</v>
      </c>
      <c r="E1599" t="str">
        <f>_xlfn.XLOOKUP(Sales[[#This Row],[Product Name]],Products[Product Name],Products[Category])</f>
        <v>Chicken</v>
      </c>
      <c r="F1599" t="s">
        <v>449</v>
      </c>
      <c r="G1599" t="s">
        <v>450</v>
      </c>
      <c r="H1599">
        <v>56</v>
      </c>
      <c r="I1599" s="5">
        <f>_xlfn.XLOOKUP(Sales[[#This Row],[Product Name]],Products[Product Name],Products[Selling Price (CAD)])</f>
        <v>5.99</v>
      </c>
      <c r="J1599" s="5">
        <f>PRODUCT(Sales[[#This Row],[Quantity Sold]],Sales[[#This Row],[Unit Selling Price (CAD)]])</f>
        <v>335.44</v>
      </c>
    </row>
    <row r="1600" spans="1:10">
      <c r="A1600" t="s">
        <v>2048</v>
      </c>
      <c r="B1600" s="2">
        <v>46239</v>
      </c>
      <c r="C1600" t="s">
        <v>263</v>
      </c>
      <c r="D1600" t="s">
        <v>264</v>
      </c>
      <c r="E1600" t="str">
        <f>_xlfn.XLOOKUP(Sales[[#This Row],[Product Name]],Products[Product Name],Products[Category])</f>
        <v>Beverages</v>
      </c>
      <c r="F1600" t="s">
        <v>447</v>
      </c>
      <c r="G1600" t="s">
        <v>450</v>
      </c>
      <c r="H1600">
        <v>67</v>
      </c>
      <c r="I1600" s="5">
        <f>_xlfn.XLOOKUP(Sales[[#This Row],[Product Name]],Products[Product Name],Products[Selling Price (CAD)])</f>
        <v>2.99</v>
      </c>
      <c r="J1600" s="5">
        <f>PRODUCT(Sales[[#This Row],[Quantity Sold]],Sales[[#This Row],[Unit Selling Price (CAD)]])</f>
        <v>200.33</v>
      </c>
    </row>
    <row r="1601" spans="1:10">
      <c r="A1601" t="s">
        <v>2049</v>
      </c>
      <c r="B1601" s="2">
        <v>46239</v>
      </c>
      <c r="C1601" t="s">
        <v>87</v>
      </c>
      <c r="D1601" t="s">
        <v>88</v>
      </c>
      <c r="E1601" t="str">
        <f>_xlfn.XLOOKUP(Sales[[#This Row],[Product Name]],Products[Product Name],Products[Category])</f>
        <v>Chicken</v>
      </c>
      <c r="F1601" t="s">
        <v>444</v>
      </c>
      <c r="G1601" t="s">
        <v>452</v>
      </c>
      <c r="H1601">
        <v>44</v>
      </c>
      <c r="I1601" s="5">
        <f>_xlfn.XLOOKUP(Sales[[#This Row],[Product Name]],Products[Product Name],Products[Selling Price (CAD)])</f>
        <v>6.99</v>
      </c>
      <c r="J1601" s="5">
        <f>PRODUCT(Sales[[#This Row],[Quantity Sold]],Sales[[#This Row],[Unit Selling Price (CAD)]])</f>
        <v>307.56</v>
      </c>
    </row>
    <row r="1602" spans="1:10">
      <c r="A1602" t="s">
        <v>2050</v>
      </c>
      <c r="B1602" s="2">
        <v>46239</v>
      </c>
      <c r="C1602" t="s">
        <v>139</v>
      </c>
      <c r="D1602" t="s">
        <v>140</v>
      </c>
      <c r="E1602" t="str">
        <f>_xlfn.XLOOKUP(Sales[[#This Row],[Product Name]],Products[Product Name],Products[Category])</f>
        <v>Breakfast</v>
      </c>
      <c r="F1602" t="s">
        <v>444</v>
      </c>
      <c r="G1602" t="s">
        <v>452</v>
      </c>
      <c r="H1602">
        <v>56</v>
      </c>
      <c r="I1602" s="5">
        <f>_xlfn.XLOOKUP(Sales[[#This Row],[Product Name]],Products[Product Name],Products[Selling Price (CAD)])</f>
        <v>4.99</v>
      </c>
      <c r="J1602" s="5">
        <f>PRODUCT(Sales[[#This Row],[Quantity Sold]],Sales[[#This Row],[Unit Selling Price (CAD)]])</f>
        <v>279.44</v>
      </c>
    </row>
    <row r="1603" spans="1:10">
      <c r="A1603" t="s">
        <v>2051</v>
      </c>
      <c r="B1603" s="2">
        <v>46239</v>
      </c>
      <c r="C1603" t="s">
        <v>135</v>
      </c>
      <c r="D1603" t="s">
        <v>136</v>
      </c>
      <c r="E1603" t="str">
        <f>_xlfn.XLOOKUP(Sales[[#This Row],[Product Name]],Products[Product Name],Products[Category])</f>
        <v>Breakfast</v>
      </c>
      <c r="F1603" t="s">
        <v>447</v>
      </c>
      <c r="G1603" t="s">
        <v>454</v>
      </c>
      <c r="H1603">
        <v>34</v>
      </c>
      <c r="I1603" s="5">
        <f>_xlfn.XLOOKUP(Sales[[#This Row],[Product Name]],Products[Product Name],Products[Selling Price (CAD)])</f>
        <v>4.99</v>
      </c>
      <c r="J1603" s="5">
        <f>PRODUCT(Sales[[#This Row],[Quantity Sold]],Sales[[#This Row],[Unit Selling Price (CAD)]])</f>
        <v>169.66</v>
      </c>
    </row>
    <row r="1604" spans="1:10">
      <c r="A1604" t="s">
        <v>2052</v>
      </c>
      <c r="B1604" s="2">
        <v>46239</v>
      </c>
      <c r="C1604" t="s">
        <v>361</v>
      </c>
      <c r="D1604" t="s">
        <v>362</v>
      </c>
      <c r="E1604" t="str">
        <f>_xlfn.XLOOKUP(Sales[[#This Row],[Product Name]],Products[Product Name],Products[Category])</f>
        <v>Desserts</v>
      </c>
      <c r="F1604" t="s">
        <v>449</v>
      </c>
      <c r="G1604" t="s">
        <v>452</v>
      </c>
      <c r="H1604">
        <v>74</v>
      </c>
      <c r="I1604" s="5">
        <f>_xlfn.XLOOKUP(Sales[[#This Row],[Product Name]],Products[Product Name],Products[Selling Price (CAD)])</f>
        <v>5.99</v>
      </c>
      <c r="J1604" s="5">
        <f>PRODUCT(Sales[[#This Row],[Quantity Sold]],Sales[[#This Row],[Unit Selling Price (CAD)]])</f>
        <v>443.26</v>
      </c>
    </row>
    <row r="1605" spans="1:10">
      <c r="A1605" t="s">
        <v>2053</v>
      </c>
      <c r="B1605" s="2">
        <v>46240</v>
      </c>
      <c r="C1605" t="s">
        <v>103</v>
      </c>
      <c r="D1605" t="s">
        <v>104</v>
      </c>
      <c r="E1605" t="str">
        <f>_xlfn.XLOOKUP(Sales[[#This Row],[Product Name]],Products[Product Name],Products[Category])</f>
        <v>Chicken</v>
      </c>
      <c r="F1605" t="s">
        <v>447</v>
      </c>
      <c r="G1605" t="s">
        <v>450</v>
      </c>
      <c r="H1605">
        <v>54</v>
      </c>
      <c r="I1605" s="5">
        <f>_xlfn.XLOOKUP(Sales[[#This Row],[Product Name]],Products[Product Name],Products[Selling Price (CAD)])</f>
        <v>7.99</v>
      </c>
      <c r="J1605" s="5">
        <f>PRODUCT(Sales[[#This Row],[Quantity Sold]],Sales[[#This Row],[Unit Selling Price (CAD)]])</f>
        <v>431.46000000000004</v>
      </c>
    </row>
    <row r="1606" spans="1:10">
      <c r="A1606" t="s">
        <v>2054</v>
      </c>
      <c r="B1606" s="2">
        <v>46240</v>
      </c>
      <c r="C1606" t="s">
        <v>87</v>
      </c>
      <c r="D1606" t="s">
        <v>88</v>
      </c>
      <c r="E1606" t="str">
        <f>_xlfn.XLOOKUP(Sales[[#This Row],[Product Name]],Products[Product Name],Products[Category])</f>
        <v>Chicken</v>
      </c>
      <c r="F1606" t="s">
        <v>449</v>
      </c>
      <c r="G1606" t="s">
        <v>450</v>
      </c>
      <c r="H1606">
        <v>48</v>
      </c>
      <c r="I1606" s="5">
        <f>_xlfn.XLOOKUP(Sales[[#This Row],[Product Name]],Products[Product Name],Products[Selling Price (CAD)])</f>
        <v>6.99</v>
      </c>
      <c r="J1606" s="5">
        <f>PRODUCT(Sales[[#This Row],[Quantity Sold]],Sales[[#This Row],[Unit Selling Price (CAD)]])</f>
        <v>335.52</v>
      </c>
    </row>
    <row r="1607" spans="1:10">
      <c r="A1607" t="s">
        <v>2055</v>
      </c>
      <c r="B1607" s="2">
        <v>46240</v>
      </c>
      <c r="C1607" t="s">
        <v>117</v>
      </c>
      <c r="D1607" t="s">
        <v>118</v>
      </c>
      <c r="E1607" t="str">
        <f>_xlfn.XLOOKUP(Sales[[#This Row],[Product Name]],Products[Product Name],Products[Category])</f>
        <v>Chicken</v>
      </c>
      <c r="F1607" t="s">
        <v>444</v>
      </c>
      <c r="G1607" t="s">
        <v>450</v>
      </c>
      <c r="H1607">
        <v>49</v>
      </c>
      <c r="I1607" s="5">
        <f>_xlfn.XLOOKUP(Sales[[#This Row],[Product Name]],Products[Product Name],Products[Selling Price (CAD)])</f>
        <v>4.99</v>
      </c>
      <c r="J1607" s="5">
        <f>PRODUCT(Sales[[#This Row],[Quantity Sold]],Sales[[#This Row],[Unit Selling Price (CAD)]])</f>
        <v>244.51000000000002</v>
      </c>
    </row>
    <row r="1608" spans="1:10">
      <c r="A1608" t="s">
        <v>2056</v>
      </c>
      <c r="B1608" s="2">
        <v>46240</v>
      </c>
      <c r="C1608" t="s">
        <v>413</v>
      </c>
      <c r="D1608" t="s">
        <v>414</v>
      </c>
      <c r="E1608" t="str">
        <f>_xlfn.XLOOKUP(Sales[[#This Row],[Product Name]],Products[Product Name],Products[Category])</f>
        <v>Combo Meals</v>
      </c>
      <c r="F1608" t="s">
        <v>447</v>
      </c>
      <c r="G1608" t="s">
        <v>454</v>
      </c>
      <c r="H1608">
        <v>68</v>
      </c>
      <c r="I1608" s="5">
        <f>_xlfn.XLOOKUP(Sales[[#This Row],[Product Name]],Products[Product Name],Products[Selling Price (CAD)])</f>
        <v>10.99</v>
      </c>
      <c r="J1608" s="5">
        <f>PRODUCT(Sales[[#This Row],[Quantity Sold]],Sales[[#This Row],[Unit Selling Price (CAD)]])</f>
        <v>747.32</v>
      </c>
    </row>
    <row r="1609" spans="1:10">
      <c r="A1609" t="s">
        <v>2057</v>
      </c>
      <c r="B1609" s="2">
        <v>46241</v>
      </c>
      <c r="C1609" t="s">
        <v>25</v>
      </c>
      <c r="D1609" t="s">
        <v>26</v>
      </c>
      <c r="E1609" t="str">
        <f>_xlfn.XLOOKUP(Sales[[#This Row],[Product Name]],Products[Product Name],Products[Category])</f>
        <v>Burgers</v>
      </c>
      <c r="F1609" t="s">
        <v>449</v>
      </c>
      <c r="G1609" t="s">
        <v>454</v>
      </c>
      <c r="H1609">
        <v>45</v>
      </c>
      <c r="I1609" s="5">
        <f>_xlfn.XLOOKUP(Sales[[#This Row],[Product Name]],Products[Product Name],Products[Selling Price (CAD)])</f>
        <v>5.99</v>
      </c>
      <c r="J1609" s="5">
        <f>PRODUCT(Sales[[#This Row],[Quantity Sold]],Sales[[#This Row],[Unit Selling Price (CAD)]])</f>
        <v>269.55</v>
      </c>
    </row>
    <row r="1610" spans="1:10">
      <c r="A1610" t="s">
        <v>2058</v>
      </c>
      <c r="B1610" s="2">
        <v>46241</v>
      </c>
      <c r="C1610" t="s">
        <v>303</v>
      </c>
      <c r="D1610" t="s">
        <v>304</v>
      </c>
      <c r="E1610" t="str">
        <f>_xlfn.XLOOKUP(Sales[[#This Row],[Product Name]],Products[Product Name],Products[Category])</f>
        <v>Beverages</v>
      </c>
      <c r="F1610" t="s">
        <v>447</v>
      </c>
      <c r="G1610" t="s">
        <v>445</v>
      </c>
      <c r="H1610">
        <v>48</v>
      </c>
      <c r="I1610" s="5">
        <f>_xlfn.XLOOKUP(Sales[[#This Row],[Product Name]],Products[Product Name],Products[Selling Price (CAD)])</f>
        <v>2.4900000000000002</v>
      </c>
      <c r="J1610" s="5">
        <f>PRODUCT(Sales[[#This Row],[Quantity Sold]],Sales[[#This Row],[Unit Selling Price (CAD)]])</f>
        <v>119.52000000000001</v>
      </c>
    </row>
    <row r="1611" spans="1:10">
      <c r="A1611" t="s">
        <v>2059</v>
      </c>
      <c r="B1611" s="2">
        <v>46241</v>
      </c>
      <c r="C1611" t="s">
        <v>419</v>
      </c>
      <c r="D1611" t="s">
        <v>420</v>
      </c>
      <c r="E1611" t="str">
        <f>_xlfn.XLOOKUP(Sales[[#This Row],[Product Name]],Products[Product Name],Products[Category])</f>
        <v>Combo Meals</v>
      </c>
      <c r="F1611" t="s">
        <v>444</v>
      </c>
      <c r="G1611" t="s">
        <v>450</v>
      </c>
      <c r="H1611">
        <v>52</v>
      </c>
      <c r="I1611" s="5">
        <f>_xlfn.XLOOKUP(Sales[[#This Row],[Product Name]],Products[Product Name],Products[Selling Price (CAD)])</f>
        <v>7.99</v>
      </c>
      <c r="J1611" s="5">
        <f>PRODUCT(Sales[[#This Row],[Quantity Sold]],Sales[[#This Row],[Unit Selling Price (CAD)]])</f>
        <v>415.48</v>
      </c>
    </row>
    <row r="1612" spans="1:10">
      <c r="A1612" t="s">
        <v>2060</v>
      </c>
      <c r="B1612" s="2">
        <v>46241</v>
      </c>
      <c r="C1612" t="s">
        <v>259</v>
      </c>
      <c r="D1612" t="s">
        <v>260</v>
      </c>
      <c r="E1612" t="str">
        <f>_xlfn.XLOOKUP(Sales[[#This Row],[Product Name]],Products[Product Name],Products[Category])</f>
        <v>Beverages</v>
      </c>
      <c r="F1612" t="s">
        <v>449</v>
      </c>
      <c r="G1612" t="s">
        <v>445</v>
      </c>
      <c r="H1612">
        <v>31</v>
      </c>
      <c r="I1612" s="5">
        <f>_xlfn.XLOOKUP(Sales[[#This Row],[Product Name]],Products[Product Name],Products[Selling Price (CAD)])</f>
        <v>1.99</v>
      </c>
      <c r="J1612" s="5">
        <f>PRODUCT(Sales[[#This Row],[Quantity Sold]],Sales[[#This Row],[Unit Selling Price (CAD)]])</f>
        <v>61.69</v>
      </c>
    </row>
    <row r="1613" spans="1:10">
      <c r="A1613" t="s">
        <v>2061</v>
      </c>
      <c r="B1613" s="2">
        <v>46241</v>
      </c>
      <c r="C1613" t="s">
        <v>105</v>
      </c>
      <c r="D1613" t="s">
        <v>106</v>
      </c>
      <c r="E1613" t="str">
        <f>_xlfn.XLOOKUP(Sales[[#This Row],[Product Name]],Products[Product Name],Products[Category])</f>
        <v>Chicken</v>
      </c>
      <c r="F1613" t="s">
        <v>444</v>
      </c>
      <c r="G1613" t="s">
        <v>450</v>
      </c>
      <c r="H1613">
        <v>35</v>
      </c>
      <c r="I1613" s="5">
        <f>_xlfn.XLOOKUP(Sales[[#This Row],[Product Name]],Products[Product Name],Products[Selling Price (CAD)])</f>
        <v>4.99</v>
      </c>
      <c r="J1613" s="5">
        <f>PRODUCT(Sales[[#This Row],[Quantity Sold]],Sales[[#This Row],[Unit Selling Price (CAD)]])</f>
        <v>174.65</v>
      </c>
    </row>
    <row r="1614" spans="1:10">
      <c r="A1614" t="s">
        <v>2062</v>
      </c>
      <c r="B1614" s="2">
        <v>46241</v>
      </c>
      <c r="C1614" t="s">
        <v>388</v>
      </c>
      <c r="D1614" t="s">
        <v>389</v>
      </c>
      <c r="E1614" t="str">
        <f>_xlfn.XLOOKUP(Sales[[#This Row],[Product Name]],Products[Product Name],Products[Category])</f>
        <v>Sauces &amp; Add-ons</v>
      </c>
      <c r="F1614" t="s">
        <v>449</v>
      </c>
      <c r="G1614" t="s">
        <v>452</v>
      </c>
      <c r="H1614">
        <v>50</v>
      </c>
      <c r="I1614" s="5">
        <f>_xlfn.XLOOKUP(Sales[[#This Row],[Product Name]],Products[Product Name],Products[Selling Price (CAD)])</f>
        <v>0.25</v>
      </c>
      <c r="J1614" s="5">
        <f>PRODUCT(Sales[[#This Row],[Quantity Sold]],Sales[[#This Row],[Unit Selling Price (CAD)]])</f>
        <v>12.5</v>
      </c>
    </row>
    <row r="1615" spans="1:10">
      <c r="A1615" t="s">
        <v>2063</v>
      </c>
      <c r="B1615" s="2">
        <v>46241</v>
      </c>
      <c r="C1615" t="s">
        <v>149</v>
      </c>
      <c r="D1615" t="s">
        <v>150</v>
      </c>
      <c r="E1615" t="str">
        <f>_xlfn.XLOOKUP(Sales[[#This Row],[Product Name]],Products[Product Name],Products[Category])</f>
        <v>Breakfast</v>
      </c>
      <c r="F1615" t="s">
        <v>449</v>
      </c>
      <c r="G1615" t="s">
        <v>450</v>
      </c>
      <c r="H1615">
        <v>62</v>
      </c>
      <c r="I1615" s="5">
        <f>_xlfn.XLOOKUP(Sales[[#This Row],[Product Name]],Products[Product Name],Products[Selling Price (CAD)])</f>
        <v>5.99</v>
      </c>
      <c r="J1615" s="5">
        <f>PRODUCT(Sales[[#This Row],[Quantity Sold]],Sales[[#This Row],[Unit Selling Price (CAD)]])</f>
        <v>371.38</v>
      </c>
    </row>
    <row r="1616" spans="1:10">
      <c r="A1616" t="s">
        <v>2064</v>
      </c>
      <c r="B1616" s="2">
        <v>46242</v>
      </c>
      <c r="C1616" t="s">
        <v>179</v>
      </c>
      <c r="D1616" t="s">
        <v>180</v>
      </c>
      <c r="E1616" t="str">
        <f>_xlfn.XLOOKUP(Sales[[#This Row],[Product Name]],Products[Product Name],Products[Category])</f>
        <v>Breakfast</v>
      </c>
      <c r="F1616" t="s">
        <v>447</v>
      </c>
      <c r="G1616" t="s">
        <v>454</v>
      </c>
      <c r="H1616">
        <v>68</v>
      </c>
      <c r="I1616" s="5">
        <f>_xlfn.XLOOKUP(Sales[[#This Row],[Product Name]],Products[Product Name],Products[Selling Price (CAD)])</f>
        <v>4.99</v>
      </c>
      <c r="J1616" s="5">
        <f>PRODUCT(Sales[[#This Row],[Quantity Sold]],Sales[[#This Row],[Unit Selling Price (CAD)]])</f>
        <v>339.32</v>
      </c>
    </row>
    <row r="1617" spans="1:10">
      <c r="A1617" t="s">
        <v>2065</v>
      </c>
      <c r="B1617" s="2">
        <v>46242</v>
      </c>
      <c r="C1617" t="s">
        <v>357</v>
      </c>
      <c r="D1617" t="s">
        <v>358</v>
      </c>
      <c r="E1617" t="str">
        <f>_xlfn.XLOOKUP(Sales[[#This Row],[Product Name]],Products[Product Name],Products[Category])</f>
        <v>Desserts</v>
      </c>
      <c r="F1617" t="s">
        <v>444</v>
      </c>
      <c r="G1617" t="s">
        <v>452</v>
      </c>
      <c r="H1617">
        <v>52</v>
      </c>
      <c r="I1617" s="5">
        <f>_xlfn.XLOOKUP(Sales[[#This Row],[Product Name]],Products[Product Name],Products[Selling Price (CAD)])</f>
        <v>4.99</v>
      </c>
      <c r="J1617" s="5">
        <f>PRODUCT(Sales[[#This Row],[Quantity Sold]],Sales[[#This Row],[Unit Selling Price (CAD)]])</f>
        <v>259.48</v>
      </c>
    </row>
    <row r="1618" spans="1:10">
      <c r="A1618" t="s">
        <v>2066</v>
      </c>
      <c r="B1618" s="2">
        <v>46242</v>
      </c>
      <c r="C1618" t="s">
        <v>101</v>
      </c>
      <c r="D1618" t="s">
        <v>102</v>
      </c>
      <c r="E1618" t="str">
        <f>_xlfn.XLOOKUP(Sales[[#This Row],[Product Name]],Products[Product Name],Products[Category])</f>
        <v>Chicken</v>
      </c>
      <c r="F1618" t="s">
        <v>444</v>
      </c>
      <c r="G1618" t="s">
        <v>452</v>
      </c>
      <c r="H1618">
        <v>63</v>
      </c>
      <c r="I1618" s="5">
        <f>_xlfn.XLOOKUP(Sales[[#This Row],[Product Name]],Products[Product Name],Products[Selling Price (CAD)])</f>
        <v>7.99</v>
      </c>
      <c r="J1618" s="5">
        <f>PRODUCT(Sales[[#This Row],[Quantity Sold]],Sales[[#This Row],[Unit Selling Price (CAD)]])</f>
        <v>503.37</v>
      </c>
    </row>
    <row r="1619" spans="1:10">
      <c r="A1619" t="s">
        <v>2067</v>
      </c>
      <c r="B1619" s="2">
        <v>46242</v>
      </c>
      <c r="C1619" t="s">
        <v>390</v>
      </c>
      <c r="D1619" t="s">
        <v>391</v>
      </c>
      <c r="E1619" t="str">
        <f>_xlfn.XLOOKUP(Sales[[#This Row],[Product Name]],Products[Product Name],Products[Category])</f>
        <v>Sauces &amp; Add-ons</v>
      </c>
      <c r="F1619" t="s">
        <v>447</v>
      </c>
      <c r="G1619" t="s">
        <v>452</v>
      </c>
      <c r="H1619">
        <v>64</v>
      </c>
      <c r="I1619" s="5">
        <f>_xlfn.XLOOKUP(Sales[[#This Row],[Product Name]],Products[Product Name],Products[Selling Price (CAD)])</f>
        <v>0.5</v>
      </c>
      <c r="J1619" s="5">
        <f>PRODUCT(Sales[[#This Row],[Quantity Sold]],Sales[[#This Row],[Unit Selling Price (CAD)]])</f>
        <v>32</v>
      </c>
    </row>
    <row r="1620" spans="1:10">
      <c r="A1620" t="s">
        <v>2068</v>
      </c>
      <c r="B1620" s="2">
        <v>46242</v>
      </c>
      <c r="C1620" t="s">
        <v>221</v>
      </c>
      <c r="D1620" t="s">
        <v>222</v>
      </c>
      <c r="E1620" t="str">
        <f>_xlfn.XLOOKUP(Sales[[#This Row],[Product Name]],Products[Product Name],Products[Category])</f>
        <v>Sides</v>
      </c>
      <c r="F1620" t="s">
        <v>444</v>
      </c>
      <c r="G1620" t="s">
        <v>452</v>
      </c>
      <c r="H1620">
        <v>36</v>
      </c>
      <c r="I1620" s="5">
        <f>_xlfn.XLOOKUP(Sales[[#This Row],[Product Name]],Products[Product Name],Products[Selling Price (CAD)])</f>
        <v>5.99</v>
      </c>
      <c r="J1620" s="5">
        <f>PRODUCT(Sales[[#This Row],[Quantity Sold]],Sales[[#This Row],[Unit Selling Price (CAD)]])</f>
        <v>215.64000000000001</v>
      </c>
    </row>
    <row r="1621" spans="1:10">
      <c r="A1621" t="s">
        <v>2069</v>
      </c>
      <c r="B1621" s="2">
        <v>46242</v>
      </c>
      <c r="C1621" t="s">
        <v>95</v>
      </c>
      <c r="D1621" t="s">
        <v>96</v>
      </c>
      <c r="E1621" t="str">
        <f>_xlfn.XLOOKUP(Sales[[#This Row],[Product Name]],Products[Product Name],Products[Category])</f>
        <v>Chicken</v>
      </c>
      <c r="F1621" t="s">
        <v>444</v>
      </c>
      <c r="G1621" t="s">
        <v>452</v>
      </c>
      <c r="H1621">
        <v>51</v>
      </c>
      <c r="I1621" s="5">
        <f>_xlfn.XLOOKUP(Sales[[#This Row],[Product Name]],Products[Product Name],Products[Selling Price (CAD)])</f>
        <v>7.49</v>
      </c>
      <c r="J1621" s="5">
        <f>PRODUCT(Sales[[#This Row],[Quantity Sold]],Sales[[#This Row],[Unit Selling Price (CAD)]])</f>
        <v>381.99</v>
      </c>
    </row>
    <row r="1622" spans="1:10">
      <c r="A1622" t="s">
        <v>2070</v>
      </c>
      <c r="B1622" s="2">
        <v>46242</v>
      </c>
      <c r="C1622" t="s">
        <v>215</v>
      </c>
      <c r="D1622" t="s">
        <v>216</v>
      </c>
      <c r="E1622" t="str">
        <f>_xlfn.XLOOKUP(Sales[[#This Row],[Product Name]],Products[Product Name],Products[Category])</f>
        <v>Sides</v>
      </c>
      <c r="F1622" t="s">
        <v>447</v>
      </c>
      <c r="G1622" t="s">
        <v>450</v>
      </c>
      <c r="H1622">
        <v>60</v>
      </c>
      <c r="I1622" s="5">
        <f>_xlfn.XLOOKUP(Sales[[#This Row],[Product Name]],Products[Product Name],Products[Selling Price (CAD)])</f>
        <v>2.99</v>
      </c>
      <c r="J1622" s="5">
        <f>PRODUCT(Sales[[#This Row],[Quantity Sold]],Sales[[#This Row],[Unit Selling Price (CAD)]])</f>
        <v>179.4</v>
      </c>
    </row>
    <row r="1623" spans="1:10">
      <c r="A1623" t="s">
        <v>2071</v>
      </c>
      <c r="B1623" s="2">
        <v>46242</v>
      </c>
      <c r="C1623" t="s">
        <v>103</v>
      </c>
      <c r="D1623" t="s">
        <v>104</v>
      </c>
      <c r="E1623" t="str">
        <f>_xlfn.XLOOKUP(Sales[[#This Row],[Product Name]],Products[Product Name],Products[Category])</f>
        <v>Chicken</v>
      </c>
      <c r="F1623" t="s">
        <v>449</v>
      </c>
      <c r="G1623" t="s">
        <v>445</v>
      </c>
      <c r="H1623">
        <v>69</v>
      </c>
      <c r="I1623" s="5">
        <f>_xlfn.XLOOKUP(Sales[[#This Row],[Product Name]],Products[Product Name],Products[Selling Price (CAD)])</f>
        <v>7.99</v>
      </c>
      <c r="J1623" s="5">
        <f>PRODUCT(Sales[[#This Row],[Quantity Sold]],Sales[[#This Row],[Unit Selling Price (CAD)]])</f>
        <v>551.31000000000006</v>
      </c>
    </row>
    <row r="1624" spans="1:10">
      <c r="A1624" t="s">
        <v>2072</v>
      </c>
      <c r="B1624" s="2">
        <v>46242</v>
      </c>
      <c r="C1624" t="s">
        <v>56</v>
      </c>
      <c r="D1624" t="s">
        <v>57</v>
      </c>
      <c r="E1624" t="str">
        <f>_xlfn.XLOOKUP(Sales[[#This Row],[Product Name]],Products[Product Name],Products[Category])</f>
        <v>Burgers</v>
      </c>
      <c r="F1624" t="s">
        <v>447</v>
      </c>
      <c r="G1624" t="s">
        <v>452</v>
      </c>
      <c r="H1624">
        <v>55</v>
      </c>
      <c r="I1624" s="5">
        <f>_xlfn.XLOOKUP(Sales[[#This Row],[Product Name]],Products[Product Name],Products[Selling Price (CAD)])</f>
        <v>6.49</v>
      </c>
      <c r="J1624" s="5">
        <f>PRODUCT(Sales[[#This Row],[Quantity Sold]],Sales[[#This Row],[Unit Selling Price (CAD)]])</f>
        <v>356.95</v>
      </c>
    </row>
    <row r="1625" spans="1:10">
      <c r="A1625" t="s">
        <v>2073</v>
      </c>
      <c r="B1625" s="2">
        <v>46242</v>
      </c>
      <c r="C1625" t="s">
        <v>293</v>
      </c>
      <c r="D1625" t="s">
        <v>294</v>
      </c>
      <c r="E1625" t="str">
        <f>_xlfn.XLOOKUP(Sales[[#This Row],[Product Name]],Products[Product Name],Products[Category])</f>
        <v>Beverages</v>
      </c>
      <c r="F1625" t="s">
        <v>449</v>
      </c>
      <c r="G1625" t="s">
        <v>450</v>
      </c>
      <c r="H1625">
        <v>36</v>
      </c>
      <c r="I1625" s="5">
        <f>_xlfn.XLOOKUP(Sales[[#This Row],[Product Name]],Products[Product Name],Products[Selling Price (CAD)])</f>
        <v>3.99</v>
      </c>
      <c r="J1625" s="5">
        <f>PRODUCT(Sales[[#This Row],[Quantity Sold]],Sales[[#This Row],[Unit Selling Price (CAD)]])</f>
        <v>143.64000000000001</v>
      </c>
    </row>
    <row r="1626" spans="1:10">
      <c r="A1626" t="s">
        <v>2074</v>
      </c>
      <c r="B1626" s="2">
        <v>46243</v>
      </c>
      <c r="C1626" t="s">
        <v>193</v>
      </c>
      <c r="D1626" t="s">
        <v>194</v>
      </c>
      <c r="E1626" t="str">
        <f>_xlfn.XLOOKUP(Sales[[#This Row],[Product Name]],Products[Product Name],Products[Category])</f>
        <v>Sides</v>
      </c>
      <c r="F1626" t="s">
        <v>447</v>
      </c>
      <c r="G1626" t="s">
        <v>445</v>
      </c>
      <c r="H1626">
        <v>41</v>
      </c>
      <c r="I1626" s="5">
        <f>_xlfn.XLOOKUP(Sales[[#This Row],[Product Name]],Products[Product Name],Products[Selling Price (CAD)])</f>
        <v>4.99</v>
      </c>
      <c r="J1626" s="5">
        <f>PRODUCT(Sales[[#This Row],[Quantity Sold]],Sales[[#This Row],[Unit Selling Price (CAD)]])</f>
        <v>204.59</v>
      </c>
    </row>
    <row r="1627" spans="1:10">
      <c r="A1627" t="s">
        <v>2075</v>
      </c>
      <c r="B1627" s="2">
        <v>46243</v>
      </c>
      <c r="C1627" t="s">
        <v>275</v>
      </c>
      <c r="D1627" t="s">
        <v>276</v>
      </c>
      <c r="E1627" t="str">
        <f>_xlfn.XLOOKUP(Sales[[#This Row],[Product Name]],Products[Product Name],Products[Category])</f>
        <v>Beverages</v>
      </c>
      <c r="F1627" t="s">
        <v>447</v>
      </c>
      <c r="G1627" t="s">
        <v>454</v>
      </c>
      <c r="H1627">
        <v>43</v>
      </c>
      <c r="I1627" s="5">
        <f>_xlfn.XLOOKUP(Sales[[#This Row],[Product Name]],Products[Product Name],Products[Selling Price (CAD)])</f>
        <v>2.99</v>
      </c>
      <c r="J1627" s="5">
        <f>PRODUCT(Sales[[#This Row],[Quantity Sold]],Sales[[#This Row],[Unit Selling Price (CAD)]])</f>
        <v>128.57000000000002</v>
      </c>
    </row>
    <row r="1628" spans="1:10">
      <c r="A1628" t="s">
        <v>2076</v>
      </c>
      <c r="B1628" s="2">
        <v>46243</v>
      </c>
      <c r="C1628" t="s">
        <v>392</v>
      </c>
      <c r="D1628" t="s">
        <v>393</v>
      </c>
      <c r="E1628" t="str">
        <f>_xlfn.XLOOKUP(Sales[[#This Row],[Product Name]],Products[Product Name],Products[Category])</f>
        <v>Sauces &amp; Add-ons</v>
      </c>
      <c r="F1628" t="s">
        <v>447</v>
      </c>
      <c r="G1628" t="s">
        <v>450</v>
      </c>
      <c r="H1628">
        <v>66</v>
      </c>
      <c r="I1628" s="5">
        <f>_xlfn.XLOOKUP(Sales[[#This Row],[Product Name]],Products[Product Name],Products[Selling Price (CAD)])</f>
        <v>0.5</v>
      </c>
      <c r="J1628" s="5">
        <f>PRODUCT(Sales[[#This Row],[Quantity Sold]],Sales[[#This Row],[Unit Selling Price (CAD)]])</f>
        <v>33</v>
      </c>
    </row>
    <row r="1629" spans="1:10">
      <c r="A1629" t="s">
        <v>2077</v>
      </c>
      <c r="B1629" s="2">
        <v>46243</v>
      </c>
      <c r="C1629" t="s">
        <v>38</v>
      </c>
      <c r="D1629" t="s">
        <v>39</v>
      </c>
      <c r="E1629" t="str">
        <f>_xlfn.XLOOKUP(Sales[[#This Row],[Product Name]],Products[Product Name],Products[Category])</f>
        <v>Burgers</v>
      </c>
      <c r="F1629" t="s">
        <v>444</v>
      </c>
      <c r="G1629" t="s">
        <v>452</v>
      </c>
      <c r="H1629">
        <v>79</v>
      </c>
      <c r="I1629" s="5">
        <f>_xlfn.XLOOKUP(Sales[[#This Row],[Product Name]],Products[Product Name],Products[Selling Price (CAD)])</f>
        <v>10.99</v>
      </c>
      <c r="J1629" s="5">
        <f>PRODUCT(Sales[[#This Row],[Quantity Sold]],Sales[[#This Row],[Unit Selling Price (CAD)]])</f>
        <v>868.21</v>
      </c>
    </row>
    <row r="1630" spans="1:10">
      <c r="A1630" t="s">
        <v>2078</v>
      </c>
      <c r="B1630" s="2">
        <v>46243</v>
      </c>
      <c r="C1630" t="s">
        <v>271</v>
      </c>
      <c r="D1630" t="s">
        <v>272</v>
      </c>
      <c r="E1630" t="str">
        <f>_xlfn.XLOOKUP(Sales[[#This Row],[Product Name]],Products[Product Name],Products[Category])</f>
        <v>Beverages</v>
      </c>
      <c r="F1630" t="s">
        <v>447</v>
      </c>
      <c r="G1630" t="s">
        <v>450</v>
      </c>
      <c r="H1630">
        <v>51</v>
      </c>
      <c r="I1630" s="5">
        <f>_xlfn.XLOOKUP(Sales[[#This Row],[Product Name]],Products[Product Name],Products[Selling Price (CAD)])</f>
        <v>1.99</v>
      </c>
      <c r="J1630" s="5">
        <f>PRODUCT(Sales[[#This Row],[Quantity Sold]],Sales[[#This Row],[Unit Selling Price (CAD)]])</f>
        <v>101.49</v>
      </c>
    </row>
    <row r="1631" spans="1:10">
      <c r="A1631" t="s">
        <v>2079</v>
      </c>
      <c r="B1631" s="2">
        <v>46243</v>
      </c>
      <c r="C1631" t="s">
        <v>95</v>
      </c>
      <c r="D1631" t="s">
        <v>96</v>
      </c>
      <c r="E1631" t="str">
        <f>_xlfn.XLOOKUP(Sales[[#This Row],[Product Name]],Products[Product Name],Products[Category])</f>
        <v>Chicken</v>
      </c>
      <c r="F1631" t="s">
        <v>444</v>
      </c>
      <c r="G1631" t="s">
        <v>450</v>
      </c>
      <c r="H1631">
        <v>58</v>
      </c>
      <c r="I1631" s="5">
        <f>_xlfn.XLOOKUP(Sales[[#This Row],[Product Name]],Products[Product Name],Products[Selling Price (CAD)])</f>
        <v>7.49</v>
      </c>
      <c r="J1631" s="5">
        <f>PRODUCT(Sales[[#This Row],[Quantity Sold]],Sales[[#This Row],[Unit Selling Price (CAD)]])</f>
        <v>434.42</v>
      </c>
    </row>
    <row r="1632" spans="1:10">
      <c r="A1632" t="s">
        <v>2080</v>
      </c>
      <c r="B1632" s="2">
        <v>46244</v>
      </c>
      <c r="C1632" t="s">
        <v>281</v>
      </c>
      <c r="D1632" t="s">
        <v>282</v>
      </c>
      <c r="E1632" t="str">
        <f>_xlfn.XLOOKUP(Sales[[#This Row],[Product Name]],Products[Product Name],Products[Category])</f>
        <v>Beverages</v>
      </c>
      <c r="F1632" t="s">
        <v>444</v>
      </c>
      <c r="G1632" t="s">
        <v>450</v>
      </c>
      <c r="H1632">
        <v>32</v>
      </c>
      <c r="I1632" s="5">
        <f>_xlfn.XLOOKUP(Sales[[#This Row],[Product Name]],Products[Product Name],Products[Selling Price (CAD)])</f>
        <v>2.99</v>
      </c>
      <c r="J1632" s="5">
        <f>PRODUCT(Sales[[#This Row],[Quantity Sold]],Sales[[#This Row],[Unit Selling Price (CAD)]])</f>
        <v>95.68</v>
      </c>
    </row>
    <row r="1633" spans="1:10">
      <c r="A1633" t="s">
        <v>2081</v>
      </c>
      <c r="B1633" s="2">
        <v>46244</v>
      </c>
      <c r="C1633" t="s">
        <v>82</v>
      </c>
      <c r="D1633" t="s">
        <v>83</v>
      </c>
      <c r="E1633" t="str">
        <f>_xlfn.XLOOKUP(Sales[[#This Row],[Product Name]],Products[Product Name],Products[Category])</f>
        <v>Chicken</v>
      </c>
      <c r="F1633" t="s">
        <v>444</v>
      </c>
      <c r="G1633" t="s">
        <v>450</v>
      </c>
      <c r="H1633">
        <v>62</v>
      </c>
      <c r="I1633" s="5">
        <f>_xlfn.XLOOKUP(Sales[[#This Row],[Product Name]],Products[Product Name],Products[Selling Price (CAD)])</f>
        <v>6.99</v>
      </c>
      <c r="J1633" s="5">
        <f>PRODUCT(Sales[[#This Row],[Quantity Sold]],Sales[[#This Row],[Unit Selling Price (CAD)]])</f>
        <v>433.38</v>
      </c>
    </row>
    <row r="1634" spans="1:10">
      <c r="A1634" t="s">
        <v>2082</v>
      </c>
      <c r="B1634" s="2">
        <v>46244</v>
      </c>
      <c r="C1634" t="s">
        <v>107</v>
      </c>
      <c r="D1634" t="s">
        <v>108</v>
      </c>
      <c r="E1634" t="str">
        <f>_xlfn.XLOOKUP(Sales[[#This Row],[Product Name]],Products[Product Name],Products[Category])</f>
        <v>Chicken</v>
      </c>
      <c r="F1634" t="s">
        <v>449</v>
      </c>
      <c r="G1634" t="s">
        <v>450</v>
      </c>
      <c r="H1634">
        <v>60</v>
      </c>
      <c r="I1634" s="5">
        <f>_xlfn.XLOOKUP(Sales[[#This Row],[Product Name]],Products[Product Name],Products[Selling Price (CAD)])</f>
        <v>5.99</v>
      </c>
      <c r="J1634" s="5">
        <f>PRODUCT(Sales[[#This Row],[Quantity Sold]],Sales[[#This Row],[Unit Selling Price (CAD)]])</f>
        <v>359.40000000000003</v>
      </c>
    </row>
    <row r="1635" spans="1:10">
      <c r="A1635" t="s">
        <v>2083</v>
      </c>
      <c r="B1635" s="2">
        <v>46244</v>
      </c>
      <c r="C1635" t="s">
        <v>287</v>
      </c>
      <c r="D1635" t="s">
        <v>288</v>
      </c>
      <c r="E1635" t="str">
        <f>_xlfn.XLOOKUP(Sales[[#This Row],[Product Name]],Products[Product Name],Products[Category])</f>
        <v>Beverages</v>
      </c>
      <c r="F1635" t="s">
        <v>447</v>
      </c>
      <c r="G1635" t="s">
        <v>445</v>
      </c>
      <c r="H1635">
        <v>44</v>
      </c>
      <c r="I1635" s="5">
        <f>_xlfn.XLOOKUP(Sales[[#This Row],[Product Name]],Products[Product Name],Products[Selling Price (CAD)])</f>
        <v>3.99</v>
      </c>
      <c r="J1635" s="5">
        <f>PRODUCT(Sales[[#This Row],[Quantity Sold]],Sales[[#This Row],[Unit Selling Price (CAD)]])</f>
        <v>175.56</v>
      </c>
    </row>
    <row r="1636" spans="1:10">
      <c r="A1636" t="s">
        <v>2084</v>
      </c>
      <c r="B1636" s="2">
        <v>46244</v>
      </c>
      <c r="C1636" t="s">
        <v>275</v>
      </c>
      <c r="D1636" t="s">
        <v>276</v>
      </c>
      <c r="E1636" t="str">
        <f>_xlfn.XLOOKUP(Sales[[#This Row],[Product Name]],Products[Product Name],Products[Category])</f>
        <v>Beverages</v>
      </c>
      <c r="F1636" t="s">
        <v>447</v>
      </c>
      <c r="G1636" t="s">
        <v>450</v>
      </c>
      <c r="H1636">
        <v>50</v>
      </c>
      <c r="I1636" s="5">
        <f>_xlfn.XLOOKUP(Sales[[#This Row],[Product Name]],Products[Product Name],Products[Selling Price (CAD)])</f>
        <v>2.99</v>
      </c>
      <c r="J1636" s="5">
        <f>PRODUCT(Sales[[#This Row],[Quantity Sold]],Sales[[#This Row],[Unit Selling Price (CAD)]])</f>
        <v>149.5</v>
      </c>
    </row>
    <row r="1637" spans="1:10">
      <c r="A1637" t="s">
        <v>2085</v>
      </c>
      <c r="B1637" s="2">
        <v>46244</v>
      </c>
      <c r="C1637" t="s">
        <v>243</v>
      </c>
      <c r="D1637" t="s">
        <v>244</v>
      </c>
      <c r="E1637" t="str">
        <f>_xlfn.XLOOKUP(Sales[[#This Row],[Product Name]],Products[Product Name],Products[Category])</f>
        <v>Salads</v>
      </c>
      <c r="F1637" t="s">
        <v>444</v>
      </c>
      <c r="G1637" t="s">
        <v>450</v>
      </c>
      <c r="H1637">
        <v>71</v>
      </c>
      <c r="I1637" s="5">
        <f>_xlfn.XLOOKUP(Sales[[#This Row],[Product Name]],Products[Product Name],Products[Selling Price (CAD)])</f>
        <v>6.99</v>
      </c>
      <c r="J1637" s="5">
        <f>PRODUCT(Sales[[#This Row],[Quantity Sold]],Sales[[#This Row],[Unit Selling Price (CAD)]])</f>
        <v>496.29</v>
      </c>
    </row>
    <row r="1638" spans="1:10">
      <c r="A1638" t="s">
        <v>2086</v>
      </c>
      <c r="B1638" s="2">
        <v>46244</v>
      </c>
      <c r="C1638" t="s">
        <v>151</v>
      </c>
      <c r="D1638" t="s">
        <v>152</v>
      </c>
      <c r="E1638" t="str">
        <f>_xlfn.XLOOKUP(Sales[[#This Row],[Product Name]],Products[Product Name],Products[Category])</f>
        <v>Breakfast</v>
      </c>
      <c r="F1638" t="s">
        <v>444</v>
      </c>
      <c r="G1638" t="s">
        <v>454</v>
      </c>
      <c r="H1638">
        <v>80</v>
      </c>
      <c r="I1638" s="5">
        <f>_xlfn.XLOOKUP(Sales[[#This Row],[Product Name]],Products[Product Name],Products[Selling Price (CAD)])</f>
        <v>5.99</v>
      </c>
      <c r="J1638" s="5">
        <f>PRODUCT(Sales[[#This Row],[Quantity Sold]],Sales[[#This Row],[Unit Selling Price (CAD)]])</f>
        <v>479.20000000000005</v>
      </c>
    </row>
    <row r="1639" spans="1:10">
      <c r="A1639" t="s">
        <v>2087</v>
      </c>
      <c r="B1639" s="2">
        <v>46244</v>
      </c>
      <c r="C1639" t="s">
        <v>183</v>
      </c>
      <c r="D1639" t="s">
        <v>184</v>
      </c>
      <c r="E1639" t="str">
        <f>_xlfn.XLOOKUP(Sales[[#This Row],[Product Name]],Products[Product Name],Products[Category])</f>
        <v>Sides</v>
      </c>
      <c r="F1639" t="s">
        <v>444</v>
      </c>
      <c r="G1639" t="s">
        <v>452</v>
      </c>
      <c r="H1639">
        <v>44</v>
      </c>
      <c r="I1639" s="5">
        <f>_xlfn.XLOOKUP(Sales[[#This Row],[Product Name]],Products[Product Name],Products[Selling Price (CAD)])</f>
        <v>2.99</v>
      </c>
      <c r="J1639" s="5">
        <f>PRODUCT(Sales[[#This Row],[Quantity Sold]],Sales[[#This Row],[Unit Selling Price (CAD)]])</f>
        <v>131.56</v>
      </c>
    </row>
    <row r="1640" spans="1:10">
      <c r="A1640" t="s">
        <v>2088</v>
      </c>
      <c r="B1640" s="2">
        <v>46245</v>
      </c>
      <c r="C1640" t="s">
        <v>283</v>
      </c>
      <c r="D1640" t="s">
        <v>284</v>
      </c>
      <c r="E1640" t="str">
        <f>_xlfn.XLOOKUP(Sales[[#This Row],[Product Name]],Products[Product Name],Products[Category])</f>
        <v>Beverages</v>
      </c>
      <c r="F1640" t="s">
        <v>447</v>
      </c>
      <c r="G1640" t="s">
        <v>445</v>
      </c>
      <c r="H1640">
        <v>61</v>
      </c>
      <c r="I1640" s="5">
        <f>_xlfn.XLOOKUP(Sales[[#This Row],[Product Name]],Products[Product Name],Products[Selling Price (CAD)])</f>
        <v>2.99</v>
      </c>
      <c r="J1640" s="5">
        <f>PRODUCT(Sales[[#This Row],[Quantity Sold]],Sales[[#This Row],[Unit Selling Price (CAD)]])</f>
        <v>182.39000000000001</v>
      </c>
    </row>
    <row r="1641" spans="1:10">
      <c r="A1641" t="s">
        <v>2089</v>
      </c>
      <c r="B1641" s="2">
        <v>46245</v>
      </c>
      <c r="C1641" t="s">
        <v>269</v>
      </c>
      <c r="D1641" t="s">
        <v>270</v>
      </c>
      <c r="E1641" t="str">
        <f>_xlfn.XLOOKUP(Sales[[#This Row],[Product Name]],Products[Product Name],Products[Category])</f>
        <v>Beverages</v>
      </c>
      <c r="F1641" t="s">
        <v>447</v>
      </c>
      <c r="G1641" t="s">
        <v>445</v>
      </c>
      <c r="H1641">
        <v>46</v>
      </c>
      <c r="I1641" s="5">
        <f>_xlfn.XLOOKUP(Sales[[#This Row],[Product Name]],Products[Product Name],Products[Selling Price (CAD)])</f>
        <v>2.99</v>
      </c>
      <c r="J1641" s="5">
        <f>PRODUCT(Sales[[#This Row],[Quantity Sold]],Sales[[#This Row],[Unit Selling Price (CAD)]])</f>
        <v>137.54000000000002</v>
      </c>
    </row>
    <row r="1642" spans="1:10">
      <c r="A1642" t="s">
        <v>2090</v>
      </c>
      <c r="B1642" s="2">
        <v>46245</v>
      </c>
      <c r="C1642" t="s">
        <v>68</v>
      </c>
      <c r="D1642" t="s">
        <v>69</v>
      </c>
      <c r="E1642" t="str">
        <f>_xlfn.XLOOKUP(Sales[[#This Row],[Product Name]],Products[Product Name],Products[Category])</f>
        <v>Burgers</v>
      </c>
      <c r="F1642" t="s">
        <v>449</v>
      </c>
      <c r="G1642" t="s">
        <v>450</v>
      </c>
      <c r="H1642">
        <v>64</v>
      </c>
      <c r="I1642" s="5">
        <f>_xlfn.XLOOKUP(Sales[[#This Row],[Product Name]],Products[Product Name],Products[Selling Price (CAD)])</f>
        <v>6.99</v>
      </c>
      <c r="J1642" s="5">
        <f>PRODUCT(Sales[[#This Row],[Quantity Sold]],Sales[[#This Row],[Unit Selling Price (CAD)]])</f>
        <v>447.36</v>
      </c>
    </row>
    <row r="1643" spans="1:10">
      <c r="A1643" t="s">
        <v>2091</v>
      </c>
      <c r="B1643" s="2">
        <v>46245</v>
      </c>
      <c r="C1643" t="s">
        <v>255</v>
      </c>
      <c r="D1643" t="s">
        <v>256</v>
      </c>
      <c r="E1643" t="str">
        <f>_xlfn.XLOOKUP(Sales[[#This Row],[Product Name]],Products[Product Name],Products[Category])</f>
        <v>Beverages</v>
      </c>
      <c r="F1643" t="s">
        <v>447</v>
      </c>
      <c r="G1643" t="s">
        <v>452</v>
      </c>
      <c r="H1643">
        <v>55</v>
      </c>
      <c r="I1643" s="5">
        <f>_xlfn.XLOOKUP(Sales[[#This Row],[Product Name]],Products[Product Name],Products[Selling Price (CAD)])</f>
        <v>2.99</v>
      </c>
      <c r="J1643" s="5">
        <f>PRODUCT(Sales[[#This Row],[Quantity Sold]],Sales[[#This Row],[Unit Selling Price (CAD)]])</f>
        <v>164.45000000000002</v>
      </c>
    </row>
    <row r="1644" spans="1:10">
      <c r="A1644" t="s">
        <v>2092</v>
      </c>
      <c r="B1644" s="2">
        <v>46245</v>
      </c>
      <c r="C1644" t="s">
        <v>317</v>
      </c>
      <c r="D1644" t="s">
        <v>318</v>
      </c>
      <c r="E1644" t="str">
        <f>_xlfn.XLOOKUP(Sales[[#This Row],[Product Name]],Products[Product Name],Products[Category])</f>
        <v>Beverages</v>
      </c>
      <c r="F1644" t="s">
        <v>449</v>
      </c>
      <c r="G1644" t="s">
        <v>452</v>
      </c>
      <c r="H1644">
        <v>73</v>
      </c>
      <c r="I1644" s="5">
        <f>_xlfn.XLOOKUP(Sales[[#This Row],[Product Name]],Products[Product Name],Products[Selling Price (CAD)])</f>
        <v>3.99</v>
      </c>
      <c r="J1644" s="5">
        <f>PRODUCT(Sales[[#This Row],[Quantity Sold]],Sales[[#This Row],[Unit Selling Price (CAD)]])</f>
        <v>291.27000000000004</v>
      </c>
    </row>
    <row r="1645" spans="1:10">
      <c r="A1645" t="s">
        <v>2093</v>
      </c>
      <c r="B1645" s="2">
        <v>46245</v>
      </c>
      <c r="C1645" t="s">
        <v>323</v>
      </c>
      <c r="D1645" t="s">
        <v>324</v>
      </c>
      <c r="E1645" t="str">
        <f>_xlfn.XLOOKUP(Sales[[#This Row],[Product Name]],Products[Product Name],Products[Category])</f>
        <v>Desserts</v>
      </c>
      <c r="F1645" t="s">
        <v>449</v>
      </c>
      <c r="G1645" t="s">
        <v>454</v>
      </c>
      <c r="H1645">
        <v>56</v>
      </c>
      <c r="I1645" s="5">
        <f>_xlfn.XLOOKUP(Sales[[#This Row],[Product Name]],Products[Product Name],Products[Selling Price (CAD)])</f>
        <v>2.99</v>
      </c>
      <c r="J1645" s="5">
        <f>PRODUCT(Sales[[#This Row],[Quantity Sold]],Sales[[#This Row],[Unit Selling Price (CAD)]])</f>
        <v>167.44</v>
      </c>
    </row>
    <row r="1646" spans="1:10">
      <c r="A1646" t="s">
        <v>2094</v>
      </c>
      <c r="B1646" s="2">
        <v>46246</v>
      </c>
      <c r="C1646" t="s">
        <v>129</v>
      </c>
      <c r="D1646" t="s">
        <v>130</v>
      </c>
      <c r="E1646" t="str">
        <f>_xlfn.XLOOKUP(Sales[[#This Row],[Product Name]],Products[Product Name],Products[Category])</f>
        <v>Chicken</v>
      </c>
      <c r="F1646" t="s">
        <v>449</v>
      </c>
      <c r="G1646" t="s">
        <v>452</v>
      </c>
      <c r="H1646">
        <v>31</v>
      </c>
      <c r="I1646" s="5">
        <f>_xlfn.XLOOKUP(Sales[[#This Row],[Product Name]],Products[Product Name],Products[Selling Price (CAD)])</f>
        <v>11.99</v>
      </c>
      <c r="J1646" s="5">
        <f>PRODUCT(Sales[[#This Row],[Quantity Sold]],Sales[[#This Row],[Unit Selling Price (CAD)]])</f>
        <v>371.69</v>
      </c>
    </row>
    <row r="1647" spans="1:10">
      <c r="A1647" t="s">
        <v>2095</v>
      </c>
      <c r="B1647" s="2">
        <v>46246</v>
      </c>
      <c r="C1647" t="s">
        <v>297</v>
      </c>
      <c r="D1647" t="s">
        <v>298</v>
      </c>
      <c r="E1647" t="str">
        <f>_xlfn.XLOOKUP(Sales[[#This Row],[Product Name]],Products[Product Name],Products[Category])</f>
        <v>Beverages</v>
      </c>
      <c r="F1647" t="s">
        <v>444</v>
      </c>
      <c r="G1647" t="s">
        <v>450</v>
      </c>
      <c r="H1647">
        <v>51</v>
      </c>
      <c r="I1647" s="5">
        <f>_xlfn.XLOOKUP(Sales[[#This Row],[Product Name]],Products[Product Name],Products[Selling Price (CAD)])</f>
        <v>2.99</v>
      </c>
      <c r="J1647" s="5">
        <f>PRODUCT(Sales[[#This Row],[Quantity Sold]],Sales[[#This Row],[Unit Selling Price (CAD)]])</f>
        <v>152.49</v>
      </c>
    </row>
    <row r="1648" spans="1:10">
      <c r="A1648" t="s">
        <v>2096</v>
      </c>
      <c r="B1648" s="2">
        <v>46246</v>
      </c>
      <c r="C1648" t="s">
        <v>355</v>
      </c>
      <c r="D1648" t="s">
        <v>356</v>
      </c>
      <c r="E1648" t="str">
        <f>_xlfn.XLOOKUP(Sales[[#This Row],[Product Name]],Products[Product Name],Products[Category])</f>
        <v>Desserts</v>
      </c>
      <c r="F1648" t="s">
        <v>444</v>
      </c>
      <c r="G1648" t="s">
        <v>450</v>
      </c>
      <c r="H1648">
        <v>53</v>
      </c>
      <c r="I1648" s="5">
        <f>_xlfn.XLOOKUP(Sales[[#This Row],[Product Name]],Products[Product Name],Products[Selling Price (CAD)])</f>
        <v>5.99</v>
      </c>
      <c r="J1648" s="5">
        <f>PRODUCT(Sales[[#This Row],[Quantity Sold]],Sales[[#This Row],[Unit Selling Price (CAD)]])</f>
        <v>317.47000000000003</v>
      </c>
    </row>
    <row r="1649" spans="1:10">
      <c r="A1649" t="s">
        <v>2097</v>
      </c>
      <c r="B1649" s="2">
        <v>46246</v>
      </c>
      <c r="C1649" t="s">
        <v>155</v>
      </c>
      <c r="D1649" t="s">
        <v>156</v>
      </c>
      <c r="E1649" t="str">
        <f>_xlfn.XLOOKUP(Sales[[#This Row],[Product Name]],Products[Product Name],Products[Category])</f>
        <v>Breakfast</v>
      </c>
      <c r="F1649" t="s">
        <v>447</v>
      </c>
      <c r="G1649" t="s">
        <v>452</v>
      </c>
      <c r="H1649">
        <v>48</v>
      </c>
      <c r="I1649" s="5">
        <f>_xlfn.XLOOKUP(Sales[[#This Row],[Product Name]],Products[Product Name],Products[Selling Price (CAD)])</f>
        <v>4.99</v>
      </c>
      <c r="J1649" s="5">
        <f>PRODUCT(Sales[[#This Row],[Quantity Sold]],Sales[[#This Row],[Unit Selling Price (CAD)]])</f>
        <v>239.52</v>
      </c>
    </row>
    <row r="1650" spans="1:10">
      <c r="A1650" t="s">
        <v>2098</v>
      </c>
      <c r="B1650" s="2">
        <v>46246</v>
      </c>
      <c r="C1650" t="s">
        <v>417</v>
      </c>
      <c r="D1650" t="s">
        <v>418</v>
      </c>
      <c r="E1650" t="str">
        <f>_xlfn.XLOOKUP(Sales[[#This Row],[Product Name]],Products[Product Name],Products[Category])</f>
        <v>Combo Meals</v>
      </c>
      <c r="F1650" t="s">
        <v>444</v>
      </c>
      <c r="G1650" t="s">
        <v>450</v>
      </c>
      <c r="H1650">
        <v>68</v>
      </c>
      <c r="I1650" s="5">
        <f>_xlfn.XLOOKUP(Sales[[#This Row],[Product Name]],Products[Product Name],Products[Selling Price (CAD)])</f>
        <v>9.99</v>
      </c>
      <c r="J1650" s="5">
        <f>PRODUCT(Sales[[#This Row],[Quantity Sold]],Sales[[#This Row],[Unit Selling Price (CAD)]])</f>
        <v>679.32</v>
      </c>
    </row>
    <row r="1651" spans="1:10">
      <c r="A1651" t="s">
        <v>2099</v>
      </c>
      <c r="B1651" s="2">
        <v>46246</v>
      </c>
      <c r="C1651" t="s">
        <v>36</v>
      </c>
      <c r="D1651" t="s">
        <v>37</v>
      </c>
      <c r="E1651" t="str">
        <f>_xlfn.XLOOKUP(Sales[[#This Row],[Product Name]],Products[Product Name],Products[Category])</f>
        <v>Burgers</v>
      </c>
      <c r="F1651" t="s">
        <v>444</v>
      </c>
      <c r="G1651" t="s">
        <v>452</v>
      </c>
      <c r="H1651">
        <v>50</v>
      </c>
      <c r="I1651" s="5">
        <f>_xlfn.XLOOKUP(Sales[[#This Row],[Product Name]],Products[Product Name],Products[Selling Price (CAD)])</f>
        <v>8.99</v>
      </c>
      <c r="J1651" s="5">
        <f>PRODUCT(Sales[[#This Row],[Quantity Sold]],Sales[[#This Row],[Unit Selling Price (CAD)]])</f>
        <v>449.5</v>
      </c>
    </row>
    <row r="1652" spans="1:10">
      <c r="A1652" t="s">
        <v>2100</v>
      </c>
      <c r="B1652" s="2">
        <v>46246</v>
      </c>
      <c r="C1652" t="s">
        <v>419</v>
      </c>
      <c r="D1652" t="s">
        <v>420</v>
      </c>
      <c r="E1652" t="str">
        <f>_xlfn.XLOOKUP(Sales[[#This Row],[Product Name]],Products[Product Name],Products[Category])</f>
        <v>Combo Meals</v>
      </c>
      <c r="F1652" t="s">
        <v>444</v>
      </c>
      <c r="G1652" t="s">
        <v>450</v>
      </c>
      <c r="H1652">
        <v>66</v>
      </c>
      <c r="I1652" s="5">
        <f>_xlfn.XLOOKUP(Sales[[#This Row],[Product Name]],Products[Product Name],Products[Selling Price (CAD)])</f>
        <v>7.99</v>
      </c>
      <c r="J1652" s="5">
        <f>PRODUCT(Sales[[#This Row],[Quantity Sold]],Sales[[#This Row],[Unit Selling Price (CAD)]])</f>
        <v>527.34</v>
      </c>
    </row>
    <row r="1653" spans="1:10">
      <c r="A1653" t="s">
        <v>2101</v>
      </c>
      <c r="B1653" s="2">
        <v>46246</v>
      </c>
      <c r="C1653" t="s">
        <v>165</v>
      </c>
      <c r="D1653" t="s">
        <v>166</v>
      </c>
      <c r="E1653" t="str">
        <f>_xlfn.XLOOKUP(Sales[[#This Row],[Product Name]],Products[Product Name],Products[Category])</f>
        <v>Breakfast</v>
      </c>
      <c r="F1653" t="s">
        <v>447</v>
      </c>
      <c r="G1653" t="s">
        <v>450</v>
      </c>
      <c r="H1653">
        <v>64</v>
      </c>
      <c r="I1653" s="5">
        <f>_xlfn.XLOOKUP(Sales[[#This Row],[Product Name]],Products[Product Name],Products[Selling Price (CAD)])</f>
        <v>3.99</v>
      </c>
      <c r="J1653" s="5">
        <f>PRODUCT(Sales[[#This Row],[Quantity Sold]],Sales[[#This Row],[Unit Selling Price (CAD)]])</f>
        <v>255.36</v>
      </c>
    </row>
    <row r="1654" spans="1:10">
      <c r="A1654" t="s">
        <v>2102</v>
      </c>
      <c r="B1654" s="2">
        <v>46247</v>
      </c>
      <c r="C1654" t="s">
        <v>283</v>
      </c>
      <c r="D1654" t="s">
        <v>284</v>
      </c>
      <c r="E1654" t="str">
        <f>_xlfn.XLOOKUP(Sales[[#This Row],[Product Name]],Products[Product Name],Products[Category])</f>
        <v>Beverages</v>
      </c>
      <c r="F1654" t="s">
        <v>449</v>
      </c>
      <c r="G1654" t="s">
        <v>450</v>
      </c>
      <c r="H1654">
        <v>39</v>
      </c>
      <c r="I1654" s="5">
        <f>_xlfn.XLOOKUP(Sales[[#This Row],[Product Name]],Products[Product Name],Products[Selling Price (CAD)])</f>
        <v>2.99</v>
      </c>
      <c r="J1654" s="5">
        <f>PRODUCT(Sales[[#This Row],[Quantity Sold]],Sales[[#This Row],[Unit Selling Price (CAD)]])</f>
        <v>116.61000000000001</v>
      </c>
    </row>
    <row r="1655" spans="1:10">
      <c r="A1655" t="s">
        <v>2103</v>
      </c>
      <c r="B1655" s="2">
        <v>46247</v>
      </c>
      <c r="C1655" t="s">
        <v>163</v>
      </c>
      <c r="D1655" t="s">
        <v>164</v>
      </c>
      <c r="E1655" t="str">
        <f>_xlfn.XLOOKUP(Sales[[#This Row],[Product Name]],Products[Product Name],Products[Category])</f>
        <v>Breakfast</v>
      </c>
      <c r="F1655" t="s">
        <v>449</v>
      </c>
      <c r="G1655" t="s">
        <v>452</v>
      </c>
      <c r="H1655">
        <v>77</v>
      </c>
      <c r="I1655" s="5">
        <f>_xlfn.XLOOKUP(Sales[[#This Row],[Product Name]],Products[Product Name],Products[Selling Price (CAD)])</f>
        <v>3.99</v>
      </c>
      <c r="J1655" s="5">
        <f>PRODUCT(Sales[[#This Row],[Quantity Sold]],Sales[[#This Row],[Unit Selling Price (CAD)]])</f>
        <v>307.23</v>
      </c>
    </row>
    <row r="1656" spans="1:10">
      <c r="A1656" t="s">
        <v>2104</v>
      </c>
      <c r="B1656" s="2">
        <v>46247</v>
      </c>
      <c r="C1656" t="s">
        <v>417</v>
      </c>
      <c r="D1656" t="s">
        <v>418</v>
      </c>
      <c r="E1656" t="str">
        <f>_xlfn.XLOOKUP(Sales[[#This Row],[Product Name]],Products[Product Name],Products[Category])</f>
        <v>Combo Meals</v>
      </c>
      <c r="F1656" t="s">
        <v>449</v>
      </c>
      <c r="G1656" t="s">
        <v>452</v>
      </c>
      <c r="H1656">
        <v>80</v>
      </c>
      <c r="I1656" s="5">
        <f>_xlfn.XLOOKUP(Sales[[#This Row],[Product Name]],Products[Product Name],Products[Selling Price (CAD)])</f>
        <v>9.99</v>
      </c>
      <c r="J1656" s="5">
        <f>PRODUCT(Sales[[#This Row],[Quantity Sold]],Sales[[#This Row],[Unit Selling Price (CAD)]])</f>
        <v>799.2</v>
      </c>
    </row>
    <row r="1657" spans="1:10">
      <c r="A1657" t="s">
        <v>2105</v>
      </c>
      <c r="B1657" s="2">
        <v>46247</v>
      </c>
      <c r="C1657" t="s">
        <v>155</v>
      </c>
      <c r="D1657" t="s">
        <v>156</v>
      </c>
      <c r="E1657" t="str">
        <f>_xlfn.XLOOKUP(Sales[[#This Row],[Product Name]],Products[Product Name],Products[Category])</f>
        <v>Breakfast</v>
      </c>
      <c r="F1657" t="s">
        <v>449</v>
      </c>
      <c r="G1657" t="s">
        <v>450</v>
      </c>
      <c r="H1657">
        <v>74</v>
      </c>
      <c r="I1657" s="5">
        <f>_xlfn.XLOOKUP(Sales[[#This Row],[Product Name]],Products[Product Name],Products[Selling Price (CAD)])</f>
        <v>4.99</v>
      </c>
      <c r="J1657" s="5">
        <f>PRODUCT(Sales[[#This Row],[Quantity Sold]],Sales[[#This Row],[Unit Selling Price (CAD)]])</f>
        <v>369.26</v>
      </c>
    </row>
    <row r="1658" spans="1:10">
      <c r="A1658" t="s">
        <v>2106</v>
      </c>
      <c r="B1658" s="2">
        <v>46247</v>
      </c>
      <c r="C1658" t="s">
        <v>273</v>
      </c>
      <c r="D1658" t="s">
        <v>274</v>
      </c>
      <c r="E1658" t="str">
        <f>_xlfn.XLOOKUP(Sales[[#This Row],[Product Name]],Products[Product Name],Products[Category])</f>
        <v>Beverages</v>
      </c>
      <c r="F1658" t="s">
        <v>447</v>
      </c>
      <c r="G1658" t="s">
        <v>454</v>
      </c>
      <c r="H1658">
        <v>39</v>
      </c>
      <c r="I1658" s="5">
        <f>_xlfn.XLOOKUP(Sales[[#This Row],[Product Name]],Products[Product Name],Products[Selling Price (CAD)])</f>
        <v>2.99</v>
      </c>
      <c r="J1658" s="5">
        <f>PRODUCT(Sales[[#This Row],[Quantity Sold]],Sales[[#This Row],[Unit Selling Price (CAD)]])</f>
        <v>116.61000000000001</v>
      </c>
    </row>
    <row r="1659" spans="1:10">
      <c r="A1659" t="s">
        <v>2107</v>
      </c>
      <c r="B1659" s="2">
        <v>46247</v>
      </c>
      <c r="C1659" t="s">
        <v>321</v>
      </c>
      <c r="D1659" t="s">
        <v>322</v>
      </c>
      <c r="E1659" t="str">
        <f>_xlfn.XLOOKUP(Sales[[#This Row],[Product Name]],Products[Product Name],Products[Category])</f>
        <v>Beverages</v>
      </c>
      <c r="F1659" t="s">
        <v>449</v>
      </c>
      <c r="G1659" t="s">
        <v>450</v>
      </c>
      <c r="H1659">
        <v>58</v>
      </c>
      <c r="I1659" s="5">
        <f>_xlfn.XLOOKUP(Sales[[#This Row],[Product Name]],Products[Product Name],Products[Selling Price (CAD)])</f>
        <v>2.4900000000000002</v>
      </c>
      <c r="J1659" s="5">
        <f>PRODUCT(Sales[[#This Row],[Quantity Sold]],Sales[[#This Row],[Unit Selling Price (CAD)]])</f>
        <v>144.42000000000002</v>
      </c>
    </row>
    <row r="1660" spans="1:10">
      <c r="A1660" t="s">
        <v>2108</v>
      </c>
      <c r="B1660" s="2">
        <v>46247</v>
      </c>
      <c r="C1660" t="s">
        <v>32</v>
      </c>
      <c r="D1660" t="s">
        <v>33</v>
      </c>
      <c r="E1660" t="str">
        <f>_xlfn.XLOOKUP(Sales[[#This Row],[Product Name]],Products[Product Name],Products[Category])</f>
        <v>Burgers</v>
      </c>
      <c r="F1660" t="s">
        <v>447</v>
      </c>
      <c r="G1660" t="s">
        <v>450</v>
      </c>
      <c r="H1660">
        <v>62</v>
      </c>
      <c r="I1660" s="5">
        <f>_xlfn.XLOOKUP(Sales[[#This Row],[Product Name]],Products[Product Name],Products[Selling Price (CAD)])</f>
        <v>9.99</v>
      </c>
      <c r="J1660" s="5">
        <f>PRODUCT(Sales[[#This Row],[Quantity Sold]],Sales[[#This Row],[Unit Selling Price (CAD)]])</f>
        <v>619.38</v>
      </c>
    </row>
    <row r="1661" spans="1:10">
      <c r="A1661" t="s">
        <v>2109</v>
      </c>
      <c r="B1661" s="2">
        <v>46247</v>
      </c>
      <c r="C1661" t="s">
        <v>357</v>
      </c>
      <c r="D1661" t="s">
        <v>358</v>
      </c>
      <c r="E1661" t="str">
        <f>_xlfn.XLOOKUP(Sales[[#This Row],[Product Name]],Products[Product Name],Products[Category])</f>
        <v>Desserts</v>
      </c>
      <c r="F1661" t="s">
        <v>447</v>
      </c>
      <c r="G1661" t="s">
        <v>445</v>
      </c>
      <c r="H1661">
        <v>34</v>
      </c>
      <c r="I1661" s="5">
        <f>_xlfn.XLOOKUP(Sales[[#This Row],[Product Name]],Products[Product Name],Products[Selling Price (CAD)])</f>
        <v>4.99</v>
      </c>
      <c r="J1661" s="5">
        <f>PRODUCT(Sales[[#This Row],[Quantity Sold]],Sales[[#This Row],[Unit Selling Price (CAD)]])</f>
        <v>169.66</v>
      </c>
    </row>
    <row r="1662" spans="1:10">
      <c r="A1662" t="s">
        <v>2110</v>
      </c>
      <c r="B1662" s="2">
        <v>46247</v>
      </c>
      <c r="C1662" t="s">
        <v>249</v>
      </c>
      <c r="D1662" t="s">
        <v>250</v>
      </c>
      <c r="E1662" t="str">
        <f>_xlfn.XLOOKUP(Sales[[#This Row],[Product Name]],Products[Product Name],Products[Category])</f>
        <v>Salads</v>
      </c>
      <c r="F1662" t="s">
        <v>449</v>
      </c>
      <c r="G1662" t="s">
        <v>452</v>
      </c>
      <c r="H1662">
        <v>67</v>
      </c>
      <c r="I1662" s="5">
        <f>_xlfn.XLOOKUP(Sales[[#This Row],[Product Name]],Products[Product Name],Products[Selling Price (CAD)])</f>
        <v>7.49</v>
      </c>
      <c r="J1662" s="5">
        <f>PRODUCT(Sales[[#This Row],[Quantity Sold]],Sales[[#This Row],[Unit Selling Price (CAD)]])</f>
        <v>501.83000000000004</v>
      </c>
    </row>
    <row r="1663" spans="1:10">
      <c r="A1663" t="s">
        <v>2111</v>
      </c>
      <c r="B1663" s="2">
        <v>46248</v>
      </c>
      <c r="C1663" t="s">
        <v>125</v>
      </c>
      <c r="D1663" t="s">
        <v>126</v>
      </c>
      <c r="E1663" t="str">
        <f>_xlfn.XLOOKUP(Sales[[#This Row],[Product Name]],Products[Product Name],Products[Category])</f>
        <v>Chicken</v>
      </c>
      <c r="F1663" t="s">
        <v>449</v>
      </c>
      <c r="G1663" t="s">
        <v>450</v>
      </c>
      <c r="H1663">
        <v>31</v>
      </c>
      <c r="I1663" s="5">
        <f>_xlfn.XLOOKUP(Sales[[#This Row],[Product Name]],Products[Product Name],Products[Selling Price (CAD)])</f>
        <v>4.99</v>
      </c>
      <c r="J1663" s="5">
        <f>PRODUCT(Sales[[#This Row],[Quantity Sold]],Sales[[#This Row],[Unit Selling Price (CAD)]])</f>
        <v>154.69</v>
      </c>
    </row>
    <row r="1664" spans="1:10">
      <c r="A1664" t="s">
        <v>2112</v>
      </c>
      <c r="B1664" s="2">
        <v>46248</v>
      </c>
      <c r="C1664" t="s">
        <v>161</v>
      </c>
      <c r="D1664" t="s">
        <v>162</v>
      </c>
      <c r="E1664" t="str">
        <f>_xlfn.XLOOKUP(Sales[[#This Row],[Product Name]],Products[Product Name],Products[Category])</f>
        <v>Breakfast</v>
      </c>
      <c r="F1664" t="s">
        <v>447</v>
      </c>
      <c r="G1664" t="s">
        <v>454</v>
      </c>
      <c r="H1664">
        <v>51</v>
      </c>
      <c r="I1664" s="5">
        <f>_xlfn.XLOOKUP(Sales[[#This Row],[Product Name]],Products[Product Name],Products[Selling Price (CAD)])</f>
        <v>2.99</v>
      </c>
      <c r="J1664" s="5">
        <f>PRODUCT(Sales[[#This Row],[Quantity Sold]],Sales[[#This Row],[Unit Selling Price (CAD)]])</f>
        <v>152.49</v>
      </c>
    </row>
    <row r="1665" spans="1:10">
      <c r="A1665" t="s">
        <v>2113</v>
      </c>
      <c r="B1665" s="2">
        <v>46248</v>
      </c>
      <c r="C1665" t="s">
        <v>50</v>
      </c>
      <c r="D1665" t="s">
        <v>51</v>
      </c>
      <c r="E1665" t="str">
        <f>_xlfn.XLOOKUP(Sales[[#This Row],[Product Name]],Products[Product Name],Products[Category])</f>
        <v>Burgers</v>
      </c>
      <c r="F1665" t="s">
        <v>444</v>
      </c>
      <c r="G1665" t="s">
        <v>454</v>
      </c>
      <c r="H1665">
        <v>78</v>
      </c>
      <c r="I1665" s="5">
        <f>_xlfn.XLOOKUP(Sales[[#This Row],[Product Name]],Products[Product Name],Products[Selling Price (CAD)])</f>
        <v>8.49</v>
      </c>
      <c r="J1665" s="5">
        <f>PRODUCT(Sales[[#This Row],[Quantity Sold]],Sales[[#This Row],[Unit Selling Price (CAD)]])</f>
        <v>662.22</v>
      </c>
    </row>
    <row r="1666" spans="1:10">
      <c r="A1666" t="s">
        <v>2114</v>
      </c>
      <c r="B1666" s="2">
        <v>46248</v>
      </c>
      <c r="C1666" t="s">
        <v>58</v>
      </c>
      <c r="D1666" t="s">
        <v>59</v>
      </c>
      <c r="E1666" t="str">
        <f>_xlfn.XLOOKUP(Sales[[#This Row],[Product Name]],Products[Product Name],Products[Category])</f>
        <v>Burgers</v>
      </c>
      <c r="F1666" t="s">
        <v>444</v>
      </c>
      <c r="G1666" t="s">
        <v>450</v>
      </c>
      <c r="H1666">
        <v>78</v>
      </c>
      <c r="I1666" s="5">
        <f>_xlfn.XLOOKUP(Sales[[#This Row],[Product Name]],Products[Product Name],Products[Selling Price (CAD)])</f>
        <v>8.49</v>
      </c>
      <c r="J1666" s="5">
        <f>PRODUCT(Sales[[#This Row],[Quantity Sold]],Sales[[#This Row],[Unit Selling Price (CAD)]])</f>
        <v>662.22</v>
      </c>
    </row>
    <row r="1667" spans="1:10">
      <c r="A1667" t="s">
        <v>2115</v>
      </c>
      <c r="B1667" s="2">
        <v>46248</v>
      </c>
      <c r="C1667" t="s">
        <v>219</v>
      </c>
      <c r="D1667" t="s">
        <v>220</v>
      </c>
      <c r="E1667" t="str">
        <f>_xlfn.XLOOKUP(Sales[[#This Row],[Product Name]],Products[Product Name],Products[Category])</f>
        <v>Sides</v>
      </c>
      <c r="F1667" t="s">
        <v>444</v>
      </c>
      <c r="G1667" t="s">
        <v>454</v>
      </c>
      <c r="H1667">
        <v>57</v>
      </c>
      <c r="I1667" s="5">
        <f>_xlfn.XLOOKUP(Sales[[#This Row],[Product Name]],Products[Product Name],Products[Selling Price (CAD)])</f>
        <v>3.49</v>
      </c>
      <c r="J1667" s="5">
        <f>PRODUCT(Sales[[#This Row],[Quantity Sold]],Sales[[#This Row],[Unit Selling Price (CAD)]])</f>
        <v>198.93</v>
      </c>
    </row>
    <row r="1668" spans="1:10">
      <c r="A1668" t="s">
        <v>2116</v>
      </c>
      <c r="B1668" s="2">
        <v>46248</v>
      </c>
      <c r="C1668" t="s">
        <v>171</v>
      </c>
      <c r="D1668" t="s">
        <v>172</v>
      </c>
      <c r="E1668" t="str">
        <f>_xlfn.XLOOKUP(Sales[[#This Row],[Product Name]],Products[Product Name],Products[Category])</f>
        <v>Breakfast</v>
      </c>
      <c r="F1668" t="s">
        <v>449</v>
      </c>
      <c r="G1668" t="s">
        <v>450</v>
      </c>
      <c r="H1668">
        <v>47</v>
      </c>
      <c r="I1668" s="5">
        <f>_xlfn.XLOOKUP(Sales[[#This Row],[Product Name]],Products[Product Name],Products[Selling Price (CAD)])</f>
        <v>3.99</v>
      </c>
      <c r="J1668" s="5">
        <f>PRODUCT(Sales[[#This Row],[Quantity Sold]],Sales[[#This Row],[Unit Selling Price (CAD)]])</f>
        <v>187.53</v>
      </c>
    </row>
    <row r="1669" spans="1:10">
      <c r="A1669" t="s">
        <v>2117</v>
      </c>
      <c r="B1669" s="2">
        <v>46249</v>
      </c>
      <c r="C1669" t="s">
        <v>111</v>
      </c>
      <c r="D1669" t="s">
        <v>112</v>
      </c>
      <c r="E1669" t="str">
        <f>_xlfn.XLOOKUP(Sales[[#This Row],[Product Name]],Products[Product Name],Products[Category])</f>
        <v>Chicken</v>
      </c>
      <c r="F1669" t="s">
        <v>444</v>
      </c>
      <c r="G1669" t="s">
        <v>452</v>
      </c>
      <c r="H1669">
        <v>35</v>
      </c>
      <c r="I1669" s="5">
        <f>_xlfn.XLOOKUP(Sales[[#This Row],[Product Name]],Products[Product Name],Products[Selling Price (CAD)])</f>
        <v>5.99</v>
      </c>
      <c r="J1669" s="5">
        <f>PRODUCT(Sales[[#This Row],[Quantity Sold]],Sales[[#This Row],[Unit Selling Price (CAD)]])</f>
        <v>209.65</v>
      </c>
    </row>
    <row r="1670" spans="1:10">
      <c r="A1670" t="s">
        <v>2118</v>
      </c>
      <c r="B1670" s="2">
        <v>46249</v>
      </c>
      <c r="C1670" t="s">
        <v>17</v>
      </c>
      <c r="D1670" t="s">
        <v>18</v>
      </c>
      <c r="E1670" t="str">
        <f>_xlfn.XLOOKUP(Sales[[#This Row],[Product Name]],Products[Product Name],Products[Category])</f>
        <v>Burgers</v>
      </c>
      <c r="F1670" t="s">
        <v>444</v>
      </c>
      <c r="G1670" t="s">
        <v>450</v>
      </c>
      <c r="H1670">
        <v>53</v>
      </c>
      <c r="I1670" s="5">
        <f>_xlfn.XLOOKUP(Sales[[#This Row],[Product Name]],Products[Product Name],Products[Selling Price (CAD)])</f>
        <v>7.99</v>
      </c>
      <c r="J1670" s="5">
        <f>PRODUCT(Sales[[#This Row],[Quantity Sold]],Sales[[#This Row],[Unit Selling Price (CAD)]])</f>
        <v>423.47</v>
      </c>
    </row>
    <row r="1671" spans="1:10">
      <c r="A1671" t="s">
        <v>2119</v>
      </c>
      <c r="B1671" s="2">
        <v>46249</v>
      </c>
      <c r="C1671" t="s">
        <v>281</v>
      </c>
      <c r="D1671" t="s">
        <v>282</v>
      </c>
      <c r="E1671" t="str">
        <f>_xlfn.XLOOKUP(Sales[[#This Row],[Product Name]],Products[Product Name],Products[Category])</f>
        <v>Beverages</v>
      </c>
      <c r="F1671" t="s">
        <v>447</v>
      </c>
      <c r="G1671" t="s">
        <v>445</v>
      </c>
      <c r="H1671">
        <v>36</v>
      </c>
      <c r="I1671" s="5">
        <f>_xlfn.XLOOKUP(Sales[[#This Row],[Product Name]],Products[Product Name],Products[Selling Price (CAD)])</f>
        <v>2.99</v>
      </c>
      <c r="J1671" s="5">
        <f>PRODUCT(Sales[[#This Row],[Quantity Sold]],Sales[[#This Row],[Unit Selling Price (CAD)]])</f>
        <v>107.64000000000001</v>
      </c>
    </row>
    <row r="1672" spans="1:10">
      <c r="A1672" t="s">
        <v>2120</v>
      </c>
      <c r="B1672" s="2">
        <v>46249</v>
      </c>
      <c r="C1672" t="s">
        <v>319</v>
      </c>
      <c r="D1672" t="s">
        <v>320</v>
      </c>
      <c r="E1672" t="str">
        <f>_xlfn.XLOOKUP(Sales[[#This Row],[Product Name]],Products[Product Name],Products[Category])</f>
        <v>Beverages</v>
      </c>
      <c r="F1672" t="s">
        <v>449</v>
      </c>
      <c r="G1672" t="s">
        <v>450</v>
      </c>
      <c r="H1672">
        <v>35</v>
      </c>
      <c r="I1672" s="5">
        <f>_xlfn.XLOOKUP(Sales[[#This Row],[Product Name]],Products[Product Name],Products[Selling Price (CAD)])</f>
        <v>2.4900000000000002</v>
      </c>
      <c r="J1672" s="5">
        <f>PRODUCT(Sales[[#This Row],[Quantity Sold]],Sales[[#This Row],[Unit Selling Price (CAD)]])</f>
        <v>87.15</v>
      </c>
    </row>
    <row r="1673" spans="1:10">
      <c r="A1673" t="s">
        <v>2121</v>
      </c>
      <c r="B1673" s="2">
        <v>46249</v>
      </c>
      <c r="C1673" t="s">
        <v>44</v>
      </c>
      <c r="D1673" t="s">
        <v>45</v>
      </c>
      <c r="E1673" t="str">
        <f>_xlfn.XLOOKUP(Sales[[#This Row],[Product Name]],Products[Product Name],Products[Category])</f>
        <v>Burgers</v>
      </c>
      <c r="F1673" t="s">
        <v>447</v>
      </c>
      <c r="G1673" t="s">
        <v>454</v>
      </c>
      <c r="H1673">
        <v>52</v>
      </c>
      <c r="I1673" s="5">
        <f>_xlfn.XLOOKUP(Sales[[#This Row],[Product Name]],Products[Product Name],Products[Selling Price (CAD)])</f>
        <v>6.49</v>
      </c>
      <c r="J1673" s="5">
        <f>PRODUCT(Sales[[#This Row],[Quantity Sold]],Sales[[#This Row],[Unit Selling Price (CAD)]])</f>
        <v>337.48</v>
      </c>
    </row>
    <row r="1674" spans="1:10">
      <c r="A1674" t="s">
        <v>2122</v>
      </c>
      <c r="B1674" s="2">
        <v>46249</v>
      </c>
      <c r="C1674" t="s">
        <v>209</v>
      </c>
      <c r="D1674" t="s">
        <v>210</v>
      </c>
      <c r="E1674" t="str">
        <f>_xlfn.XLOOKUP(Sales[[#This Row],[Product Name]],Products[Product Name],Products[Category])</f>
        <v>Sides</v>
      </c>
      <c r="F1674" t="s">
        <v>444</v>
      </c>
      <c r="G1674" t="s">
        <v>450</v>
      </c>
      <c r="H1674">
        <v>75</v>
      </c>
      <c r="I1674" s="5">
        <f>_xlfn.XLOOKUP(Sales[[#This Row],[Product Name]],Products[Product Name],Products[Selling Price (CAD)])</f>
        <v>4.99</v>
      </c>
      <c r="J1674" s="5">
        <f>PRODUCT(Sales[[#This Row],[Quantity Sold]],Sales[[#This Row],[Unit Selling Price (CAD)]])</f>
        <v>374.25</v>
      </c>
    </row>
    <row r="1675" spans="1:10">
      <c r="A1675" t="s">
        <v>2123</v>
      </c>
      <c r="B1675" s="2">
        <v>46249</v>
      </c>
      <c r="C1675" t="s">
        <v>187</v>
      </c>
      <c r="D1675" t="s">
        <v>188</v>
      </c>
      <c r="E1675" t="str">
        <f>_xlfn.XLOOKUP(Sales[[#This Row],[Product Name]],Products[Product Name],Products[Category])</f>
        <v>Sides</v>
      </c>
      <c r="F1675" t="s">
        <v>444</v>
      </c>
      <c r="G1675" t="s">
        <v>454</v>
      </c>
      <c r="H1675">
        <v>80</v>
      </c>
      <c r="I1675" s="5">
        <f>_xlfn.XLOOKUP(Sales[[#This Row],[Product Name]],Products[Product Name],Products[Selling Price (CAD)])</f>
        <v>4.49</v>
      </c>
      <c r="J1675" s="5">
        <f>PRODUCT(Sales[[#This Row],[Quantity Sold]],Sales[[#This Row],[Unit Selling Price (CAD)]])</f>
        <v>359.20000000000005</v>
      </c>
    </row>
    <row r="1676" spans="1:10">
      <c r="A1676" t="s">
        <v>2124</v>
      </c>
      <c r="B1676" s="2">
        <v>46250</v>
      </c>
      <c r="C1676" t="s">
        <v>402</v>
      </c>
      <c r="D1676" t="s">
        <v>403</v>
      </c>
      <c r="E1676" t="str">
        <f>_xlfn.XLOOKUP(Sales[[#This Row],[Product Name]],Products[Product Name],Products[Category])</f>
        <v>Sauces &amp; Add-ons</v>
      </c>
      <c r="F1676" t="s">
        <v>447</v>
      </c>
      <c r="G1676" t="s">
        <v>450</v>
      </c>
      <c r="H1676">
        <v>64</v>
      </c>
      <c r="I1676" s="5">
        <f>_xlfn.XLOOKUP(Sales[[#This Row],[Product Name]],Products[Product Name],Products[Selling Price (CAD)])</f>
        <v>1.49</v>
      </c>
      <c r="J1676" s="5">
        <f>PRODUCT(Sales[[#This Row],[Quantity Sold]],Sales[[#This Row],[Unit Selling Price (CAD)]])</f>
        <v>95.36</v>
      </c>
    </row>
    <row r="1677" spans="1:10">
      <c r="A1677" t="s">
        <v>2125</v>
      </c>
      <c r="B1677" s="2">
        <v>46250</v>
      </c>
      <c r="C1677" t="s">
        <v>68</v>
      </c>
      <c r="D1677" t="s">
        <v>69</v>
      </c>
      <c r="E1677" t="str">
        <f>_xlfn.XLOOKUP(Sales[[#This Row],[Product Name]],Products[Product Name],Products[Category])</f>
        <v>Burgers</v>
      </c>
      <c r="F1677" t="s">
        <v>444</v>
      </c>
      <c r="G1677" t="s">
        <v>452</v>
      </c>
      <c r="H1677">
        <v>49</v>
      </c>
      <c r="I1677" s="5">
        <f>_xlfn.XLOOKUP(Sales[[#This Row],[Product Name]],Products[Product Name],Products[Selling Price (CAD)])</f>
        <v>6.99</v>
      </c>
      <c r="J1677" s="5">
        <f>PRODUCT(Sales[[#This Row],[Quantity Sold]],Sales[[#This Row],[Unit Selling Price (CAD)]])</f>
        <v>342.51</v>
      </c>
    </row>
    <row r="1678" spans="1:10">
      <c r="A1678" t="s">
        <v>2126</v>
      </c>
      <c r="B1678" s="2">
        <v>46250</v>
      </c>
      <c r="C1678" t="s">
        <v>259</v>
      </c>
      <c r="D1678" t="s">
        <v>260</v>
      </c>
      <c r="E1678" t="str">
        <f>_xlfn.XLOOKUP(Sales[[#This Row],[Product Name]],Products[Product Name],Products[Category])</f>
        <v>Beverages</v>
      </c>
      <c r="F1678" t="s">
        <v>449</v>
      </c>
      <c r="G1678" t="s">
        <v>450</v>
      </c>
      <c r="H1678">
        <v>69</v>
      </c>
      <c r="I1678" s="5">
        <f>_xlfn.XLOOKUP(Sales[[#This Row],[Product Name]],Products[Product Name],Products[Selling Price (CAD)])</f>
        <v>1.99</v>
      </c>
      <c r="J1678" s="5">
        <f>PRODUCT(Sales[[#This Row],[Quantity Sold]],Sales[[#This Row],[Unit Selling Price (CAD)]])</f>
        <v>137.31</v>
      </c>
    </row>
    <row r="1679" spans="1:10">
      <c r="A1679" t="s">
        <v>2127</v>
      </c>
      <c r="B1679" s="2">
        <v>46250</v>
      </c>
      <c r="C1679" t="s">
        <v>40</v>
      </c>
      <c r="D1679" t="s">
        <v>41</v>
      </c>
      <c r="E1679" t="str">
        <f>_xlfn.XLOOKUP(Sales[[#This Row],[Product Name]],Products[Product Name],Products[Category])</f>
        <v>Burgers</v>
      </c>
      <c r="F1679" t="s">
        <v>444</v>
      </c>
      <c r="G1679" t="s">
        <v>450</v>
      </c>
      <c r="H1679">
        <v>39</v>
      </c>
      <c r="I1679" s="5">
        <f>_xlfn.XLOOKUP(Sales[[#This Row],[Product Name]],Products[Product Name],Products[Selling Price (CAD)])</f>
        <v>6.99</v>
      </c>
      <c r="J1679" s="5">
        <f>PRODUCT(Sales[[#This Row],[Quantity Sold]],Sales[[#This Row],[Unit Selling Price (CAD)]])</f>
        <v>272.61</v>
      </c>
    </row>
    <row r="1680" spans="1:10">
      <c r="A1680" t="s">
        <v>2128</v>
      </c>
      <c r="B1680" s="2">
        <v>46250</v>
      </c>
      <c r="C1680" t="s">
        <v>66</v>
      </c>
      <c r="D1680" t="s">
        <v>67</v>
      </c>
      <c r="E1680" t="str">
        <f>_xlfn.XLOOKUP(Sales[[#This Row],[Product Name]],Products[Product Name],Products[Category])</f>
        <v>Burgers</v>
      </c>
      <c r="F1680" t="s">
        <v>444</v>
      </c>
      <c r="G1680" t="s">
        <v>450</v>
      </c>
      <c r="H1680">
        <v>53</v>
      </c>
      <c r="I1680" s="5">
        <f>_xlfn.XLOOKUP(Sales[[#This Row],[Product Name]],Products[Product Name],Products[Selling Price (CAD)])</f>
        <v>8.49</v>
      </c>
      <c r="J1680" s="5">
        <f>PRODUCT(Sales[[#This Row],[Quantity Sold]],Sales[[#This Row],[Unit Selling Price (CAD)]])</f>
        <v>449.97</v>
      </c>
    </row>
    <row r="1681" spans="1:10">
      <c r="A1681" t="s">
        <v>2129</v>
      </c>
      <c r="B1681" s="2">
        <v>46250</v>
      </c>
      <c r="C1681" t="s">
        <v>119</v>
      </c>
      <c r="D1681" t="s">
        <v>120</v>
      </c>
      <c r="E1681" t="str">
        <f>_xlfn.XLOOKUP(Sales[[#This Row],[Product Name]],Products[Product Name],Products[Category])</f>
        <v>Chicken</v>
      </c>
      <c r="F1681" t="s">
        <v>449</v>
      </c>
      <c r="G1681" t="s">
        <v>450</v>
      </c>
      <c r="H1681">
        <v>68</v>
      </c>
      <c r="I1681" s="5">
        <f>_xlfn.XLOOKUP(Sales[[#This Row],[Product Name]],Products[Product Name],Products[Selling Price (CAD)])</f>
        <v>6.99</v>
      </c>
      <c r="J1681" s="5">
        <f>PRODUCT(Sales[[#This Row],[Quantity Sold]],Sales[[#This Row],[Unit Selling Price (CAD)]])</f>
        <v>475.32</v>
      </c>
    </row>
    <row r="1682" spans="1:10">
      <c r="A1682" t="s">
        <v>2130</v>
      </c>
      <c r="B1682" s="2">
        <v>46250</v>
      </c>
      <c r="C1682" t="s">
        <v>337</v>
      </c>
      <c r="D1682" t="s">
        <v>338</v>
      </c>
      <c r="E1682" t="str">
        <f>_xlfn.XLOOKUP(Sales[[#This Row],[Product Name]],Products[Product Name],Products[Category])</f>
        <v>Desserts</v>
      </c>
      <c r="F1682" t="s">
        <v>444</v>
      </c>
      <c r="G1682" t="s">
        <v>450</v>
      </c>
      <c r="H1682">
        <v>76</v>
      </c>
      <c r="I1682" s="5">
        <f>_xlfn.XLOOKUP(Sales[[#This Row],[Product Name]],Products[Product Name],Products[Selling Price (CAD)])</f>
        <v>1.49</v>
      </c>
      <c r="J1682" s="5">
        <f>PRODUCT(Sales[[#This Row],[Quantity Sold]],Sales[[#This Row],[Unit Selling Price (CAD)]])</f>
        <v>113.24</v>
      </c>
    </row>
    <row r="1683" spans="1:10">
      <c r="A1683" t="s">
        <v>2131</v>
      </c>
      <c r="B1683" s="2">
        <v>46250</v>
      </c>
      <c r="C1683" t="s">
        <v>101</v>
      </c>
      <c r="D1683" t="s">
        <v>102</v>
      </c>
      <c r="E1683" t="str">
        <f>_xlfn.XLOOKUP(Sales[[#This Row],[Product Name]],Products[Product Name],Products[Category])</f>
        <v>Chicken</v>
      </c>
      <c r="F1683" t="s">
        <v>444</v>
      </c>
      <c r="G1683" t="s">
        <v>452</v>
      </c>
      <c r="H1683">
        <v>46</v>
      </c>
      <c r="I1683" s="5">
        <f>_xlfn.XLOOKUP(Sales[[#This Row],[Product Name]],Products[Product Name],Products[Selling Price (CAD)])</f>
        <v>7.99</v>
      </c>
      <c r="J1683" s="5">
        <f>PRODUCT(Sales[[#This Row],[Quantity Sold]],Sales[[#This Row],[Unit Selling Price (CAD)]])</f>
        <v>367.54</v>
      </c>
    </row>
    <row r="1684" spans="1:10">
      <c r="A1684" t="s">
        <v>2132</v>
      </c>
      <c r="B1684" s="2">
        <v>46250</v>
      </c>
      <c r="C1684" t="s">
        <v>169</v>
      </c>
      <c r="D1684" t="s">
        <v>170</v>
      </c>
      <c r="E1684" t="str">
        <f>_xlfn.XLOOKUP(Sales[[#This Row],[Product Name]],Products[Product Name],Products[Category])</f>
        <v>Breakfast</v>
      </c>
      <c r="F1684" t="s">
        <v>444</v>
      </c>
      <c r="G1684" t="s">
        <v>450</v>
      </c>
      <c r="H1684">
        <v>67</v>
      </c>
      <c r="I1684" s="5">
        <f>_xlfn.XLOOKUP(Sales[[#This Row],[Product Name]],Products[Product Name],Products[Selling Price (CAD)])</f>
        <v>2.99</v>
      </c>
      <c r="J1684" s="5">
        <f>PRODUCT(Sales[[#This Row],[Quantity Sold]],Sales[[#This Row],[Unit Selling Price (CAD)]])</f>
        <v>200.33</v>
      </c>
    </row>
    <row r="1685" spans="1:10">
      <c r="A1685" t="s">
        <v>2133</v>
      </c>
      <c r="B1685" s="2">
        <v>46250</v>
      </c>
      <c r="C1685" t="s">
        <v>368</v>
      </c>
      <c r="D1685" t="s">
        <v>369</v>
      </c>
      <c r="E1685" t="str">
        <f>_xlfn.XLOOKUP(Sales[[#This Row],[Product Name]],Products[Product Name],Products[Category])</f>
        <v>Kids Meals</v>
      </c>
      <c r="F1685" t="s">
        <v>444</v>
      </c>
      <c r="G1685" t="s">
        <v>454</v>
      </c>
      <c r="H1685">
        <v>46</v>
      </c>
      <c r="I1685" s="5">
        <f>_xlfn.XLOOKUP(Sales[[#This Row],[Product Name]],Products[Product Name],Products[Selling Price (CAD)])</f>
        <v>5.99</v>
      </c>
      <c r="J1685" s="5">
        <f>PRODUCT(Sales[[#This Row],[Quantity Sold]],Sales[[#This Row],[Unit Selling Price (CAD)]])</f>
        <v>275.54000000000002</v>
      </c>
    </row>
    <row r="1686" spans="1:10">
      <c r="A1686" t="s">
        <v>2134</v>
      </c>
      <c r="B1686" s="2">
        <v>46251</v>
      </c>
      <c r="C1686" t="s">
        <v>36</v>
      </c>
      <c r="D1686" t="s">
        <v>37</v>
      </c>
      <c r="E1686" t="str">
        <f>_xlfn.XLOOKUP(Sales[[#This Row],[Product Name]],Products[Product Name],Products[Category])</f>
        <v>Burgers</v>
      </c>
      <c r="F1686" t="s">
        <v>444</v>
      </c>
      <c r="G1686" t="s">
        <v>454</v>
      </c>
      <c r="H1686">
        <v>50</v>
      </c>
      <c r="I1686" s="5">
        <f>_xlfn.XLOOKUP(Sales[[#This Row],[Product Name]],Products[Product Name],Products[Selling Price (CAD)])</f>
        <v>8.99</v>
      </c>
      <c r="J1686" s="5">
        <f>PRODUCT(Sales[[#This Row],[Quantity Sold]],Sales[[#This Row],[Unit Selling Price (CAD)]])</f>
        <v>449.5</v>
      </c>
    </row>
    <row r="1687" spans="1:10">
      <c r="A1687" t="s">
        <v>2135</v>
      </c>
      <c r="B1687" s="2">
        <v>46251</v>
      </c>
      <c r="C1687" t="s">
        <v>28</v>
      </c>
      <c r="D1687" t="s">
        <v>29</v>
      </c>
      <c r="E1687" t="str">
        <f>_xlfn.XLOOKUP(Sales[[#This Row],[Product Name]],Products[Product Name],Products[Category])</f>
        <v>Burgers</v>
      </c>
      <c r="F1687" t="s">
        <v>449</v>
      </c>
      <c r="G1687" t="s">
        <v>450</v>
      </c>
      <c r="H1687">
        <v>61</v>
      </c>
      <c r="I1687" s="5">
        <f>_xlfn.XLOOKUP(Sales[[#This Row],[Product Name]],Products[Product Name],Products[Selling Price (CAD)])</f>
        <v>7.99</v>
      </c>
      <c r="J1687" s="5">
        <f>PRODUCT(Sales[[#This Row],[Quantity Sold]],Sales[[#This Row],[Unit Selling Price (CAD)]])</f>
        <v>487.39</v>
      </c>
    </row>
    <row r="1688" spans="1:10">
      <c r="A1688" t="s">
        <v>2136</v>
      </c>
      <c r="B1688" s="2">
        <v>46251</v>
      </c>
      <c r="C1688" t="s">
        <v>93</v>
      </c>
      <c r="D1688" t="s">
        <v>94</v>
      </c>
      <c r="E1688" t="str">
        <f>_xlfn.XLOOKUP(Sales[[#This Row],[Product Name]],Products[Product Name],Products[Category])</f>
        <v>Chicken</v>
      </c>
      <c r="F1688" t="s">
        <v>447</v>
      </c>
      <c r="G1688" t="s">
        <v>450</v>
      </c>
      <c r="H1688">
        <v>50</v>
      </c>
      <c r="I1688" s="5">
        <f>_xlfn.XLOOKUP(Sales[[#This Row],[Product Name]],Products[Product Name],Products[Selling Price (CAD)])</f>
        <v>7.49</v>
      </c>
      <c r="J1688" s="5">
        <f>PRODUCT(Sales[[#This Row],[Quantity Sold]],Sales[[#This Row],[Unit Selling Price (CAD)]])</f>
        <v>374.5</v>
      </c>
    </row>
    <row r="1689" spans="1:10">
      <c r="A1689" t="s">
        <v>2137</v>
      </c>
      <c r="B1689" s="2">
        <v>46251</v>
      </c>
      <c r="C1689" t="s">
        <v>388</v>
      </c>
      <c r="D1689" t="s">
        <v>389</v>
      </c>
      <c r="E1689" t="str">
        <f>_xlfn.XLOOKUP(Sales[[#This Row],[Product Name]],Products[Product Name],Products[Category])</f>
        <v>Sauces &amp; Add-ons</v>
      </c>
      <c r="F1689" t="s">
        <v>444</v>
      </c>
      <c r="G1689" t="s">
        <v>445</v>
      </c>
      <c r="H1689">
        <v>58</v>
      </c>
      <c r="I1689" s="5">
        <f>_xlfn.XLOOKUP(Sales[[#This Row],[Product Name]],Products[Product Name],Products[Selling Price (CAD)])</f>
        <v>0.25</v>
      </c>
      <c r="J1689" s="5">
        <f>PRODUCT(Sales[[#This Row],[Quantity Sold]],Sales[[#This Row],[Unit Selling Price (CAD)]])</f>
        <v>14.5</v>
      </c>
    </row>
    <row r="1690" spans="1:10">
      <c r="A1690" t="s">
        <v>2138</v>
      </c>
      <c r="B1690" s="2">
        <v>46251</v>
      </c>
      <c r="C1690" t="s">
        <v>311</v>
      </c>
      <c r="D1690" t="s">
        <v>312</v>
      </c>
      <c r="E1690" t="str">
        <f>_xlfn.XLOOKUP(Sales[[#This Row],[Product Name]],Products[Product Name],Products[Category])</f>
        <v>Beverages</v>
      </c>
      <c r="F1690" t="s">
        <v>449</v>
      </c>
      <c r="G1690" t="s">
        <v>454</v>
      </c>
      <c r="H1690">
        <v>46</v>
      </c>
      <c r="I1690" s="5">
        <f>_xlfn.XLOOKUP(Sales[[#This Row],[Product Name]],Products[Product Name],Products[Selling Price (CAD)])</f>
        <v>3.99</v>
      </c>
      <c r="J1690" s="5">
        <f>PRODUCT(Sales[[#This Row],[Quantity Sold]],Sales[[#This Row],[Unit Selling Price (CAD)]])</f>
        <v>183.54000000000002</v>
      </c>
    </row>
    <row r="1691" spans="1:10">
      <c r="A1691" t="s">
        <v>2139</v>
      </c>
      <c r="B1691" s="2">
        <v>46252</v>
      </c>
      <c r="C1691" t="s">
        <v>209</v>
      </c>
      <c r="D1691" t="s">
        <v>210</v>
      </c>
      <c r="E1691" t="str">
        <f>_xlfn.XLOOKUP(Sales[[#This Row],[Product Name]],Products[Product Name],Products[Category])</f>
        <v>Sides</v>
      </c>
      <c r="F1691" t="s">
        <v>447</v>
      </c>
      <c r="G1691" t="s">
        <v>454</v>
      </c>
      <c r="H1691">
        <v>55</v>
      </c>
      <c r="I1691" s="5">
        <f>_xlfn.XLOOKUP(Sales[[#This Row],[Product Name]],Products[Product Name],Products[Selling Price (CAD)])</f>
        <v>4.99</v>
      </c>
      <c r="J1691" s="5">
        <f>PRODUCT(Sales[[#This Row],[Quantity Sold]],Sales[[#This Row],[Unit Selling Price (CAD)]])</f>
        <v>274.45</v>
      </c>
    </row>
    <row r="1692" spans="1:10">
      <c r="A1692" t="s">
        <v>2140</v>
      </c>
      <c r="B1692" s="2">
        <v>46252</v>
      </c>
      <c r="C1692" t="s">
        <v>107</v>
      </c>
      <c r="D1692" t="s">
        <v>108</v>
      </c>
      <c r="E1692" t="str">
        <f>_xlfn.XLOOKUP(Sales[[#This Row],[Product Name]],Products[Product Name],Products[Category])</f>
        <v>Chicken</v>
      </c>
      <c r="F1692" t="s">
        <v>449</v>
      </c>
      <c r="G1692" t="s">
        <v>452</v>
      </c>
      <c r="H1692">
        <v>52</v>
      </c>
      <c r="I1692" s="5">
        <f>_xlfn.XLOOKUP(Sales[[#This Row],[Product Name]],Products[Product Name],Products[Selling Price (CAD)])</f>
        <v>5.99</v>
      </c>
      <c r="J1692" s="5">
        <f>PRODUCT(Sales[[#This Row],[Quantity Sold]],Sales[[#This Row],[Unit Selling Price (CAD)]])</f>
        <v>311.48</v>
      </c>
    </row>
    <row r="1693" spans="1:10">
      <c r="A1693" t="s">
        <v>2141</v>
      </c>
      <c r="B1693" s="2">
        <v>46252</v>
      </c>
      <c r="C1693" t="s">
        <v>388</v>
      </c>
      <c r="D1693" t="s">
        <v>389</v>
      </c>
      <c r="E1693" t="str">
        <f>_xlfn.XLOOKUP(Sales[[#This Row],[Product Name]],Products[Product Name],Products[Category])</f>
        <v>Sauces &amp; Add-ons</v>
      </c>
      <c r="F1693" t="s">
        <v>444</v>
      </c>
      <c r="G1693" t="s">
        <v>450</v>
      </c>
      <c r="H1693">
        <v>49</v>
      </c>
      <c r="I1693" s="5">
        <f>_xlfn.XLOOKUP(Sales[[#This Row],[Product Name]],Products[Product Name],Products[Selling Price (CAD)])</f>
        <v>0.25</v>
      </c>
      <c r="J1693" s="5">
        <f>PRODUCT(Sales[[#This Row],[Quantity Sold]],Sales[[#This Row],[Unit Selling Price (CAD)]])</f>
        <v>12.25</v>
      </c>
    </row>
    <row r="1694" spans="1:10">
      <c r="A1694" t="s">
        <v>2142</v>
      </c>
      <c r="B1694" s="2">
        <v>46252</v>
      </c>
      <c r="C1694" t="s">
        <v>223</v>
      </c>
      <c r="D1694" t="s">
        <v>224</v>
      </c>
      <c r="E1694" t="str">
        <f>_xlfn.XLOOKUP(Sales[[#This Row],[Product Name]],Products[Product Name],Products[Category])</f>
        <v>Salads</v>
      </c>
      <c r="F1694" t="s">
        <v>449</v>
      </c>
      <c r="G1694" t="s">
        <v>450</v>
      </c>
      <c r="H1694">
        <v>68</v>
      </c>
      <c r="I1694" s="5">
        <f>_xlfn.XLOOKUP(Sales[[#This Row],[Product Name]],Products[Product Name],Products[Selling Price (CAD)])</f>
        <v>8.99</v>
      </c>
      <c r="J1694" s="5">
        <f>PRODUCT(Sales[[#This Row],[Quantity Sold]],Sales[[#This Row],[Unit Selling Price (CAD)]])</f>
        <v>611.32000000000005</v>
      </c>
    </row>
    <row r="1695" spans="1:10">
      <c r="A1695" t="s">
        <v>2143</v>
      </c>
      <c r="B1695" s="2">
        <v>46252</v>
      </c>
      <c r="C1695" t="s">
        <v>50</v>
      </c>
      <c r="D1695" t="s">
        <v>51</v>
      </c>
      <c r="E1695" t="str">
        <f>_xlfn.XLOOKUP(Sales[[#This Row],[Product Name]],Products[Product Name],Products[Category])</f>
        <v>Burgers</v>
      </c>
      <c r="F1695" t="s">
        <v>447</v>
      </c>
      <c r="G1695" t="s">
        <v>450</v>
      </c>
      <c r="H1695">
        <v>45</v>
      </c>
      <c r="I1695" s="5">
        <f>_xlfn.XLOOKUP(Sales[[#This Row],[Product Name]],Products[Product Name],Products[Selling Price (CAD)])</f>
        <v>8.49</v>
      </c>
      <c r="J1695" s="5">
        <f>PRODUCT(Sales[[#This Row],[Quantity Sold]],Sales[[#This Row],[Unit Selling Price (CAD)]])</f>
        <v>382.05</v>
      </c>
    </row>
    <row r="1696" spans="1:10">
      <c r="A1696" t="s">
        <v>2144</v>
      </c>
      <c r="B1696" s="2">
        <v>46252</v>
      </c>
      <c r="C1696" t="s">
        <v>36</v>
      </c>
      <c r="D1696" t="s">
        <v>37</v>
      </c>
      <c r="E1696" t="str">
        <f>_xlfn.XLOOKUP(Sales[[#This Row],[Product Name]],Products[Product Name],Products[Category])</f>
        <v>Burgers</v>
      </c>
      <c r="F1696" t="s">
        <v>449</v>
      </c>
      <c r="G1696" t="s">
        <v>452</v>
      </c>
      <c r="H1696">
        <v>39</v>
      </c>
      <c r="I1696" s="5">
        <f>_xlfn.XLOOKUP(Sales[[#This Row],[Product Name]],Products[Product Name],Products[Selling Price (CAD)])</f>
        <v>8.99</v>
      </c>
      <c r="J1696" s="5">
        <f>PRODUCT(Sales[[#This Row],[Quantity Sold]],Sales[[#This Row],[Unit Selling Price (CAD)]])</f>
        <v>350.61</v>
      </c>
    </row>
    <row r="1697" spans="1:10">
      <c r="A1697" t="s">
        <v>2145</v>
      </c>
      <c r="B1697" s="2">
        <v>46252</v>
      </c>
      <c r="C1697" t="s">
        <v>273</v>
      </c>
      <c r="D1697" t="s">
        <v>274</v>
      </c>
      <c r="E1697" t="str">
        <f>_xlfn.XLOOKUP(Sales[[#This Row],[Product Name]],Products[Product Name],Products[Category])</f>
        <v>Beverages</v>
      </c>
      <c r="F1697" t="s">
        <v>444</v>
      </c>
      <c r="G1697" t="s">
        <v>450</v>
      </c>
      <c r="H1697">
        <v>35</v>
      </c>
      <c r="I1697" s="5">
        <f>_xlfn.XLOOKUP(Sales[[#This Row],[Product Name]],Products[Product Name],Products[Selling Price (CAD)])</f>
        <v>2.99</v>
      </c>
      <c r="J1697" s="5">
        <f>PRODUCT(Sales[[#This Row],[Quantity Sold]],Sales[[#This Row],[Unit Selling Price (CAD)]])</f>
        <v>104.65</v>
      </c>
    </row>
    <row r="1698" spans="1:10">
      <c r="A1698" t="s">
        <v>2146</v>
      </c>
      <c r="B1698" s="2">
        <v>46252</v>
      </c>
      <c r="C1698" t="s">
        <v>48</v>
      </c>
      <c r="D1698" t="s">
        <v>49</v>
      </c>
      <c r="E1698" t="str">
        <f>_xlfn.XLOOKUP(Sales[[#This Row],[Product Name]],Products[Product Name],Products[Category])</f>
        <v>Burgers</v>
      </c>
      <c r="F1698" t="s">
        <v>447</v>
      </c>
      <c r="G1698" t="s">
        <v>450</v>
      </c>
      <c r="H1698">
        <v>35</v>
      </c>
      <c r="I1698" s="5">
        <f>_xlfn.XLOOKUP(Sales[[#This Row],[Product Name]],Products[Product Name],Products[Selling Price (CAD)])</f>
        <v>6.49</v>
      </c>
      <c r="J1698" s="5">
        <f>PRODUCT(Sales[[#This Row],[Quantity Sold]],Sales[[#This Row],[Unit Selling Price (CAD)]])</f>
        <v>227.15</v>
      </c>
    </row>
    <row r="1699" spans="1:10">
      <c r="A1699" t="s">
        <v>2147</v>
      </c>
      <c r="B1699" s="2">
        <v>46253</v>
      </c>
      <c r="C1699" t="s">
        <v>42</v>
      </c>
      <c r="D1699" t="s">
        <v>43</v>
      </c>
      <c r="E1699" t="str">
        <f>_xlfn.XLOOKUP(Sales[[#This Row],[Product Name]],Products[Product Name],Products[Category])</f>
        <v>Burgers</v>
      </c>
      <c r="F1699" t="s">
        <v>449</v>
      </c>
      <c r="G1699" t="s">
        <v>454</v>
      </c>
      <c r="H1699">
        <v>65</v>
      </c>
      <c r="I1699" s="5">
        <f>_xlfn.XLOOKUP(Sales[[#This Row],[Product Name]],Products[Product Name],Products[Selling Price (CAD)])</f>
        <v>8.99</v>
      </c>
      <c r="J1699" s="5">
        <f>PRODUCT(Sales[[#This Row],[Quantity Sold]],Sales[[#This Row],[Unit Selling Price (CAD)]])</f>
        <v>584.35</v>
      </c>
    </row>
    <row r="1700" spans="1:10">
      <c r="A1700" t="s">
        <v>2148</v>
      </c>
      <c r="B1700" s="2">
        <v>46253</v>
      </c>
      <c r="C1700" t="s">
        <v>42</v>
      </c>
      <c r="D1700" t="s">
        <v>43</v>
      </c>
      <c r="E1700" t="str">
        <f>_xlfn.XLOOKUP(Sales[[#This Row],[Product Name]],Products[Product Name],Products[Category])</f>
        <v>Burgers</v>
      </c>
      <c r="F1700" t="s">
        <v>444</v>
      </c>
      <c r="G1700" t="s">
        <v>445</v>
      </c>
      <c r="H1700">
        <v>40</v>
      </c>
      <c r="I1700" s="5">
        <f>_xlfn.XLOOKUP(Sales[[#This Row],[Product Name]],Products[Product Name],Products[Selling Price (CAD)])</f>
        <v>8.99</v>
      </c>
      <c r="J1700" s="5">
        <f>PRODUCT(Sales[[#This Row],[Quantity Sold]],Sales[[#This Row],[Unit Selling Price (CAD)]])</f>
        <v>359.6</v>
      </c>
    </row>
    <row r="1701" spans="1:10">
      <c r="A1701" t="s">
        <v>2149</v>
      </c>
      <c r="B1701" s="2">
        <v>46253</v>
      </c>
      <c r="C1701" t="s">
        <v>161</v>
      </c>
      <c r="D1701" t="s">
        <v>162</v>
      </c>
      <c r="E1701" t="str">
        <f>_xlfn.XLOOKUP(Sales[[#This Row],[Product Name]],Products[Product Name],Products[Category])</f>
        <v>Breakfast</v>
      </c>
      <c r="F1701" t="s">
        <v>449</v>
      </c>
      <c r="G1701" t="s">
        <v>452</v>
      </c>
      <c r="H1701">
        <v>49</v>
      </c>
      <c r="I1701" s="5">
        <f>_xlfn.XLOOKUP(Sales[[#This Row],[Product Name]],Products[Product Name],Products[Selling Price (CAD)])</f>
        <v>2.99</v>
      </c>
      <c r="J1701" s="5">
        <f>PRODUCT(Sales[[#This Row],[Quantity Sold]],Sales[[#This Row],[Unit Selling Price (CAD)]])</f>
        <v>146.51000000000002</v>
      </c>
    </row>
    <row r="1702" spans="1:10">
      <c r="A1702" t="s">
        <v>2150</v>
      </c>
      <c r="B1702" s="2">
        <v>46253</v>
      </c>
      <c r="C1702" t="s">
        <v>191</v>
      </c>
      <c r="D1702" t="s">
        <v>192</v>
      </c>
      <c r="E1702" t="str">
        <f>_xlfn.XLOOKUP(Sales[[#This Row],[Product Name]],Products[Product Name],Products[Category])</f>
        <v>Sides</v>
      </c>
      <c r="F1702" t="s">
        <v>449</v>
      </c>
      <c r="G1702" t="s">
        <v>454</v>
      </c>
      <c r="H1702">
        <v>61</v>
      </c>
      <c r="I1702" s="5">
        <f>_xlfn.XLOOKUP(Sales[[#This Row],[Product Name]],Products[Product Name],Products[Selling Price (CAD)])</f>
        <v>3.99</v>
      </c>
      <c r="J1702" s="5">
        <f>PRODUCT(Sales[[#This Row],[Quantity Sold]],Sales[[#This Row],[Unit Selling Price (CAD)]])</f>
        <v>243.39000000000001</v>
      </c>
    </row>
    <row r="1703" spans="1:10">
      <c r="A1703" t="s">
        <v>2151</v>
      </c>
      <c r="B1703" s="2">
        <v>46253</v>
      </c>
      <c r="C1703" t="s">
        <v>50</v>
      </c>
      <c r="D1703" t="s">
        <v>51</v>
      </c>
      <c r="E1703" t="str">
        <f>_xlfn.XLOOKUP(Sales[[#This Row],[Product Name]],Products[Product Name],Products[Category])</f>
        <v>Burgers</v>
      </c>
      <c r="F1703" t="s">
        <v>444</v>
      </c>
      <c r="G1703" t="s">
        <v>450</v>
      </c>
      <c r="H1703">
        <v>58</v>
      </c>
      <c r="I1703" s="5">
        <f>_xlfn.XLOOKUP(Sales[[#This Row],[Product Name]],Products[Product Name],Products[Selling Price (CAD)])</f>
        <v>8.49</v>
      </c>
      <c r="J1703" s="5">
        <f>PRODUCT(Sales[[#This Row],[Quantity Sold]],Sales[[#This Row],[Unit Selling Price (CAD)]])</f>
        <v>492.42</v>
      </c>
    </row>
    <row r="1704" spans="1:10">
      <c r="A1704" t="s">
        <v>2152</v>
      </c>
      <c r="B1704" s="2">
        <v>46253</v>
      </c>
      <c r="C1704" t="s">
        <v>267</v>
      </c>
      <c r="D1704" t="s">
        <v>268</v>
      </c>
      <c r="E1704" t="str">
        <f>_xlfn.XLOOKUP(Sales[[#This Row],[Product Name]],Products[Product Name],Products[Category])</f>
        <v>Beverages</v>
      </c>
      <c r="F1704" t="s">
        <v>449</v>
      </c>
      <c r="G1704" t="s">
        <v>450</v>
      </c>
      <c r="H1704">
        <v>58</v>
      </c>
      <c r="I1704" s="5">
        <f>_xlfn.XLOOKUP(Sales[[#This Row],[Product Name]],Products[Product Name],Products[Selling Price (CAD)])</f>
        <v>2.99</v>
      </c>
      <c r="J1704" s="5">
        <f>PRODUCT(Sales[[#This Row],[Quantity Sold]],Sales[[#This Row],[Unit Selling Price (CAD)]])</f>
        <v>173.42000000000002</v>
      </c>
    </row>
    <row r="1705" spans="1:10">
      <c r="A1705" t="s">
        <v>2153</v>
      </c>
      <c r="B1705" s="2">
        <v>46253</v>
      </c>
      <c r="C1705" t="s">
        <v>159</v>
      </c>
      <c r="D1705" t="s">
        <v>160</v>
      </c>
      <c r="E1705" t="str">
        <f>_xlfn.XLOOKUP(Sales[[#This Row],[Product Name]],Products[Product Name],Products[Category])</f>
        <v>Breakfast</v>
      </c>
      <c r="F1705" t="s">
        <v>444</v>
      </c>
      <c r="G1705" t="s">
        <v>450</v>
      </c>
      <c r="H1705">
        <v>48</v>
      </c>
      <c r="I1705" s="5">
        <f>_xlfn.XLOOKUP(Sales[[#This Row],[Product Name]],Products[Product Name],Products[Selling Price (CAD)])</f>
        <v>2.4900000000000002</v>
      </c>
      <c r="J1705" s="5">
        <f>PRODUCT(Sales[[#This Row],[Quantity Sold]],Sales[[#This Row],[Unit Selling Price (CAD)]])</f>
        <v>119.52000000000001</v>
      </c>
    </row>
    <row r="1706" spans="1:10">
      <c r="A1706" t="s">
        <v>2154</v>
      </c>
      <c r="B1706" s="2">
        <v>46254</v>
      </c>
      <c r="C1706" t="s">
        <v>159</v>
      </c>
      <c r="D1706" t="s">
        <v>160</v>
      </c>
      <c r="E1706" t="str">
        <f>_xlfn.XLOOKUP(Sales[[#This Row],[Product Name]],Products[Product Name],Products[Category])</f>
        <v>Breakfast</v>
      </c>
      <c r="F1706" t="s">
        <v>447</v>
      </c>
      <c r="G1706" t="s">
        <v>450</v>
      </c>
      <c r="H1706">
        <v>41</v>
      </c>
      <c r="I1706" s="5">
        <f>_xlfn.XLOOKUP(Sales[[#This Row],[Product Name]],Products[Product Name],Products[Selling Price (CAD)])</f>
        <v>2.4900000000000002</v>
      </c>
      <c r="J1706" s="5">
        <f>PRODUCT(Sales[[#This Row],[Quantity Sold]],Sales[[#This Row],[Unit Selling Price (CAD)]])</f>
        <v>102.09</v>
      </c>
    </row>
    <row r="1707" spans="1:10">
      <c r="A1707" t="s">
        <v>2155</v>
      </c>
      <c r="B1707" s="2">
        <v>46254</v>
      </c>
      <c r="C1707" t="s">
        <v>151</v>
      </c>
      <c r="D1707" t="s">
        <v>152</v>
      </c>
      <c r="E1707" t="str">
        <f>_xlfn.XLOOKUP(Sales[[#This Row],[Product Name]],Products[Product Name],Products[Category])</f>
        <v>Breakfast</v>
      </c>
      <c r="F1707" t="s">
        <v>449</v>
      </c>
      <c r="G1707" t="s">
        <v>452</v>
      </c>
      <c r="H1707">
        <v>45</v>
      </c>
      <c r="I1707" s="5">
        <f>_xlfn.XLOOKUP(Sales[[#This Row],[Product Name]],Products[Product Name],Products[Selling Price (CAD)])</f>
        <v>5.99</v>
      </c>
      <c r="J1707" s="5">
        <f>PRODUCT(Sales[[#This Row],[Quantity Sold]],Sales[[#This Row],[Unit Selling Price (CAD)]])</f>
        <v>269.55</v>
      </c>
    </row>
    <row r="1708" spans="1:10">
      <c r="A1708" t="s">
        <v>2156</v>
      </c>
      <c r="B1708" s="2">
        <v>46254</v>
      </c>
      <c r="C1708" t="s">
        <v>347</v>
      </c>
      <c r="D1708" t="s">
        <v>348</v>
      </c>
      <c r="E1708" t="str">
        <f>_xlfn.XLOOKUP(Sales[[#This Row],[Product Name]],Products[Product Name],Products[Category])</f>
        <v>Desserts</v>
      </c>
      <c r="F1708" t="s">
        <v>447</v>
      </c>
      <c r="G1708" t="s">
        <v>452</v>
      </c>
      <c r="H1708">
        <v>70</v>
      </c>
      <c r="I1708" s="5">
        <f>_xlfn.XLOOKUP(Sales[[#This Row],[Product Name]],Products[Product Name],Products[Selling Price (CAD)])</f>
        <v>4.99</v>
      </c>
      <c r="J1708" s="5">
        <f>PRODUCT(Sales[[#This Row],[Quantity Sold]],Sales[[#This Row],[Unit Selling Price (CAD)]])</f>
        <v>349.3</v>
      </c>
    </row>
    <row r="1709" spans="1:10">
      <c r="A1709" t="s">
        <v>2157</v>
      </c>
      <c r="B1709" s="2">
        <v>46254</v>
      </c>
      <c r="C1709" t="s">
        <v>215</v>
      </c>
      <c r="D1709" t="s">
        <v>216</v>
      </c>
      <c r="E1709" t="str">
        <f>_xlfn.XLOOKUP(Sales[[#This Row],[Product Name]],Products[Product Name],Products[Category])</f>
        <v>Sides</v>
      </c>
      <c r="F1709" t="s">
        <v>447</v>
      </c>
      <c r="G1709" t="s">
        <v>452</v>
      </c>
      <c r="H1709">
        <v>46</v>
      </c>
      <c r="I1709" s="5">
        <f>_xlfn.XLOOKUP(Sales[[#This Row],[Product Name]],Products[Product Name],Products[Selling Price (CAD)])</f>
        <v>2.99</v>
      </c>
      <c r="J1709" s="5">
        <f>PRODUCT(Sales[[#This Row],[Quantity Sold]],Sales[[#This Row],[Unit Selling Price (CAD)]])</f>
        <v>137.54000000000002</v>
      </c>
    </row>
    <row r="1710" spans="1:10">
      <c r="A1710" t="s">
        <v>2158</v>
      </c>
      <c r="B1710" s="2">
        <v>46254</v>
      </c>
      <c r="C1710" t="s">
        <v>17</v>
      </c>
      <c r="D1710" t="s">
        <v>18</v>
      </c>
      <c r="E1710" t="str">
        <f>_xlfn.XLOOKUP(Sales[[#This Row],[Product Name]],Products[Product Name],Products[Category])</f>
        <v>Burgers</v>
      </c>
      <c r="F1710" t="s">
        <v>447</v>
      </c>
      <c r="G1710" t="s">
        <v>454</v>
      </c>
      <c r="H1710">
        <v>59</v>
      </c>
      <c r="I1710" s="5">
        <f>_xlfn.XLOOKUP(Sales[[#This Row],[Product Name]],Products[Product Name],Products[Selling Price (CAD)])</f>
        <v>7.99</v>
      </c>
      <c r="J1710" s="5">
        <f>PRODUCT(Sales[[#This Row],[Quantity Sold]],Sales[[#This Row],[Unit Selling Price (CAD)]])</f>
        <v>471.41</v>
      </c>
    </row>
    <row r="1711" spans="1:10">
      <c r="A1711" t="s">
        <v>2159</v>
      </c>
      <c r="B1711" s="2">
        <v>46254</v>
      </c>
      <c r="C1711" t="s">
        <v>163</v>
      </c>
      <c r="D1711" t="s">
        <v>164</v>
      </c>
      <c r="E1711" t="str">
        <f>_xlfn.XLOOKUP(Sales[[#This Row],[Product Name]],Products[Product Name],Products[Category])</f>
        <v>Breakfast</v>
      </c>
      <c r="F1711" t="s">
        <v>447</v>
      </c>
      <c r="G1711" t="s">
        <v>452</v>
      </c>
      <c r="H1711">
        <v>55</v>
      </c>
      <c r="I1711" s="5">
        <f>_xlfn.XLOOKUP(Sales[[#This Row],[Product Name]],Products[Product Name],Products[Selling Price (CAD)])</f>
        <v>3.99</v>
      </c>
      <c r="J1711" s="5">
        <f>PRODUCT(Sales[[#This Row],[Quantity Sold]],Sales[[#This Row],[Unit Selling Price (CAD)]])</f>
        <v>219.45000000000002</v>
      </c>
    </row>
    <row r="1712" spans="1:10">
      <c r="A1712" t="s">
        <v>2160</v>
      </c>
      <c r="B1712" s="2">
        <v>46254</v>
      </c>
      <c r="C1712" t="s">
        <v>123</v>
      </c>
      <c r="D1712" t="s">
        <v>124</v>
      </c>
      <c r="E1712" t="str">
        <f>_xlfn.XLOOKUP(Sales[[#This Row],[Product Name]],Products[Product Name],Products[Category])</f>
        <v>Chicken</v>
      </c>
      <c r="F1712" t="s">
        <v>449</v>
      </c>
      <c r="G1712" t="s">
        <v>452</v>
      </c>
      <c r="H1712">
        <v>67</v>
      </c>
      <c r="I1712" s="5">
        <f>_xlfn.XLOOKUP(Sales[[#This Row],[Product Name]],Products[Product Name],Products[Selling Price (CAD)])</f>
        <v>2.99</v>
      </c>
      <c r="J1712" s="5">
        <f>PRODUCT(Sales[[#This Row],[Quantity Sold]],Sales[[#This Row],[Unit Selling Price (CAD)]])</f>
        <v>200.33</v>
      </c>
    </row>
    <row r="1713" spans="1:10">
      <c r="A1713" t="s">
        <v>2161</v>
      </c>
      <c r="B1713" s="2">
        <v>46254</v>
      </c>
      <c r="C1713" t="s">
        <v>179</v>
      </c>
      <c r="D1713" t="s">
        <v>180</v>
      </c>
      <c r="E1713" t="str">
        <f>_xlfn.XLOOKUP(Sales[[#This Row],[Product Name]],Products[Product Name],Products[Category])</f>
        <v>Breakfast</v>
      </c>
      <c r="F1713" t="s">
        <v>449</v>
      </c>
      <c r="G1713" t="s">
        <v>454</v>
      </c>
      <c r="H1713">
        <v>47</v>
      </c>
      <c r="I1713" s="5">
        <f>_xlfn.XLOOKUP(Sales[[#This Row],[Product Name]],Products[Product Name],Products[Selling Price (CAD)])</f>
        <v>4.99</v>
      </c>
      <c r="J1713" s="5">
        <f>PRODUCT(Sales[[#This Row],[Quantity Sold]],Sales[[#This Row],[Unit Selling Price (CAD)]])</f>
        <v>234.53</v>
      </c>
    </row>
    <row r="1714" spans="1:10">
      <c r="A1714" t="s">
        <v>2162</v>
      </c>
      <c r="B1714" s="2">
        <v>46255</v>
      </c>
      <c r="C1714" t="s">
        <v>283</v>
      </c>
      <c r="D1714" t="s">
        <v>284</v>
      </c>
      <c r="E1714" t="str">
        <f>_xlfn.XLOOKUP(Sales[[#This Row],[Product Name]],Products[Product Name],Products[Category])</f>
        <v>Beverages</v>
      </c>
      <c r="F1714" t="s">
        <v>449</v>
      </c>
      <c r="G1714" t="s">
        <v>450</v>
      </c>
      <c r="H1714">
        <v>70</v>
      </c>
      <c r="I1714" s="5">
        <f>_xlfn.XLOOKUP(Sales[[#This Row],[Product Name]],Products[Product Name],Products[Selling Price (CAD)])</f>
        <v>2.99</v>
      </c>
      <c r="J1714" s="5">
        <f>PRODUCT(Sales[[#This Row],[Quantity Sold]],Sales[[#This Row],[Unit Selling Price (CAD)]])</f>
        <v>209.3</v>
      </c>
    </row>
    <row r="1715" spans="1:10">
      <c r="A1715" t="s">
        <v>2163</v>
      </c>
      <c r="B1715" s="2">
        <v>46255</v>
      </c>
      <c r="C1715" t="s">
        <v>271</v>
      </c>
      <c r="D1715" t="s">
        <v>272</v>
      </c>
      <c r="E1715" t="str">
        <f>_xlfn.XLOOKUP(Sales[[#This Row],[Product Name]],Products[Product Name],Products[Category])</f>
        <v>Beverages</v>
      </c>
      <c r="F1715" t="s">
        <v>447</v>
      </c>
      <c r="G1715" t="s">
        <v>450</v>
      </c>
      <c r="H1715">
        <v>55</v>
      </c>
      <c r="I1715" s="5">
        <f>_xlfn.XLOOKUP(Sales[[#This Row],[Product Name]],Products[Product Name],Products[Selling Price (CAD)])</f>
        <v>1.99</v>
      </c>
      <c r="J1715" s="5">
        <f>PRODUCT(Sales[[#This Row],[Quantity Sold]],Sales[[#This Row],[Unit Selling Price (CAD)]])</f>
        <v>109.45</v>
      </c>
    </row>
    <row r="1716" spans="1:10">
      <c r="A1716" t="s">
        <v>2164</v>
      </c>
      <c r="B1716" s="2">
        <v>46255</v>
      </c>
      <c r="C1716" t="s">
        <v>125</v>
      </c>
      <c r="D1716" t="s">
        <v>126</v>
      </c>
      <c r="E1716" t="str">
        <f>_xlfn.XLOOKUP(Sales[[#This Row],[Product Name]],Products[Product Name],Products[Category])</f>
        <v>Chicken</v>
      </c>
      <c r="F1716" t="s">
        <v>444</v>
      </c>
      <c r="G1716" t="s">
        <v>445</v>
      </c>
      <c r="H1716">
        <v>54</v>
      </c>
      <c r="I1716" s="5">
        <f>_xlfn.XLOOKUP(Sales[[#This Row],[Product Name]],Products[Product Name],Products[Selling Price (CAD)])</f>
        <v>4.99</v>
      </c>
      <c r="J1716" s="5">
        <f>PRODUCT(Sales[[#This Row],[Quantity Sold]],Sales[[#This Row],[Unit Selling Price (CAD)]])</f>
        <v>269.46000000000004</v>
      </c>
    </row>
    <row r="1717" spans="1:10">
      <c r="A1717" t="s">
        <v>2165</v>
      </c>
      <c r="B1717" s="2">
        <v>46255</v>
      </c>
      <c r="C1717" t="s">
        <v>211</v>
      </c>
      <c r="D1717" t="s">
        <v>212</v>
      </c>
      <c r="E1717" t="str">
        <f>_xlfn.XLOOKUP(Sales[[#This Row],[Product Name]],Products[Product Name],Products[Category])</f>
        <v>Sides</v>
      </c>
      <c r="F1717" t="s">
        <v>447</v>
      </c>
      <c r="G1717" t="s">
        <v>450</v>
      </c>
      <c r="H1717">
        <v>40</v>
      </c>
      <c r="I1717" s="5">
        <f>_xlfn.XLOOKUP(Sales[[#This Row],[Product Name]],Products[Product Name],Products[Selling Price (CAD)])</f>
        <v>3.99</v>
      </c>
      <c r="J1717" s="5">
        <f>PRODUCT(Sales[[#This Row],[Quantity Sold]],Sales[[#This Row],[Unit Selling Price (CAD)]])</f>
        <v>159.60000000000002</v>
      </c>
    </row>
    <row r="1718" spans="1:10">
      <c r="A1718" t="s">
        <v>2166</v>
      </c>
      <c r="B1718" s="2">
        <v>46255</v>
      </c>
      <c r="C1718" t="s">
        <v>283</v>
      </c>
      <c r="D1718" t="s">
        <v>284</v>
      </c>
      <c r="E1718" t="str">
        <f>_xlfn.XLOOKUP(Sales[[#This Row],[Product Name]],Products[Product Name],Products[Category])</f>
        <v>Beverages</v>
      </c>
      <c r="F1718" t="s">
        <v>447</v>
      </c>
      <c r="G1718" t="s">
        <v>445</v>
      </c>
      <c r="H1718">
        <v>59</v>
      </c>
      <c r="I1718" s="5">
        <f>_xlfn.XLOOKUP(Sales[[#This Row],[Product Name]],Products[Product Name],Products[Selling Price (CAD)])</f>
        <v>2.99</v>
      </c>
      <c r="J1718" s="5">
        <f>PRODUCT(Sales[[#This Row],[Quantity Sold]],Sales[[#This Row],[Unit Selling Price (CAD)]])</f>
        <v>176.41000000000003</v>
      </c>
    </row>
    <row r="1719" spans="1:10">
      <c r="A1719" t="s">
        <v>2167</v>
      </c>
      <c r="B1719" s="2">
        <v>46255</v>
      </c>
      <c r="C1719" t="s">
        <v>255</v>
      </c>
      <c r="D1719" t="s">
        <v>256</v>
      </c>
      <c r="E1719" t="str">
        <f>_xlfn.XLOOKUP(Sales[[#This Row],[Product Name]],Products[Product Name],Products[Category])</f>
        <v>Beverages</v>
      </c>
      <c r="F1719" t="s">
        <v>449</v>
      </c>
      <c r="G1719" t="s">
        <v>452</v>
      </c>
      <c r="H1719">
        <v>59</v>
      </c>
      <c r="I1719" s="5">
        <f>_xlfn.XLOOKUP(Sales[[#This Row],[Product Name]],Products[Product Name],Products[Selling Price (CAD)])</f>
        <v>2.99</v>
      </c>
      <c r="J1719" s="5">
        <f>PRODUCT(Sales[[#This Row],[Quantity Sold]],Sales[[#This Row],[Unit Selling Price (CAD)]])</f>
        <v>176.41000000000003</v>
      </c>
    </row>
    <row r="1720" spans="1:10">
      <c r="A1720" t="s">
        <v>2168</v>
      </c>
      <c r="B1720" s="2">
        <v>46255</v>
      </c>
      <c r="C1720" t="s">
        <v>64</v>
      </c>
      <c r="D1720" t="s">
        <v>65</v>
      </c>
      <c r="E1720" t="str">
        <f>_xlfn.XLOOKUP(Sales[[#This Row],[Product Name]],Products[Product Name],Products[Category])</f>
        <v>Burgers</v>
      </c>
      <c r="F1720" t="s">
        <v>444</v>
      </c>
      <c r="G1720" t="s">
        <v>450</v>
      </c>
      <c r="H1720">
        <v>52</v>
      </c>
      <c r="I1720" s="5">
        <f>_xlfn.XLOOKUP(Sales[[#This Row],[Product Name]],Products[Product Name],Products[Selling Price (CAD)])</f>
        <v>6.49</v>
      </c>
      <c r="J1720" s="5">
        <f>PRODUCT(Sales[[#This Row],[Quantity Sold]],Sales[[#This Row],[Unit Selling Price (CAD)]])</f>
        <v>337.48</v>
      </c>
    </row>
    <row r="1721" spans="1:10">
      <c r="A1721" t="s">
        <v>2169</v>
      </c>
      <c r="B1721" s="2">
        <v>46255</v>
      </c>
      <c r="C1721" t="s">
        <v>12</v>
      </c>
      <c r="D1721" t="s">
        <v>13</v>
      </c>
      <c r="E1721" t="str">
        <f>_xlfn.XLOOKUP(Sales[[#This Row],[Product Name]],Products[Product Name],Products[Category])</f>
        <v>Burgers</v>
      </c>
      <c r="F1721" t="s">
        <v>449</v>
      </c>
      <c r="G1721" t="s">
        <v>454</v>
      </c>
      <c r="H1721">
        <v>36</v>
      </c>
      <c r="I1721" s="5">
        <f>_xlfn.XLOOKUP(Sales[[#This Row],[Product Name]],Products[Product Name],Products[Selling Price (CAD)])</f>
        <v>5.99</v>
      </c>
      <c r="J1721" s="5">
        <f>PRODUCT(Sales[[#This Row],[Quantity Sold]],Sales[[#This Row],[Unit Selling Price (CAD)]])</f>
        <v>215.64000000000001</v>
      </c>
    </row>
    <row r="1722" spans="1:10">
      <c r="A1722" t="s">
        <v>2170</v>
      </c>
      <c r="B1722" s="2">
        <v>46255</v>
      </c>
      <c r="C1722" t="s">
        <v>46</v>
      </c>
      <c r="D1722" t="s">
        <v>47</v>
      </c>
      <c r="E1722" t="str">
        <f>_xlfn.XLOOKUP(Sales[[#This Row],[Product Name]],Products[Product Name],Products[Category])</f>
        <v>Burgers</v>
      </c>
      <c r="F1722" t="s">
        <v>449</v>
      </c>
      <c r="G1722" t="s">
        <v>450</v>
      </c>
      <c r="H1722">
        <v>46</v>
      </c>
      <c r="I1722" s="5">
        <f>_xlfn.XLOOKUP(Sales[[#This Row],[Product Name]],Products[Product Name],Products[Selling Price (CAD)])</f>
        <v>8.49</v>
      </c>
      <c r="J1722" s="5">
        <f>PRODUCT(Sales[[#This Row],[Quantity Sold]],Sales[[#This Row],[Unit Selling Price (CAD)]])</f>
        <v>390.54</v>
      </c>
    </row>
    <row r="1723" spans="1:10">
      <c r="A1723" t="s">
        <v>2171</v>
      </c>
      <c r="B1723" s="2">
        <v>46255</v>
      </c>
      <c r="C1723" t="s">
        <v>291</v>
      </c>
      <c r="D1723" t="s">
        <v>292</v>
      </c>
      <c r="E1723" t="str">
        <f>_xlfn.XLOOKUP(Sales[[#This Row],[Product Name]],Products[Product Name],Products[Category])</f>
        <v>Beverages</v>
      </c>
      <c r="F1723" t="s">
        <v>447</v>
      </c>
      <c r="G1723" t="s">
        <v>454</v>
      </c>
      <c r="H1723">
        <v>59</v>
      </c>
      <c r="I1723" s="5">
        <f>_xlfn.XLOOKUP(Sales[[#This Row],[Product Name]],Products[Product Name],Products[Selling Price (CAD)])</f>
        <v>3.99</v>
      </c>
      <c r="J1723" s="5">
        <f>PRODUCT(Sales[[#This Row],[Quantity Sold]],Sales[[#This Row],[Unit Selling Price (CAD)]])</f>
        <v>235.41000000000003</v>
      </c>
    </row>
    <row r="1724" spans="1:10">
      <c r="A1724" t="s">
        <v>2172</v>
      </c>
      <c r="B1724" s="2">
        <v>46256</v>
      </c>
      <c r="C1724" t="s">
        <v>231</v>
      </c>
      <c r="D1724" t="s">
        <v>232</v>
      </c>
      <c r="E1724" t="str">
        <f>_xlfn.XLOOKUP(Sales[[#This Row],[Product Name]],Products[Product Name],Products[Category])</f>
        <v>Salads</v>
      </c>
      <c r="F1724" t="s">
        <v>444</v>
      </c>
      <c r="G1724" t="s">
        <v>450</v>
      </c>
      <c r="H1724">
        <v>32</v>
      </c>
      <c r="I1724" s="5">
        <f>_xlfn.XLOOKUP(Sales[[#This Row],[Product Name]],Products[Product Name],Products[Selling Price (CAD)])</f>
        <v>8.99</v>
      </c>
      <c r="J1724" s="5">
        <f>PRODUCT(Sales[[#This Row],[Quantity Sold]],Sales[[#This Row],[Unit Selling Price (CAD)]])</f>
        <v>287.68</v>
      </c>
    </row>
    <row r="1725" spans="1:10">
      <c r="A1725" t="s">
        <v>2173</v>
      </c>
      <c r="B1725" s="2">
        <v>46256</v>
      </c>
      <c r="C1725" t="s">
        <v>402</v>
      </c>
      <c r="D1725" t="s">
        <v>403</v>
      </c>
      <c r="E1725" t="str">
        <f>_xlfn.XLOOKUP(Sales[[#This Row],[Product Name]],Products[Product Name],Products[Category])</f>
        <v>Sauces &amp; Add-ons</v>
      </c>
      <c r="F1725" t="s">
        <v>449</v>
      </c>
      <c r="G1725" t="s">
        <v>452</v>
      </c>
      <c r="H1725">
        <v>32</v>
      </c>
      <c r="I1725" s="5">
        <f>_xlfn.XLOOKUP(Sales[[#This Row],[Product Name]],Products[Product Name],Products[Selling Price (CAD)])</f>
        <v>1.49</v>
      </c>
      <c r="J1725" s="5">
        <f>PRODUCT(Sales[[#This Row],[Quantity Sold]],Sales[[#This Row],[Unit Selling Price (CAD)]])</f>
        <v>47.68</v>
      </c>
    </row>
    <row r="1726" spans="1:10">
      <c r="A1726" t="s">
        <v>2174</v>
      </c>
      <c r="B1726" s="2">
        <v>46256</v>
      </c>
      <c r="C1726" t="s">
        <v>169</v>
      </c>
      <c r="D1726" t="s">
        <v>170</v>
      </c>
      <c r="E1726" t="str">
        <f>_xlfn.XLOOKUP(Sales[[#This Row],[Product Name]],Products[Product Name],Products[Category])</f>
        <v>Breakfast</v>
      </c>
      <c r="F1726" t="s">
        <v>449</v>
      </c>
      <c r="G1726" t="s">
        <v>445</v>
      </c>
      <c r="H1726">
        <v>58</v>
      </c>
      <c r="I1726" s="5">
        <f>_xlfn.XLOOKUP(Sales[[#This Row],[Product Name]],Products[Product Name],Products[Selling Price (CAD)])</f>
        <v>2.99</v>
      </c>
      <c r="J1726" s="5">
        <f>PRODUCT(Sales[[#This Row],[Quantity Sold]],Sales[[#This Row],[Unit Selling Price (CAD)]])</f>
        <v>173.42000000000002</v>
      </c>
    </row>
    <row r="1727" spans="1:10">
      <c r="A1727" t="s">
        <v>2175</v>
      </c>
      <c r="B1727" s="2">
        <v>46256</v>
      </c>
      <c r="C1727" t="s">
        <v>107</v>
      </c>
      <c r="D1727" t="s">
        <v>108</v>
      </c>
      <c r="E1727" t="str">
        <f>_xlfn.XLOOKUP(Sales[[#This Row],[Product Name]],Products[Product Name],Products[Category])</f>
        <v>Chicken</v>
      </c>
      <c r="F1727" t="s">
        <v>444</v>
      </c>
      <c r="G1727" t="s">
        <v>450</v>
      </c>
      <c r="H1727">
        <v>44</v>
      </c>
      <c r="I1727" s="5">
        <f>_xlfn.XLOOKUP(Sales[[#This Row],[Product Name]],Products[Product Name],Products[Selling Price (CAD)])</f>
        <v>5.99</v>
      </c>
      <c r="J1727" s="5">
        <f>PRODUCT(Sales[[#This Row],[Quantity Sold]],Sales[[#This Row],[Unit Selling Price (CAD)]])</f>
        <v>263.56</v>
      </c>
    </row>
    <row r="1728" spans="1:10">
      <c r="A1728" t="s">
        <v>2176</v>
      </c>
      <c r="B1728" s="2">
        <v>46256</v>
      </c>
      <c r="C1728" t="s">
        <v>107</v>
      </c>
      <c r="D1728" t="s">
        <v>108</v>
      </c>
      <c r="E1728" t="str">
        <f>_xlfn.XLOOKUP(Sales[[#This Row],[Product Name]],Products[Product Name],Products[Category])</f>
        <v>Chicken</v>
      </c>
      <c r="F1728" t="s">
        <v>444</v>
      </c>
      <c r="G1728" t="s">
        <v>450</v>
      </c>
      <c r="H1728">
        <v>58</v>
      </c>
      <c r="I1728" s="5">
        <f>_xlfn.XLOOKUP(Sales[[#This Row],[Product Name]],Products[Product Name],Products[Selling Price (CAD)])</f>
        <v>5.99</v>
      </c>
      <c r="J1728" s="5">
        <f>PRODUCT(Sales[[#This Row],[Quantity Sold]],Sales[[#This Row],[Unit Selling Price (CAD)]])</f>
        <v>347.42</v>
      </c>
    </row>
    <row r="1729" spans="1:10">
      <c r="A1729" t="s">
        <v>2177</v>
      </c>
      <c r="B1729" s="2">
        <v>46256</v>
      </c>
      <c r="C1729" t="s">
        <v>99</v>
      </c>
      <c r="D1729" t="s">
        <v>100</v>
      </c>
      <c r="E1729" t="str">
        <f>_xlfn.XLOOKUP(Sales[[#This Row],[Product Name]],Products[Product Name],Products[Category])</f>
        <v>Chicken</v>
      </c>
      <c r="F1729" t="s">
        <v>447</v>
      </c>
      <c r="G1729" t="s">
        <v>450</v>
      </c>
      <c r="H1729">
        <v>67</v>
      </c>
      <c r="I1729" s="5">
        <f>_xlfn.XLOOKUP(Sales[[#This Row],[Product Name]],Products[Product Name],Products[Selling Price (CAD)])</f>
        <v>7.99</v>
      </c>
      <c r="J1729" s="5">
        <f>PRODUCT(Sales[[#This Row],[Quantity Sold]],Sales[[#This Row],[Unit Selling Price (CAD)]])</f>
        <v>535.33000000000004</v>
      </c>
    </row>
    <row r="1730" spans="1:10">
      <c r="A1730" t="s">
        <v>2178</v>
      </c>
      <c r="B1730" s="2">
        <v>46256</v>
      </c>
      <c r="C1730" t="s">
        <v>305</v>
      </c>
      <c r="D1730" t="s">
        <v>306</v>
      </c>
      <c r="E1730" t="str">
        <f>_xlfn.XLOOKUP(Sales[[#This Row],[Product Name]],Products[Product Name],Products[Category])</f>
        <v>Beverages</v>
      </c>
      <c r="F1730" t="s">
        <v>444</v>
      </c>
      <c r="G1730" t="s">
        <v>454</v>
      </c>
      <c r="H1730">
        <v>59</v>
      </c>
      <c r="I1730" s="5">
        <f>_xlfn.XLOOKUP(Sales[[#This Row],[Product Name]],Products[Product Name],Products[Selling Price (CAD)])</f>
        <v>2.99</v>
      </c>
      <c r="J1730" s="5">
        <f>PRODUCT(Sales[[#This Row],[Quantity Sold]],Sales[[#This Row],[Unit Selling Price (CAD)]])</f>
        <v>176.41000000000003</v>
      </c>
    </row>
    <row r="1731" spans="1:10">
      <c r="A1731" t="s">
        <v>2179</v>
      </c>
      <c r="B1731" s="2">
        <v>46256</v>
      </c>
      <c r="C1731" t="s">
        <v>378</v>
      </c>
      <c r="D1731" t="s">
        <v>379</v>
      </c>
      <c r="E1731" t="str">
        <f>_xlfn.XLOOKUP(Sales[[#This Row],[Product Name]],Products[Product Name],Products[Category])</f>
        <v>Kids Meals</v>
      </c>
      <c r="F1731" t="s">
        <v>449</v>
      </c>
      <c r="G1731" t="s">
        <v>450</v>
      </c>
      <c r="H1731">
        <v>43</v>
      </c>
      <c r="I1731" s="5">
        <f>_xlfn.XLOOKUP(Sales[[#This Row],[Product Name]],Products[Product Name],Products[Selling Price (CAD)])</f>
        <v>5.99</v>
      </c>
      <c r="J1731" s="5">
        <f>PRODUCT(Sales[[#This Row],[Quantity Sold]],Sales[[#This Row],[Unit Selling Price (CAD)]])</f>
        <v>257.57</v>
      </c>
    </row>
    <row r="1732" spans="1:10">
      <c r="A1732" t="s">
        <v>2180</v>
      </c>
      <c r="B1732" s="2">
        <v>46256</v>
      </c>
      <c r="C1732" t="s">
        <v>80</v>
      </c>
      <c r="D1732" t="s">
        <v>81</v>
      </c>
      <c r="E1732" t="str">
        <f>_xlfn.XLOOKUP(Sales[[#This Row],[Product Name]],Products[Product Name],Products[Category])</f>
        <v>Burgers</v>
      </c>
      <c r="F1732" t="s">
        <v>444</v>
      </c>
      <c r="G1732" t="s">
        <v>450</v>
      </c>
      <c r="H1732">
        <v>35</v>
      </c>
      <c r="I1732" s="5">
        <f>_xlfn.XLOOKUP(Sales[[#This Row],[Product Name]],Products[Product Name],Products[Selling Price (CAD)])</f>
        <v>2.99</v>
      </c>
      <c r="J1732" s="5">
        <f>PRODUCT(Sales[[#This Row],[Quantity Sold]],Sales[[#This Row],[Unit Selling Price (CAD)]])</f>
        <v>104.65</v>
      </c>
    </row>
    <row r="1733" spans="1:10">
      <c r="A1733" t="s">
        <v>2181</v>
      </c>
      <c r="B1733" s="2">
        <v>46256</v>
      </c>
      <c r="C1733" t="s">
        <v>93</v>
      </c>
      <c r="D1733" t="s">
        <v>94</v>
      </c>
      <c r="E1733" t="str">
        <f>_xlfn.XLOOKUP(Sales[[#This Row],[Product Name]],Products[Product Name],Products[Category])</f>
        <v>Chicken</v>
      </c>
      <c r="F1733" t="s">
        <v>449</v>
      </c>
      <c r="G1733" t="s">
        <v>445</v>
      </c>
      <c r="H1733">
        <v>40</v>
      </c>
      <c r="I1733" s="5">
        <f>_xlfn.XLOOKUP(Sales[[#This Row],[Product Name]],Products[Product Name],Products[Selling Price (CAD)])</f>
        <v>7.49</v>
      </c>
      <c r="J1733" s="5">
        <f>PRODUCT(Sales[[#This Row],[Quantity Sold]],Sales[[#This Row],[Unit Selling Price (CAD)]])</f>
        <v>299.60000000000002</v>
      </c>
    </row>
    <row r="1734" spans="1:10">
      <c r="A1734" t="s">
        <v>2182</v>
      </c>
      <c r="B1734" s="2">
        <v>46256</v>
      </c>
      <c r="C1734" t="s">
        <v>119</v>
      </c>
      <c r="D1734" t="s">
        <v>120</v>
      </c>
      <c r="E1734" t="str">
        <f>_xlfn.XLOOKUP(Sales[[#This Row],[Product Name]],Products[Product Name],Products[Category])</f>
        <v>Chicken</v>
      </c>
      <c r="F1734" t="s">
        <v>447</v>
      </c>
      <c r="G1734" t="s">
        <v>450</v>
      </c>
      <c r="H1734">
        <v>69</v>
      </c>
      <c r="I1734" s="5">
        <f>_xlfn.XLOOKUP(Sales[[#This Row],[Product Name]],Products[Product Name],Products[Selling Price (CAD)])</f>
        <v>6.99</v>
      </c>
      <c r="J1734" s="5">
        <f>PRODUCT(Sales[[#This Row],[Quantity Sold]],Sales[[#This Row],[Unit Selling Price (CAD)]])</f>
        <v>482.31</v>
      </c>
    </row>
    <row r="1735" spans="1:10">
      <c r="A1735" t="s">
        <v>2183</v>
      </c>
      <c r="B1735" s="2">
        <v>46256</v>
      </c>
      <c r="C1735" t="s">
        <v>185</v>
      </c>
      <c r="D1735" t="s">
        <v>186</v>
      </c>
      <c r="E1735" t="str">
        <f>_xlfn.XLOOKUP(Sales[[#This Row],[Product Name]],Products[Product Name],Products[Category])</f>
        <v>Sides</v>
      </c>
      <c r="F1735" t="s">
        <v>444</v>
      </c>
      <c r="G1735" t="s">
        <v>450</v>
      </c>
      <c r="H1735">
        <v>70</v>
      </c>
      <c r="I1735" s="5">
        <f>_xlfn.XLOOKUP(Sales[[#This Row],[Product Name]],Products[Product Name],Products[Selling Price (CAD)])</f>
        <v>3.49</v>
      </c>
      <c r="J1735" s="5">
        <f>PRODUCT(Sales[[#This Row],[Quantity Sold]],Sales[[#This Row],[Unit Selling Price (CAD)]])</f>
        <v>244.3</v>
      </c>
    </row>
    <row r="1736" spans="1:10">
      <c r="A1736" t="s">
        <v>2184</v>
      </c>
      <c r="B1736" s="2">
        <v>46257</v>
      </c>
      <c r="C1736" t="s">
        <v>394</v>
      </c>
      <c r="D1736" t="s">
        <v>395</v>
      </c>
      <c r="E1736" t="str">
        <f>_xlfn.XLOOKUP(Sales[[#This Row],[Product Name]],Products[Product Name],Products[Category])</f>
        <v>Sauces &amp; Add-ons</v>
      </c>
      <c r="F1736" t="s">
        <v>449</v>
      </c>
      <c r="G1736" t="s">
        <v>450</v>
      </c>
      <c r="H1736">
        <v>59</v>
      </c>
      <c r="I1736" s="5">
        <f>_xlfn.XLOOKUP(Sales[[#This Row],[Product Name]],Products[Product Name],Products[Selling Price (CAD)])</f>
        <v>0.5</v>
      </c>
      <c r="J1736" s="5">
        <f>PRODUCT(Sales[[#This Row],[Quantity Sold]],Sales[[#This Row],[Unit Selling Price (CAD)]])</f>
        <v>29.5</v>
      </c>
    </row>
    <row r="1737" spans="1:10">
      <c r="A1737" t="s">
        <v>2185</v>
      </c>
      <c r="B1737" s="2">
        <v>46257</v>
      </c>
      <c r="C1737" t="s">
        <v>279</v>
      </c>
      <c r="D1737" t="s">
        <v>280</v>
      </c>
      <c r="E1737" t="str">
        <f>_xlfn.XLOOKUP(Sales[[#This Row],[Product Name]],Products[Product Name],Products[Category])</f>
        <v>Beverages</v>
      </c>
      <c r="F1737" t="s">
        <v>449</v>
      </c>
      <c r="G1737" t="s">
        <v>450</v>
      </c>
      <c r="H1737">
        <v>68</v>
      </c>
      <c r="I1737" s="5">
        <f>_xlfn.XLOOKUP(Sales[[#This Row],[Product Name]],Products[Product Name],Products[Selling Price (CAD)])</f>
        <v>2.99</v>
      </c>
      <c r="J1737" s="5">
        <f>PRODUCT(Sales[[#This Row],[Quantity Sold]],Sales[[#This Row],[Unit Selling Price (CAD)]])</f>
        <v>203.32000000000002</v>
      </c>
    </row>
    <row r="1738" spans="1:10">
      <c r="A1738" t="s">
        <v>2186</v>
      </c>
      <c r="B1738" s="2">
        <v>46257</v>
      </c>
      <c r="C1738" t="s">
        <v>313</v>
      </c>
      <c r="D1738" t="s">
        <v>314</v>
      </c>
      <c r="E1738" t="str">
        <f>_xlfn.XLOOKUP(Sales[[#This Row],[Product Name]],Products[Product Name],Products[Category])</f>
        <v>Beverages</v>
      </c>
      <c r="F1738" t="s">
        <v>447</v>
      </c>
      <c r="G1738" t="s">
        <v>452</v>
      </c>
      <c r="H1738">
        <v>66</v>
      </c>
      <c r="I1738" s="5">
        <f>_xlfn.XLOOKUP(Sales[[#This Row],[Product Name]],Products[Product Name],Products[Selling Price (CAD)])</f>
        <v>3.99</v>
      </c>
      <c r="J1738" s="5">
        <f>PRODUCT(Sales[[#This Row],[Quantity Sold]],Sales[[#This Row],[Unit Selling Price (CAD)]])</f>
        <v>263.34000000000003</v>
      </c>
    </row>
    <row r="1739" spans="1:10">
      <c r="A1739" t="s">
        <v>2187</v>
      </c>
      <c r="B1739" s="2">
        <v>46257</v>
      </c>
      <c r="C1739" t="s">
        <v>423</v>
      </c>
      <c r="D1739" t="s">
        <v>424</v>
      </c>
      <c r="E1739" t="str">
        <f>_xlfn.XLOOKUP(Sales[[#This Row],[Product Name]],Products[Product Name],Products[Category])</f>
        <v>Combo Meals</v>
      </c>
      <c r="F1739" t="s">
        <v>447</v>
      </c>
      <c r="G1739" t="s">
        <v>450</v>
      </c>
      <c r="H1739">
        <v>43</v>
      </c>
      <c r="I1739" s="5">
        <f>_xlfn.XLOOKUP(Sales[[#This Row],[Product Name]],Products[Product Name],Products[Selling Price (CAD)])</f>
        <v>12.99</v>
      </c>
      <c r="J1739" s="5">
        <f>PRODUCT(Sales[[#This Row],[Quantity Sold]],Sales[[#This Row],[Unit Selling Price (CAD)]])</f>
        <v>558.57000000000005</v>
      </c>
    </row>
    <row r="1740" spans="1:10">
      <c r="A1740" t="s">
        <v>2188</v>
      </c>
      <c r="B1740" s="2">
        <v>46257</v>
      </c>
      <c r="C1740" t="s">
        <v>372</v>
      </c>
      <c r="D1740" t="s">
        <v>373</v>
      </c>
      <c r="E1740" t="str">
        <f>_xlfn.XLOOKUP(Sales[[#This Row],[Product Name]],Products[Product Name],Products[Category])</f>
        <v>Kids Meals</v>
      </c>
      <c r="F1740" t="s">
        <v>444</v>
      </c>
      <c r="G1740" t="s">
        <v>454</v>
      </c>
      <c r="H1740">
        <v>53</v>
      </c>
      <c r="I1740" s="5">
        <f>_xlfn.XLOOKUP(Sales[[#This Row],[Product Name]],Products[Product Name],Products[Selling Price (CAD)])</f>
        <v>6.49</v>
      </c>
      <c r="J1740" s="5">
        <f>PRODUCT(Sales[[#This Row],[Quantity Sold]],Sales[[#This Row],[Unit Selling Price (CAD)]])</f>
        <v>343.97</v>
      </c>
    </row>
    <row r="1741" spans="1:10">
      <c r="A1741" t="s">
        <v>2189</v>
      </c>
      <c r="B1741" s="2">
        <v>46257</v>
      </c>
      <c r="C1741" t="s">
        <v>301</v>
      </c>
      <c r="D1741" t="s">
        <v>302</v>
      </c>
      <c r="E1741" t="str">
        <f>_xlfn.XLOOKUP(Sales[[#This Row],[Product Name]],Products[Product Name],Products[Category])</f>
        <v>Beverages</v>
      </c>
      <c r="F1741" t="s">
        <v>449</v>
      </c>
      <c r="G1741" t="s">
        <v>450</v>
      </c>
      <c r="H1741">
        <v>51</v>
      </c>
      <c r="I1741" s="5">
        <f>_xlfn.XLOOKUP(Sales[[#This Row],[Product Name]],Products[Product Name],Products[Selling Price (CAD)])</f>
        <v>1.99</v>
      </c>
      <c r="J1741" s="5">
        <f>PRODUCT(Sales[[#This Row],[Quantity Sold]],Sales[[#This Row],[Unit Selling Price (CAD)]])</f>
        <v>101.49</v>
      </c>
    </row>
    <row r="1742" spans="1:10">
      <c r="A1742" t="s">
        <v>2190</v>
      </c>
      <c r="B1742" s="2">
        <v>46257</v>
      </c>
      <c r="C1742" t="s">
        <v>353</v>
      </c>
      <c r="D1742" t="s">
        <v>354</v>
      </c>
      <c r="E1742" t="str">
        <f>_xlfn.XLOOKUP(Sales[[#This Row],[Product Name]],Products[Product Name],Products[Category])</f>
        <v>Desserts</v>
      </c>
      <c r="F1742" t="s">
        <v>444</v>
      </c>
      <c r="G1742" t="s">
        <v>454</v>
      </c>
      <c r="H1742">
        <v>42</v>
      </c>
      <c r="I1742" s="5">
        <f>_xlfn.XLOOKUP(Sales[[#This Row],[Product Name]],Products[Product Name],Products[Selling Price (CAD)])</f>
        <v>4.99</v>
      </c>
      <c r="J1742" s="5">
        <f>PRODUCT(Sales[[#This Row],[Quantity Sold]],Sales[[#This Row],[Unit Selling Price (CAD)]])</f>
        <v>209.58</v>
      </c>
    </row>
    <row r="1743" spans="1:10">
      <c r="A1743" t="s">
        <v>2191</v>
      </c>
      <c r="B1743" s="2">
        <v>46257</v>
      </c>
      <c r="C1743" t="s">
        <v>341</v>
      </c>
      <c r="D1743" t="s">
        <v>342</v>
      </c>
      <c r="E1743" t="str">
        <f>_xlfn.XLOOKUP(Sales[[#This Row],[Product Name]],Products[Product Name],Products[Category])</f>
        <v>Desserts</v>
      </c>
      <c r="F1743" t="s">
        <v>444</v>
      </c>
      <c r="G1743" t="s">
        <v>452</v>
      </c>
      <c r="H1743">
        <v>59</v>
      </c>
      <c r="I1743" s="5">
        <f>_xlfn.XLOOKUP(Sales[[#This Row],[Product Name]],Products[Product Name],Products[Selling Price (CAD)])</f>
        <v>1.49</v>
      </c>
      <c r="J1743" s="5">
        <f>PRODUCT(Sales[[#This Row],[Quantity Sold]],Sales[[#This Row],[Unit Selling Price (CAD)]])</f>
        <v>87.91</v>
      </c>
    </row>
    <row r="1744" spans="1:10">
      <c r="A1744" t="s">
        <v>2192</v>
      </c>
      <c r="B1744" s="2">
        <v>46257</v>
      </c>
      <c r="C1744" t="s">
        <v>201</v>
      </c>
      <c r="D1744" t="s">
        <v>202</v>
      </c>
      <c r="E1744" t="str">
        <f>_xlfn.XLOOKUP(Sales[[#This Row],[Product Name]],Products[Product Name],Products[Category])</f>
        <v>Sides</v>
      </c>
      <c r="F1744" t="s">
        <v>449</v>
      </c>
      <c r="G1744" t="s">
        <v>454</v>
      </c>
      <c r="H1744">
        <v>36</v>
      </c>
      <c r="I1744" s="5">
        <f>_xlfn.XLOOKUP(Sales[[#This Row],[Product Name]],Products[Product Name],Products[Selling Price (CAD)])</f>
        <v>3.99</v>
      </c>
      <c r="J1744" s="5">
        <f>PRODUCT(Sales[[#This Row],[Quantity Sold]],Sales[[#This Row],[Unit Selling Price (CAD)]])</f>
        <v>143.64000000000001</v>
      </c>
    </row>
    <row r="1745" spans="1:10">
      <c r="A1745" t="s">
        <v>2193</v>
      </c>
      <c r="B1745" s="2">
        <v>46257</v>
      </c>
      <c r="C1745" t="s">
        <v>169</v>
      </c>
      <c r="D1745" t="s">
        <v>170</v>
      </c>
      <c r="E1745" t="str">
        <f>_xlfn.XLOOKUP(Sales[[#This Row],[Product Name]],Products[Product Name],Products[Category])</f>
        <v>Breakfast</v>
      </c>
      <c r="F1745" t="s">
        <v>444</v>
      </c>
      <c r="G1745" t="s">
        <v>454</v>
      </c>
      <c r="H1745">
        <v>73</v>
      </c>
      <c r="I1745" s="5">
        <f>_xlfn.XLOOKUP(Sales[[#This Row],[Product Name]],Products[Product Name],Products[Selling Price (CAD)])</f>
        <v>2.99</v>
      </c>
      <c r="J1745" s="5">
        <f>PRODUCT(Sales[[#This Row],[Quantity Sold]],Sales[[#This Row],[Unit Selling Price (CAD)]])</f>
        <v>218.27</v>
      </c>
    </row>
    <row r="1746" spans="1:10">
      <c r="A1746" t="s">
        <v>2194</v>
      </c>
      <c r="B1746" s="2">
        <v>46258</v>
      </c>
      <c r="C1746" t="s">
        <v>211</v>
      </c>
      <c r="D1746" t="s">
        <v>212</v>
      </c>
      <c r="E1746" t="str">
        <f>_xlfn.XLOOKUP(Sales[[#This Row],[Product Name]],Products[Product Name],Products[Category])</f>
        <v>Sides</v>
      </c>
      <c r="F1746" t="s">
        <v>444</v>
      </c>
      <c r="G1746" t="s">
        <v>454</v>
      </c>
      <c r="H1746">
        <v>36</v>
      </c>
      <c r="I1746" s="5">
        <f>_xlfn.XLOOKUP(Sales[[#This Row],[Product Name]],Products[Product Name],Products[Selling Price (CAD)])</f>
        <v>3.99</v>
      </c>
      <c r="J1746" s="5">
        <f>PRODUCT(Sales[[#This Row],[Quantity Sold]],Sales[[#This Row],[Unit Selling Price (CAD)]])</f>
        <v>143.64000000000001</v>
      </c>
    </row>
    <row r="1747" spans="1:10">
      <c r="A1747" t="s">
        <v>2195</v>
      </c>
      <c r="B1747" s="2">
        <v>46258</v>
      </c>
      <c r="C1747" t="s">
        <v>287</v>
      </c>
      <c r="D1747" t="s">
        <v>288</v>
      </c>
      <c r="E1747" t="str">
        <f>_xlfn.XLOOKUP(Sales[[#This Row],[Product Name]],Products[Product Name],Products[Category])</f>
        <v>Beverages</v>
      </c>
      <c r="F1747" t="s">
        <v>444</v>
      </c>
      <c r="G1747" t="s">
        <v>452</v>
      </c>
      <c r="H1747">
        <v>76</v>
      </c>
      <c r="I1747" s="5">
        <f>_xlfn.XLOOKUP(Sales[[#This Row],[Product Name]],Products[Product Name],Products[Selling Price (CAD)])</f>
        <v>3.99</v>
      </c>
      <c r="J1747" s="5">
        <f>PRODUCT(Sales[[#This Row],[Quantity Sold]],Sales[[#This Row],[Unit Selling Price (CAD)]])</f>
        <v>303.24</v>
      </c>
    </row>
    <row r="1748" spans="1:10">
      <c r="A1748" t="s">
        <v>2196</v>
      </c>
      <c r="B1748" s="2">
        <v>46258</v>
      </c>
      <c r="C1748" t="s">
        <v>215</v>
      </c>
      <c r="D1748" t="s">
        <v>216</v>
      </c>
      <c r="E1748" t="str">
        <f>_xlfn.XLOOKUP(Sales[[#This Row],[Product Name]],Products[Product Name],Products[Category])</f>
        <v>Sides</v>
      </c>
      <c r="F1748" t="s">
        <v>447</v>
      </c>
      <c r="G1748" t="s">
        <v>452</v>
      </c>
      <c r="H1748">
        <v>50</v>
      </c>
      <c r="I1748" s="5">
        <f>_xlfn.XLOOKUP(Sales[[#This Row],[Product Name]],Products[Product Name],Products[Selling Price (CAD)])</f>
        <v>2.99</v>
      </c>
      <c r="J1748" s="5">
        <f>PRODUCT(Sales[[#This Row],[Quantity Sold]],Sales[[#This Row],[Unit Selling Price (CAD)]])</f>
        <v>149.5</v>
      </c>
    </row>
    <row r="1749" spans="1:10">
      <c r="A1749" t="s">
        <v>2197</v>
      </c>
      <c r="B1749" s="2">
        <v>46258</v>
      </c>
      <c r="C1749" t="s">
        <v>89</v>
      </c>
      <c r="D1749" t="s">
        <v>90</v>
      </c>
      <c r="E1749" t="str">
        <f>_xlfn.XLOOKUP(Sales[[#This Row],[Product Name]],Products[Product Name],Products[Category])</f>
        <v>Chicken</v>
      </c>
      <c r="F1749" t="s">
        <v>447</v>
      </c>
      <c r="G1749" t="s">
        <v>450</v>
      </c>
      <c r="H1749">
        <v>31</v>
      </c>
      <c r="I1749" s="5">
        <f>_xlfn.XLOOKUP(Sales[[#This Row],[Product Name]],Products[Product Name],Products[Selling Price (CAD)])</f>
        <v>7.49</v>
      </c>
      <c r="J1749" s="5">
        <f>PRODUCT(Sales[[#This Row],[Quantity Sold]],Sales[[#This Row],[Unit Selling Price (CAD)]])</f>
        <v>232.19</v>
      </c>
    </row>
    <row r="1750" spans="1:10">
      <c r="A1750" t="s">
        <v>2198</v>
      </c>
      <c r="B1750" s="2">
        <v>46258</v>
      </c>
      <c r="C1750" t="s">
        <v>275</v>
      </c>
      <c r="D1750" t="s">
        <v>276</v>
      </c>
      <c r="E1750" t="str">
        <f>_xlfn.XLOOKUP(Sales[[#This Row],[Product Name]],Products[Product Name],Products[Category])</f>
        <v>Beverages</v>
      </c>
      <c r="F1750" t="s">
        <v>444</v>
      </c>
      <c r="G1750" t="s">
        <v>445</v>
      </c>
      <c r="H1750">
        <v>53</v>
      </c>
      <c r="I1750" s="5">
        <f>_xlfn.XLOOKUP(Sales[[#This Row],[Product Name]],Products[Product Name],Products[Selling Price (CAD)])</f>
        <v>2.99</v>
      </c>
      <c r="J1750" s="5">
        <f>PRODUCT(Sales[[#This Row],[Quantity Sold]],Sales[[#This Row],[Unit Selling Price (CAD)]])</f>
        <v>158.47</v>
      </c>
    </row>
    <row r="1751" spans="1:10">
      <c r="A1751" t="s">
        <v>2199</v>
      </c>
      <c r="B1751" s="2">
        <v>46259</v>
      </c>
      <c r="C1751" t="s">
        <v>311</v>
      </c>
      <c r="D1751" t="s">
        <v>312</v>
      </c>
      <c r="E1751" t="str">
        <f>_xlfn.XLOOKUP(Sales[[#This Row],[Product Name]],Products[Product Name],Products[Category])</f>
        <v>Beverages</v>
      </c>
      <c r="F1751" t="s">
        <v>447</v>
      </c>
      <c r="G1751" t="s">
        <v>452</v>
      </c>
      <c r="H1751">
        <v>52</v>
      </c>
      <c r="I1751" s="5">
        <f>_xlfn.XLOOKUP(Sales[[#This Row],[Product Name]],Products[Product Name],Products[Selling Price (CAD)])</f>
        <v>3.99</v>
      </c>
      <c r="J1751" s="5">
        <f>PRODUCT(Sales[[#This Row],[Quantity Sold]],Sales[[#This Row],[Unit Selling Price (CAD)]])</f>
        <v>207.48000000000002</v>
      </c>
    </row>
    <row r="1752" spans="1:10">
      <c r="A1752" t="s">
        <v>2200</v>
      </c>
      <c r="B1752" s="2">
        <v>46259</v>
      </c>
      <c r="C1752" t="s">
        <v>281</v>
      </c>
      <c r="D1752" t="s">
        <v>282</v>
      </c>
      <c r="E1752" t="str">
        <f>_xlfn.XLOOKUP(Sales[[#This Row],[Product Name]],Products[Product Name],Products[Category])</f>
        <v>Beverages</v>
      </c>
      <c r="F1752" t="s">
        <v>447</v>
      </c>
      <c r="G1752" t="s">
        <v>450</v>
      </c>
      <c r="H1752">
        <v>40</v>
      </c>
      <c r="I1752" s="5">
        <f>_xlfn.XLOOKUP(Sales[[#This Row],[Product Name]],Products[Product Name],Products[Selling Price (CAD)])</f>
        <v>2.99</v>
      </c>
      <c r="J1752" s="5">
        <f>PRODUCT(Sales[[#This Row],[Quantity Sold]],Sales[[#This Row],[Unit Selling Price (CAD)]])</f>
        <v>119.60000000000001</v>
      </c>
    </row>
    <row r="1753" spans="1:10">
      <c r="A1753" t="s">
        <v>2201</v>
      </c>
      <c r="B1753" s="2">
        <v>46259</v>
      </c>
      <c r="C1753" t="s">
        <v>281</v>
      </c>
      <c r="D1753" t="s">
        <v>282</v>
      </c>
      <c r="E1753" t="str">
        <f>_xlfn.XLOOKUP(Sales[[#This Row],[Product Name]],Products[Product Name],Products[Category])</f>
        <v>Beverages</v>
      </c>
      <c r="F1753" t="s">
        <v>449</v>
      </c>
      <c r="G1753" t="s">
        <v>445</v>
      </c>
      <c r="H1753">
        <v>74</v>
      </c>
      <c r="I1753" s="5">
        <f>_xlfn.XLOOKUP(Sales[[#This Row],[Product Name]],Products[Product Name],Products[Selling Price (CAD)])</f>
        <v>2.99</v>
      </c>
      <c r="J1753" s="5">
        <f>PRODUCT(Sales[[#This Row],[Quantity Sold]],Sales[[#This Row],[Unit Selling Price (CAD)]])</f>
        <v>221.26000000000002</v>
      </c>
    </row>
    <row r="1754" spans="1:10">
      <c r="A1754" t="s">
        <v>2202</v>
      </c>
      <c r="B1754" s="2">
        <v>46259</v>
      </c>
      <c r="C1754" t="s">
        <v>309</v>
      </c>
      <c r="D1754" t="s">
        <v>310</v>
      </c>
      <c r="E1754" t="str">
        <f>_xlfn.XLOOKUP(Sales[[#This Row],[Product Name]],Products[Product Name],Products[Category])</f>
        <v>Beverages</v>
      </c>
      <c r="F1754" t="s">
        <v>444</v>
      </c>
      <c r="G1754" t="s">
        <v>450</v>
      </c>
      <c r="H1754">
        <v>52</v>
      </c>
      <c r="I1754" s="5">
        <f>_xlfn.XLOOKUP(Sales[[#This Row],[Product Name]],Products[Product Name],Products[Selling Price (CAD)])</f>
        <v>2.99</v>
      </c>
      <c r="J1754" s="5">
        <f>PRODUCT(Sales[[#This Row],[Quantity Sold]],Sales[[#This Row],[Unit Selling Price (CAD)]])</f>
        <v>155.48000000000002</v>
      </c>
    </row>
    <row r="1755" spans="1:10">
      <c r="A1755" t="s">
        <v>2203</v>
      </c>
      <c r="B1755" s="2">
        <v>46259</v>
      </c>
      <c r="C1755" t="s">
        <v>263</v>
      </c>
      <c r="D1755" t="s">
        <v>264</v>
      </c>
      <c r="E1755" t="str">
        <f>_xlfn.XLOOKUP(Sales[[#This Row],[Product Name]],Products[Product Name],Products[Category])</f>
        <v>Beverages</v>
      </c>
      <c r="F1755" t="s">
        <v>449</v>
      </c>
      <c r="G1755" t="s">
        <v>450</v>
      </c>
      <c r="H1755">
        <v>74</v>
      </c>
      <c r="I1755" s="5">
        <f>_xlfn.XLOOKUP(Sales[[#This Row],[Product Name]],Products[Product Name],Products[Selling Price (CAD)])</f>
        <v>2.99</v>
      </c>
      <c r="J1755" s="5">
        <f>PRODUCT(Sales[[#This Row],[Quantity Sold]],Sales[[#This Row],[Unit Selling Price (CAD)]])</f>
        <v>221.26000000000002</v>
      </c>
    </row>
    <row r="1756" spans="1:10">
      <c r="A1756" t="s">
        <v>2204</v>
      </c>
      <c r="B1756" s="2">
        <v>46260</v>
      </c>
      <c r="C1756" t="s">
        <v>331</v>
      </c>
      <c r="D1756" t="s">
        <v>332</v>
      </c>
      <c r="E1756" t="str">
        <f>_xlfn.XLOOKUP(Sales[[#This Row],[Product Name]],Products[Product Name],Products[Category])</f>
        <v>Desserts</v>
      </c>
      <c r="F1756" t="s">
        <v>447</v>
      </c>
      <c r="G1756" t="s">
        <v>450</v>
      </c>
      <c r="H1756">
        <v>79</v>
      </c>
      <c r="I1756" s="5">
        <f>_xlfn.XLOOKUP(Sales[[#This Row],[Product Name]],Products[Product Name],Products[Selling Price (CAD)])</f>
        <v>3.49</v>
      </c>
      <c r="J1756" s="5">
        <f>PRODUCT(Sales[[#This Row],[Quantity Sold]],Sales[[#This Row],[Unit Selling Price (CAD)]])</f>
        <v>275.71000000000004</v>
      </c>
    </row>
    <row r="1757" spans="1:10">
      <c r="A1757" t="s">
        <v>2205</v>
      </c>
      <c r="B1757" s="2">
        <v>46260</v>
      </c>
      <c r="C1757" t="s">
        <v>263</v>
      </c>
      <c r="D1757" t="s">
        <v>264</v>
      </c>
      <c r="E1757" t="str">
        <f>_xlfn.XLOOKUP(Sales[[#This Row],[Product Name]],Products[Product Name],Products[Category])</f>
        <v>Beverages</v>
      </c>
      <c r="F1757" t="s">
        <v>449</v>
      </c>
      <c r="G1757" t="s">
        <v>450</v>
      </c>
      <c r="H1757">
        <v>35</v>
      </c>
      <c r="I1757" s="5">
        <f>_xlfn.XLOOKUP(Sales[[#This Row],[Product Name]],Products[Product Name],Products[Selling Price (CAD)])</f>
        <v>2.99</v>
      </c>
      <c r="J1757" s="5">
        <f>PRODUCT(Sales[[#This Row],[Quantity Sold]],Sales[[#This Row],[Unit Selling Price (CAD)]])</f>
        <v>104.65</v>
      </c>
    </row>
    <row r="1758" spans="1:10">
      <c r="A1758" t="s">
        <v>2206</v>
      </c>
      <c r="B1758" s="2">
        <v>46260</v>
      </c>
      <c r="C1758" t="s">
        <v>351</v>
      </c>
      <c r="D1758" t="s">
        <v>352</v>
      </c>
      <c r="E1758" t="str">
        <f>_xlfn.XLOOKUP(Sales[[#This Row],[Product Name]],Products[Product Name],Products[Category])</f>
        <v>Desserts</v>
      </c>
      <c r="F1758" t="s">
        <v>449</v>
      </c>
      <c r="G1758" t="s">
        <v>450</v>
      </c>
      <c r="H1758">
        <v>64</v>
      </c>
      <c r="I1758" s="5">
        <f>_xlfn.XLOOKUP(Sales[[#This Row],[Product Name]],Products[Product Name],Products[Selling Price (CAD)])</f>
        <v>4.99</v>
      </c>
      <c r="J1758" s="5">
        <f>PRODUCT(Sales[[#This Row],[Quantity Sold]],Sales[[#This Row],[Unit Selling Price (CAD)]])</f>
        <v>319.36</v>
      </c>
    </row>
    <row r="1759" spans="1:10">
      <c r="A1759" t="s">
        <v>2207</v>
      </c>
      <c r="B1759" s="2">
        <v>46260</v>
      </c>
      <c r="C1759" t="s">
        <v>245</v>
      </c>
      <c r="D1759" t="s">
        <v>246</v>
      </c>
      <c r="E1759" t="str">
        <f>_xlfn.XLOOKUP(Sales[[#This Row],[Product Name]],Products[Product Name],Products[Category])</f>
        <v>Salads</v>
      </c>
      <c r="F1759" t="s">
        <v>447</v>
      </c>
      <c r="G1759" t="s">
        <v>450</v>
      </c>
      <c r="H1759">
        <v>75</v>
      </c>
      <c r="I1759" s="5">
        <f>_xlfn.XLOOKUP(Sales[[#This Row],[Product Name]],Products[Product Name],Products[Selling Price (CAD)])</f>
        <v>6.99</v>
      </c>
      <c r="J1759" s="5">
        <f>PRODUCT(Sales[[#This Row],[Quantity Sold]],Sales[[#This Row],[Unit Selling Price (CAD)]])</f>
        <v>524.25</v>
      </c>
    </row>
    <row r="1760" spans="1:10">
      <c r="A1760" t="s">
        <v>2208</v>
      </c>
      <c r="B1760" s="2">
        <v>46260</v>
      </c>
      <c r="C1760" t="s">
        <v>105</v>
      </c>
      <c r="D1760" t="s">
        <v>106</v>
      </c>
      <c r="E1760" t="str">
        <f>_xlfn.XLOOKUP(Sales[[#This Row],[Product Name]],Products[Product Name],Products[Category])</f>
        <v>Chicken</v>
      </c>
      <c r="F1760" t="s">
        <v>449</v>
      </c>
      <c r="G1760" t="s">
        <v>450</v>
      </c>
      <c r="H1760">
        <v>51</v>
      </c>
      <c r="I1760" s="5">
        <f>_xlfn.XLOOKUP(Sales[[#This Row],[Product Name]],Products[Product Name],Products[Selling Price (CAD)])</f>
        <v>4.99</v>
      </c>
      <c r="J1760" s="5">
        <f>PRODUCT(Sales[[#This Row],[Quantity Sold]],Sales[[#This Row],[Unit Selling Price (CAD)]])</f>
        <v>254.49</v>
      </c>
    </row>
    <row r="1761" spans="1:10">
      <c r="A1761" t="s">
        <v>2209</v>
      </c>
      <c r="B1761" s="2">
        <v>46260</v>
      </c>
      <c r="C1761" t="s">
        <v>339</v>
      </c>
      <c r="D1761" t="s">
        <v>340</v>
      </c>
      <c r="E1761" t="str">
        <f>_xlfn.XLOOKUP(Sales[[#This Row],[Product Name]],Products[Product Name],Products[Category])</f>
        <v>Desserts</v>
      </c>
      <c r="F1761" t="s">
        <v>447</v>
      </c>
      <c r="G1761" t="s">
        <v>452</v>
      </c>
      <c r="H1761">
        <v>33</v>
      </c>
      <c r="I1761" s="5">
        <f>_xlfn.XLOOKUP(Sales[[#This Row],[Product Name]],Products[Product Name],Products[Selling Price (CAD)])</f>
        <v>1.49</v>
      </c>
      <c r="J1761" s="5">
        <f>PRODUCT(Sales[[#This Row],[Quantity Sold]],Sales[[#This Row],[Unit Selling Price (CAD)]])</f>
        <v>49.17</v>
      </c>
    </row>
    <row r="1762" spans="1:10">
      <c r="A1762" t="s">
        <v>2210</v>
      </c>
      <c r="B1762" s="2">
        <v>46260</v>
      </c>
      <c r="C1762" t="s">
        <v>259</v>
      </c>
      <c r="D1762" t="s">
        <v>260</v>
      </c>
      <c r="E1762" t="str">
        <f>_xlfn.XLOOKUP(Sales[[#This Row],[Product Name]],Products[Product Name],Products[Category])</f>
        <v>Beverages</v>
      </c>
      <c r="F1762" t="s">
        <v>449</v>
      </c>
      <c r="G1762" t="s">
        <v>450</v>
      </c>
      <c r="H1762">
        <v>63</v>
      </c>
      <c r="I1762" s="5">
        <f>_xlfn.XLOOKUP(Sales[[#This Row],[Product Name]],Products[Product Name],Products[Selling Price (CAD)])</f>
        <v>1.99</v>
      </c>
      <c r="J1762" s="5">
        <f>PRODUCT(Sales[[#This Row],[Quantity Sold]],Sales[[#This Row],[Unit Selling Price (CAD)]])</f>
        <v>125.37</v>
      </c>
    </row>
    <row r="1763" spans="1:10">
      <c r="A1763" t="s">
        <v>2211</v>
      </c>
      <c r="B1763" s="2">
        <v>46261</v>
      </c>
      <c r="C1763" t="s">
        <v>329</v>
      </c>
      <c r="D1763" t="s">
        <v>330</v>
      </c>
      <c r="E1763" t="str">
        <f>_xlfn.XLOOKUP(Sales[[#This Row],[Product Name]],Products[Product Name],Products[Category])</f>
        <v>Desserts</v>
      </c>
      <c r="F1763" t="s">
        <v>449</v>
      </c>
      <c r="G1763" t="s">
        <v>450</v>
      </c>
      <c r="H1763">
        <v>79</v>
      </c>
      <c r="I1763" s="5">
        <f>_xlfn.XLOOKUP(Sales[[#This Row],[Product Name]],Products[Product Name],Products[Selling Price (CAD)])</f>
        <v>2.99</v>
      </c>
      <c r="J1763" s="5">
        <f>PRODUCT(Sales[[#This Row],[Quantity Sold]],Sales[[#This Row],[Unit Selling Price (CAD)]])</f>
        <v>236.21</v>
      </c>
    </row>
    <row r="1764" spans="1:10">
      <c r="A1764" t="s">
        <v>2212</v>
      </c>
      <c r="B1764" s="2">
        <v>46261</v>
      </c>
      <c r="C1764" t="s">
        <v>169</v>
      </c>
      <c r="D1764" t="s">
        <v>170</v>
      </c>
      <c r="E1764" t="str">
        <f>_xlfn.XLOOKUP(Sales[[#This Row],[Product Name]],Products[Product Name],Products[Category])</f>
        <v>Breakfast</v>
      </c>
      <c r="F1764" t="s">
        <v>447</v>
      </c>
      <c r="G1764" t="s">
        <v>450</v>
      </c>
      <c r="H1764">
        <v>80</v>
      </c>
      <c r="I1764" s="5">
        <f>_xlfn.XLOOKUP(Sales[[#This Row],[Product Name]],Products[Product Name],Products[Selling Price (CAD)])</f>
        <v>2.99</v>
      </c>
      <c r="J1764" s="5">
        <f>PRODUCT(Sales[[#This Row],[Quantity Sold]],Sales[[#This Row],[Unit Selling Price (CAD)]])</f>
        <v>239.20000000000002</v>
      </c>
    </row>
    <row r="1765" spans="1:10">
      <c r="A1765" t="s">
        <v>2213</v>
      </c>
      <c r="B1765" s="2">
        <v>46261</v>
      </c>
      <c r="C1765" t="s">
        <v>263</v>
      </c>
      <c r="D1765" t="s">
        <v>264</v>
      </c>
      <c r="E1765" t="str">
        <f>_xlfn.XLOOKUP(Sales[[#This Row],[Product Name]],Products[Product Name],Products[Category])</f>
        <v>Beverages</v>
      </c>
      <c r="F1765" t="s">
        <v>444</v>
      </c>
      <c r="G1765" t="s">
        <v>450</v>
      </c>
      <c r="H1765">
        <v>46</v>
      </c>
      <c r="I1765" s="5">
        <f>_xlfn.XLOOKUP(Sales[[#This Row],[Product Name]],Products[Product Name],Products[Selling Price (CAD)])</f>
        <v>2.99</v>
      </c>
      <c r="J1765" s="5">
        <f>PRODUCT(Sales[[#This Row],[Quantity Sold]],Sales[[#This Row],[Unit Selling Price (CAD)]])</f>
        <v>137.54000000000002</v>
      </c>
    </row>
    <row r="1766" spans="1:10">
      <c r="A1766" t="s">
        <v>2214</v>
      </c>
      <c r="B1766" s="2">
        <v>46261</v>
      </c>
      <c r="C1766" t="s">
        <v>25</v>
      </c>
      <c r="D1766" t="s">
        <v>26</v>
      </c>
      <c r="E1766" t="str">
        <f>_xlfn.XLOOKUP(Sales[[#This Row],[Product Name]],Products[Product Name],Products[Category])</f>
        <v>Burgers</v>
      </c>
      <c r="F1766" t="s">
        <v>449</v>
      </c>
      <c r="G1766" t="s">
        <v>445</v>
      </c>
      <c r="H1766">
        <v>45</v>
      </c>
      <c r="I1766" s="5">
        <f>_xlfn.XLOOKUP(Sales[[#This Row],[Product Name]],Products[Product Name],Products[Selling Price (CAD)])</f>
        <v>5.99</v>
      </c>
      <c r="J1766" s="5">
        <f>PRODUCT(Sales[[#This Row],[Quantity Sold]],Sales[[#This Row],[Unit Selling Price (CAD)]])</f>
        <v>269.55</v>
      </c>
    </row>
    <row r="1767" spans="1:10">
      <c r="A1767" t="s">
        <v>2215</v>
      </c>
      <c r="B1767" s="2">
        <v>46261</v>
      </c>
      <c r="C1767" t="s">
        <v>297</v>
      </c>
      <c r="D1767" t="s">
        <v>298</v>
      </c>
      <c r="E1767" t="str">
        <f>_xlfn.XLOOKUP(Sales[[#This Row],[Product Name]],Products[Product Name],Products[Category])</f>
        <v>Beverages</v>
      </c>
      <c r="F1767" t="s">
        <v>447</v>
      </c>
      <c r="G1767" t="s">
        <v>450</v>
      </c>
      <c r="H1767">
        <v>41</v>
      </c>
      <c r="I1767" s="5">
        <f>_xlfn.XLOOKUP(Sales[[#This Row],[Product Name]],Products[Product Name],Products[Selling Price (CAD)])</f>
        <v>2.99</v>
      </c>
      <c r="J1767" s="5">
        <f>PRODUCT(Sales[[#This Row],[Quantity Sold]],Sales[[#This Row],[Unit Selling Price (CAD)]])</f>
        <v>122.59</v>
      </c>
    </row>
    <row r="1768" spans="1:10">
      <c r="A1768" t="s">
        <v>2216</v>
      </c>
      <c r="B1768" s="2">
        <v>46261</v>
      </c>
      <c r="C1768" t="s">
        <v>21</v>
      </c>
      <c r="D1768" t="s">
        <v>22</v>
      </c>
      <c r="E1768" t="str">
        <f>_xlfn.XLOOKUP(Sales[[#This Row],[Product Name]],Products[Product Name],Products[Category])</f>
        <v>Burgers</v>
      </c>
      <c r="F1768" t="s">
        <v>449</v>
      </c>
      <c r="G1768" t="s">
        <v>454</v>
      </c>
      <c r="H1768">
        <v>45</v>
      </c>
      <c r="I1768" s="5">
        <f>_xlfn.XLOOKUP(Sales[[#This Row],[Product Name]],Products[Product Name],Products[Selling Price (CAD)])</f>
        <v>9.99</v>
      </c>
      <c r="J1768" s="5">
        <f>PRODUCT(Sales[[#This Row],[Quantity Sold]],Sales[[#This Row],[Unit Selling Price (CAD)]])</f>
        <v>449.55</v>
      </c>
    </row>
    <row r="1769" spans="1:10">
      <c r="A1769" t="s">
        <v>2217</v>
      </c>
      <c r="B1769" s="2">
        <v>46261</v>
      </c>
      <c r="C1769" t="s">
        <v>36</v>
      </c>
      <c r="D1769" t="s">
        <v>37</v>
      </c>
      <c r="E1769" t="str">
        <f>_xlfn.XLOOKUP(Sales[[#This Row],[Product Name]],Products[Product Name],Products[Category])</f>
        <v>Burgers</v>
      </c>
      <c r="F1769" t="s">
        <v>447</v>
      </c>
      <c r="G1769" t="s">
        <v>450</v>
      </c>
      <c r="H1769">
        <v>35</v>
      </c>
      <c r="I1769" s="5">
        <f>_xlfn.XLOOKUP(Sales[[#This Row],[Product Name]],Products[Product Name],Products[Selling Price (CAD)])</f>
        <v>8.99</v>
      </c>
      <c r="J1769" s="5">
        <f>PRODUCT(Sales[[#This Row],[Quantity Sold]],Sales[[#This Row],[Unit Selling Price (CAD)]])</f>
        <v>314.65000000000003</v>
      </c>
    </row>
    <row r="1770" spans="1:10">
      <c r="A1770" t="s">
        <v>2218</v>
      </c>
      <c r="B1770" s="2">
        <v>46262</v>
      </c>
      <c r="C1770" t="s">
        <v>62</v>
      </c>
      <c r="D1770" t="s">
        <v>63</v>
      </c>
      <c r="E1770" t="str">
        <f>_xlfn.XLOOKUP(Sales[[#This Row],[Product Name]],Products[Product Name],Products[Category])</f>
        <v>Burgers</v>
      </c>
      <c r="F1770" t="s">
        <v>447</v>
      </c>
      <c r="G1770" t="s">
        <v>452</v>
      </c>
      <c r="H1770">
        <v>69</v>
      </c>
      <c r="I1770" s="5">
        <f>_xlfn.XLOOKUP(Sales[[#This Row],[Product Name]],Products[Product Name],Products[Selling Price (CAD)])</f>
        <v>8.99</v>
      </c>
      <c r="J1770" s="5">
        <f>PRODUCT(Sales[[#This Row],[Quantity Sold]],Sales[[#This Row],[Unit Selling Price (CAD)]])</f>
        <v>620.31000000000006</v>
      </c>
    </row>
    <row r="1771" spans="1:10">
      <c r="A1771" t="s">
        <v>2219</v>
      </c>
      <c r="B1771" s="2">
        <v>46262</v>
      </c>
      <c r="C1771" t="s">
        <v>305</v>
      </c>
      <c r="D1771" t="s">
        <v>306</v>
      </c>
      <c r="E1771" t="str">
        <f>_xlfn.XLOOKUP(Sales[[#This Row],[Product Name]],Products[Product Name],Products[Category])</f>
        <v>Beverages</v>
      </c>
      <c r="F1771" t="s">
        <v>444</v>
      </c>
      <c r="G1771" t="s">
        <v>450</v>
      </c>
      <c r="H1771">
        <v>52</v>
      </c>
      <c r="I1771" s="5">
        <f>_xlfn.XLOOKUP(Sales[[#This Row],[Product Name]],Products[Product Name],Products[Selling Price (CAD)])</f>
        <v>2.99</v>
      </c>
      <c r="J1771" s="5">
        <f>PRODUCT(Sales[[#This Row],[Quantity Sold]],Sales[[#This Row],[Unit Selling Price (CAD)]])</f>
        <v>155.48000000000002</v>
      </c>
    </row>
    <row r="1772" spans="1:10">
      <c r="A1772" t="s">
        <v>2220</v>
      </c>
      <c r="B1772" s="2">
        <v>46262</v>
      </c>
      <c r="C1772" t="s">
        <v>85</v>
      </c>
      <c r="D1772" t="s">
        <v>86</v>
      </c>
      <c r="E1772" t="str">
        <f>_xlfn.XLOOKUP(Sales[[#This Row],[Product Name]],Products[Product Name],Products[Category])</f>
        <v>Chicken</v>
      </c>
      <c r="F1772" t="s">
        <v>444</v>
      </c>
      <c r="G1772" t="s">
        <v>450</v>
      </c>
      <c r="H1772">
        <v>56</v>
      </c>
      <c r="I1772" s="5">
        <f>_xlfn.XLOOKUP(Sales[[#This Row],[Product Name]],Products[Product Name],Products[Selling Price (CAD)])</f>
        <v>6.99</v>
      </c>
      <c r="J1772" s="5">
        <f>PRODUCT(Sales[[#This Row],[Quantity Sold]],Sales[[#This Row],[Unit Selling Price (CAD)]])</f>
        <v>391.44</v>
      </c>
    </row>
    <row r="1773" spans="1:10">
      <c r="A1773" t="s">
        <v>2221</v>
      </c>
      <c r="B1773" s="2">
        <v>46262</v>
      </c>
      <c r="C1773" t="s">
        <v>415</v>
      </c>
      <c r="D1773" t="s">
        <v>416</v>
      </c>
      <c r="E1773" t="str">
        <f>_xlfn.XLOOKUP(Sales[[#This Row],[Product Name]],Products[Product Name],Products[Category])</f>
        <v>Combo Meals</v>
      </c>
      <c r="F1773" t="s">
        <v>449</v>
      </c>
      <c r="G1773" t="s">
        <v>454</v>
      </c>
      <c r="H1773">
        <v>69</v>
      </c>
      <c r="I1773" s="5">
        <f>_xlfn.XLOOKUP(Sales[[#This Row],[Product Name]],Products[Product Name],Products[Selling Price (CAD)])</f>
        <v>9.99</v>
      </c>
      <c r="J1773" s="5">
        <f>PRODUCT(Sales[[#This Row],[Quantity Sold]],Sales[[#This Row],[Unit Selling Price (CAD)]])</f>
        <v>689.31000000000006</v>
      </c>
    </row>
    <row r="1774" spans="1:10">
      <c r="A1774" t="s">
        <v>2222</v>
      </c>
      <c r="B1774" s="2">
        <v>46262</v>
      </c>
      <c r="C1774" t="s">
        <v>58</v>
      </c>
      <c r="D1774" t="s">
        <v>59</v>
      </c>
      <c r="E1774" t="str">
        <f>_xlfn.XLOOKUP(Sales[[#This Row],[Product Name]],Products[Product Name],Products[Category])</f>
        <v>Burgers</v>
      </c>
      <c r="F1774" t="s">
        <v>449</v>
      </c>
      <c r="G1774" t="s">
        <v>450</v>
      </c>
      <c r="H1774">
        <v>34</v>
      </c>
      <c r="I1774" s="5">
        <f>_xlfn.XLOOKUP(Sales[[#This Row],[Product Name]],Products[Product Name],Products[Selling Price (CAD)])</f>
        <v>8.49</v>
      </c>
      <c r="J1774" s="5">
        <f>PRODUCT(Sales[[#This Row],[Quantity Sold]],Sales[[#This Row],[Unit Selling Price (CAD)]])</f>
        <v>288.66000000000003</v>
      </c>
    </row>
    <row r="1775" spans="1:10">
      <c r="A1775" t="s">
        <v>2223</v>
      </c>
      <c r="B1775" s="2">
        <v>46262</v>
      </c>
      <c r="C1775" t="s">
        <v>201</v>
      </c>
      <c r="D1775" t="s">
        <v>202</v>
      </c>
      <c r="E1775" t="str">
        <f>_xlfn.XLOOKUP(Sales[[#This Row],[Product Name]],Products[Product Name],Products[Category])</f>
        <v>Sides</v>
      </c>
      <c r="F1775" t="s">
        <v>447</v>
      </c>
      <c r="G1775" t="s">
        <v>450</v>
      </c>
      <c r="H1775">
        <v>71</v>
      </c>
      <c r="I1775" s="5">
        <f>_xlfn.XLOOKUP(Sales[[#This Row],[Product Name]],Products[Product Name],Products[Selling Price (CAD)])</f>
        <v>3.99</v>
      </c>
      <c r="J1775" s="5">
        <f>PRODUCT(Sales[[#This Row],[Quantity Sold]],Sales[[#This Row],[Unit Selling Price (CAD)]])</f>
        <v>283.29000000000002</v>
      </c>
    </row>
    <row r="1776" spans="1:10">
      <c r="A1776" t="s">
        <v>2224</v>
      </c>
      <c r="B1776" s="2">
        <v>46262</v>
      </c>
      <c r="C1776" t="s">
        <v>287</v>
      </c>
      <c r="D1776" t="s">
        <v>288</v>
      </c>
      <c r="E1776" t="str">
        <f>_xlfn.XLOOKUP(Sales[[#This Row],[Product Name]],Products[Product Name],Products[Category])</f>
        <v>Beverages</v>
      </c>
      <c r="F1776" t="s">
        <v>447</v>
      </c>
      <c r="G1776" t="s">
        <v>452</v>
      </c>
      <c r="H1776">
        <v>60</v>
      </c>
      <c r="I1776" s="5">
        <f>_xlfn.XLOOKUP(Sales[[#This Row],[Product Name]],Products[Product Name],Products[Selling Price (CAD)])</f>
        <v>3.99</v>
      </c>
      <c r="J1776" s="5">
        <f>PRODUCT(Sales[[#This Row],[Quantity Sold]],Sales[[#This Row],[Unit Selling Price (CAD)]])</f>
        <v>239.4</v>
      </c>
    </row>
    <row r="1777" spans="1:10">
      <c r="A1777" t="s">
        <v>2225</v>
      </c>
      <c r="B1777" s="2">
        <v>46262</v>
      </c>
      <c r="C1777" t="s">
        <v>191</v>
      </c>
      <c r="D1777" t="s">
        <v>192</v>
      </c>
      <c r="E1777" t="str">
        <f>_xlfn.XLOOKUP(Sales[[#This Row],[Product Name]],Products[Product Name],Products[Category])</f>
        <v>Sides</v>
      </c>
      <c r="F1777" t="s">
        <v>444</v>
      </c>
      <c r="G1777" t="s">
        <v>452</v>
      </c>
      <c r="H1777">
        <v>39</v>
      </c>
      <c r="I1777" s="5">
        <f>_xlfn.XLOOKUP(Sales[[#This Row],[Product Name]],Products[Product Name],Products[Selling Price (CAD)])</f>
        <v>3.99</v>
      </c>
      <c r="J1777" s="5">
        <f>PRODUCT(Sales[[#This Row],[Quantity Sold]],Sales[[#This Row],[Unit Selling Price (CAD)]])</f>
        <v>155.61000000000001</v>
      </c>
    </row>
    <row r="1778" spans="1:10">
      <c r="A1778" t="s">
        <v>2226</v>
      </c>
      <c r="B1778" s="2">
        <v>46262</v>
      </c>
      <c r="C1778" t="s">
        <v>52</v>
      </c>
      <c r="D1778" t="s">
        <v>53</v>
      </c>
      <c r="E1778" t="str">
        <f>_xlfn.XLOOKUP(Sales[[#This Row],[Product Name]],Products[Product Name],Products[Category])</f>
        <v>Burgers</v>
      </c>
      <c r="F1778" t="s">
        <v>447</v>
      </c>
      <c r="G1778" t="s">
        <v>454</v>
      </c>
      <c r="H1778">
        <v>62</v>
      </c>
      <c r="I1778" s="5">
        <f>_xlfn.XLOOKUP(Sales[[#This Row],[Product Name]],Products[Product Name],Products[Selling Price (CAD)])</f>
        <v>6.99</v>
      </c>
      <c r="J1778" s="5">
        <f>PRODUCT(Sales[[#This Row],[Quantity Sold]],Sales[[#This Row],[Unit Selling Price (CAD)]])</f>
        <v>433.38</v>
      </c>
    </row>
    <row r="1779" spans="1:10">
      <c r="A1779" t="s">
        <v>2227</v>
      </c>
      <c r="B1779" s="2">
        <v>46263</v>
      </c>
      <c r="C1779" t="s">
        <v>105</v>
      </c>
      <c r="D1779" t="s">
        <v>106</v>
      </c>
      <c r="E1779" t="str">
        <f>_xlfn.XLOOKUP(Sales[[#This Row],[Product Name]],Products[Product Name],Products[Category])</f>
        <v>Chicken</v>
      </c>
      <c r="F1779" t="s">
        <v>444</v>
      </c>
      <c r="G1779" t="s">
        <v>445</v>
      </c>
      <c r="H1779">
        <v>35</v>
      </c>
      <c r="I1779" s="5">
        <f>_xlfn.XLOOKUP(Sales[[#This Row],[Product Name]],Products[Product Name],Products[Selling Price (CAD)])</f>
        <v>4.99</v>
      </c>
      <c r="J1779" s="5">
        <f>PRODUCT(Sales[[#This Row],[Quantity Sold]],Sales[[#This Row],[Unit Selling Price (CAD)]])</f>
        <v>174.65</v>
      </c>
    </row>
    <row r="1780" spans="1:10">
      <c r="A1780" t="s">
        <v>2228</v>
      </c>
      <c r="B1780" s="2">
        <v>46263</v>
      </c>
      <c r="C1780" t="s">
        <v>295</v>
      </c>
      <c r="D1780" t="s">
        <v>296</v>
      </c>
      <c r="E1780" t="str">
        <f>_xlfn.XLOOKUP(Sales[[#This Row],[Product Name]],Products[Product Name],Products[Category])</f>
        <v>Beverages</v>
      </c>
      <c r="F1780" t="s">
        <v>449</v>
      </c>
      <c r="G1780" t="s">
        <v>454</v>
      </c>
      <c r="H1780">
        <v>42</v>
      </c>
      <c r="I1780" s="5">
        <f>_xlfn.XLOOKUP(Sales[[#This Row],[Product Name]],Products[Product Name],Products[Selling Price (CAD)])</f>
        <v>2.99</v>
      </c>
      <c r="J1780" s="5">
        <f>PRODUCT(Sales[[#This Row],[Quantity Sold]],Sales[[#This Row],[Unit Selling Price (CAD)]])</f>
        <v>125.58000000000001</v>
      </c>
    </row>
    <row r="1781" spans="1:10">
      <c r="A1781" t="s">
        <v>2229</v>
      </c>
      <c r="B1781" s="2">
        <v>46263</v>
      </c>
      <c r="C1781" t="s">
        <v>89</v>
      </c>
      <c r="D1781" t="s">
        <v>90</v>
      </c>
      <c r="E1781" t="str">
        <f>_xlfn.XLOOKUP(Sales[[#This Row],[Product Name]],Products[Product Name],Products[Category])</f>
        <v>Chicken</v>
      </c>
      <c r="F1781" t="s">
        <v>444</v>
      </c>
      <c r="G1781" t="s">
        <v>450</v>
      </c>
      <c r="H1781">
        <v>50</v>
      </c>
      <c r="I1781" s="5">
        <f>_xlfn.XLOOKUP(Sales[[#This Row],[Product Name]],Products[Product Name],Products[Selling Price (CAD)])</f>
        <v>7.49</v>
      </c>
      <c r="J1781" s="5">
        <f>PRODUCT(Sales[[#This Row],[Quantity Sold]],Sales[[#This Row],[Unit Selling Price (CAD)]])</f>
        <v>374.5</v>
      </c>
    </row>
    <row r="1782" spans="1:10">
      <c r="A1782" t="s">
        <v>2230</v>
      </c>
      <c r="B1782" s="2">
        <v>46263</v>
      </c>
      <c r="C1782" t="s">
        <v>183</v>
      </c>
      <c r="D1782" t="s">
        <v>184</v>
      </c>
      <c r="E1782" t="str">
        <f>_xlfn.XLOOKUP(Sales[[#This Row],[Product Name]],Products[Product Name],Products[Category])</f>
        <v>Sides</v>
      </c>
      <c r="F1782" t="s">
        <v>444</v>
      </c>
      <c r="G1782" t="s">
        <v>452</v>
      </c>
      <c r="H1782">
        <v>38</v>
      </c>
      <c r="I1782" s="5">
        <f>_xlfn.XLOOKUP(Sales[[#This Row],[Product Name]],Products[Product Name],Products[Selling Price (CAD)])</f>
        <v>2.99</v>
      </c>
      <c r="J1782" s="5">
        <f>PRODUCT(Sales[[#This Row],[Quantity Sold]],Sales[[#This Row],[Unit Selling Price (CAD)]])</f>
        <v>113.62</v>
      </c>
    </row>
    <row r="1783" spans="1:10">
      <c r="A1783" t="s">
        <v>2231</v>
      </c>
      <c r="B1783" s="2">
        <v>46263</v>
      </c>
      <c r="C1783" t="s">
        <v>105</v>
      </c>
      <c r="D1783" t="s">
        <v>106</v>
      </c>
      <c r="E1783" t="str">
        <f>_xlfn.XLOOKUP(Sales[[#This Row],[Product Name]],Products[Product Name],Products[Category])</f>
        <v>Chicken</v>
      </c>
      <c r="F1783" t="s">
        <v>447</v>
      </c>
      <c r="G1783" t="s">
        <v>445</v>
      </c>
      <c r="H1783">
        <v>38</v>
      </c>
      <c r="I1783" s="5">
        <f>_xlfn.XLOOKUP(Sales[[#This Row],[Product Name]],Products[Product Name],Products[Selling Price (CAD)])</f>
        <v>4.99</v>
      </c>
      <c r="J1783" s="5">
        <f>PRODUCT(Sales[[#This Row],[Quantity Sold]],Sales[[#This Row],[Unit Selling Price (CAD)]])</f>
        <v>189.62</v>
      </c>
    </row>
    <row r="1784" spans="1:10">
      <c r="A1784" t="s">
        <v>2232</v>
      </c>
      <c r="B1784" s="2">
        <v>46263</v>
      </c>
      <c r="C1784" t="s">
        <v>103</v>
      </c>
      <c r="D1784" t="s">
        <v>104</v>
      </c>
      <c r="E1784" t="str">
        <f>_xlfn.XLOOKUP(Sales[[#This Row],[Product Name]],Products[Product Name],Products[Category])</f>
        <v>Chicken</v>
      </c>
      <c r="F1784" t="s">
        <v>444</v>
      </c>
      <c r="G1784" t="s">
        <v>454</v>
      </c>
      <c r="H1784">
        <v>61</v>
      </c>
      <c r="I1784" s="5">
        <f>_xlfn.XLOOKUP(Sales[[#This Row],[Product Name]],Products[Product Name],Products[Selling Price (CAD)])</f>
        <v>7.99</v>
      </c>
      <c r="J1784" s="5">
        <f>PRODUCT(Sales[[#This Row],[Quantity Sold]],Sales[[#This Row],[Unit Selling Price (CAD)]])</f>
        <v>487.39</v>
      </c>
    </row>
    <row r="1785" spans="1:10">
      <c r="A1785" t="s">
        <v>2233</v>
      </c>
      <c r="B1785" s="2">
        <v>46263</v>
      </c>
      <c r="C1785" t="s">
        <v>415</v>
      </c>
      <c r="D1785" t="s">
        <v>416</v>
      </c>
      <c r="E1785" t="str">
        <f>_xlfn.XLOOKUP(Sales[[#This Row],[Product Name]],Products[Product Name],Products[Category])</f>
        <v>Combo Meals</v>
      </c>
      <c r="F1785" t="s">
        <v>449</v>
      </c>
      <c r="G1785" t="s">
        <v>450</v>
      </c>
      <c r="H1785">
        <v>46</v>
      </c>
      <c r="I1785" s="5">
        <f>_xlfn.XLOOKUP(Sales[[#This Row],[Product Name]],Products[Product Name],Products[Selling Price (CAD)])</f>
        <v>9.99</v>
      </c>
      <c r="J1785" s="5">
        <f>PRODUCT(Sales[[#This Row],[Quantity Sold]],Sales[[#This Row],[Unit Selling Price (CAD)]])</f>
        <v>459.54</v>
      </c>
    </row>
    <row r="1786" spans="1:10">
      <c r="A1786" t="s">
        <v>2234</v>
      </c>
      <c r="B1786" s="2">
        <v>46263</v>
      </c>
      <c r="C1786" t="s">
        <v>327</v>
      </c>
      <c r="D1786" t="s">
        <v>328</v>
      </c>
      <c r="E1786" t="str">
        <f>_xlfn.XLOOKUP(Sales[[#This Row],[Product Name]],Products[Product Name],Products[Category])</f>
        <v>Desserts</v>
      </c>
      <c r="F1786" t="s">
        <v>449</v>
      </c>
      <c r="G1786" t="s">
        <v>450</v>
      </c>
      <c r="H1786">
        <v>65</v>
      </c>
      <c r="I1786" s="5">
        <f>_xlfn.XLOOKUP(Sales[[#This Row],[Product Name]],Products[Product Name],Products[Selling Price (CAD)])</f>
        <v>4.49</v>
      </c>
      <c r="J1786" s="5">
        <f>PRODUCT(Sales[[#This Row],[Quantity Sold]],Sales[[#This Row],[Unit Selling Price (CAD)]])</f>
        <v>291.85000000000002</v>
      </c>
    </row>
    <row r="1787" spans="1:10">
      <c r="A1787" t="s">
        <v>2235</v>
      </c>
      <c r="B1787" s="2">
        <v>46263</v>
      </c>
      <c r="C1787" t="s">
        <v>153</v>
      </c>
      <c r="D1787" t="s">
        <v>154</v>
      </c>
      <c r="E1787" t="str">
        <f>_xlfn.XLOOKUP(Sales[[#This Row],[Product Name]],Products[Product Name],Products[Category])</f>
        <v>Breakfast</v>
      </c>
      <c r="F1787" t="s">
        <v>444</v>
      </c>
      <c r="G1787" t="s">
        <v>452</v>
      </c>
      <c r="H1787">
        <v>38</v>
      </c>
      <c r="I1787" s="5">
        <f>_xlfn.XLOOKUP(Sales[[#This Row],[Product Name]],Products[Product Name],Products[Selling Price (CAD)])</f>
        <v>4.99</v>
      </c>
      <c r="J1787" s="5">
        <f>PRODUCT(Sales[[#This Row],[Quantity Sold]],Sales[[#This Row],[Unit Selling Price (CAD)]])</f>
        <v>189.62</v>
      </c>
    </row>
    <row r="1788" spans="1:10">
      <c r="A1788" t="s">
        <v>2236</v>
      </c>
      <c r="B1788" s="2">
        <v>46263</v>
      </c>
      <c r="C1788" t="s">
        <v>347</v>
      </c>
      <c r="D1788" t="s">
        <v>348</v>
      </c>
      <c r="E1788" t="str">
        <f>_xlfn.XLOOKUP(Sales[[#This Row],[Product Name]],Products[Product Name],Products[Category])</f>
        <v>Desserts</v>
      </c>
      <c r="F1788" t="s">
        <v>447</v>
      </c>
      <c r="G1788" t="s">
        <v>450</v>
      </c>
      <c r="H1788">
        <v>39</v>
      </c>
      <c r="I1788" s="5">
        <f>_xlfn.XLOOKUP(Sales[[#This Row],[Product Name]],Products[Product Name],Products[Selling Price (CAD)])</f>
        <v>4.99</v>
      </c>
      <c r="J1788" s="5">
        <f>PRODUCT(Sales[[#This Row],[Quantity Sold]],Sales[[#This Row],[Unit Selling Price (CAD)]])</f>
        <v>194.61</v>
      </c>
    </row>
    <row r="1789" spans="1:10">
      <c r="A1789" t="s">
        <v>2237</v>
      </c>
      <c r="B1789" s="2">
        <v>46264</v>
      </c>
      <c r="C1789" t="s">
        <v>209</v>
      </c>
      <c r="D1789" t="s">
        <v>210</v>
      </c>
      <c r="E1789" t="str">
        <f>_xlfn.XLOOKUP(Sales[[#This Row],[Product Name]],Products[Product Name],Products[Category])</f>
        <v>Sides</v>
      </c>
      <c r="F1789" t="s">
        <v>449</v>
      </c>
      <c r="G1789" t="s">
        <v>450</v>
      </c>
      <c r="H1789">
        <v>75</v>
      </c>
      <c r="I1789" s="5">
        <f>_xlfn.XLOOKUP(Sales[[#This Row],[Product Name]],Products[Product Name],Products[Selling Price (CAD)])</f>
        <v>4.99</v>
      </c>
      <c r="J1789" s="5">
        <f>PRODUCT(Sales[[#This Row],[Quantity Sold]],Sales[[#This Row],[Unit Selling Price (CAD)]])</f>
        <v>374.25</v>
      </c>
    </row>
    <row r="1790" spans="1:10">
      <c r="A1790" t="s">
        <v>2238</v>
      </c>
      <c r="B1790" s="2">
        <v>46264</v>
      </c>
      <c r="C1790" t="s">
        <v>199</v>
      </c>
      <c r="D1790" t="s">
        <v>200</v>
      </c>
      <c r="E1790" t="str">
        <f>_xlfn.XLOOKUP(Sales[[#This Row],[Product Name]],Products[Product Name],Products[Category])</f>
        <v>Sides</v>
      </c>
      <c r="F1790" t="s">
        <v>444</v>
      </c>
      <c r="G1790" t="s">
        <v>452</v>
      </c>
      <c r="H1790">
        <v>46</v>
      </c>
      <c r="I1790" s="5">
        <f>_xlfn.XLOOKUP(Sales[[#This Row],[Product Name]],Products[Product Name],Products[Selling Price (CAD)])</f>
        <v>4.99</v>
      </c>
      <c r="J1790" s="5">
        <f>PRODUCT(Sales[[#This Row],[Quantity Sold]],Sales[[#This Row],[Unit Selling Price (CAD)]])</f>
        <v>229.54000000000002</v>
      </c>
    </row>
    <row r="1791" spans="1:10">
      <c r="A1791" t="s">
        <v>2239</v>
      </c>
      <c r="B1791" s="2">
        <v>46264</v>
      </c>
      <c r="C1791" t="s">
        <v>413</v>
      </c>
      <c r="D1791" t="s">
        <v>414</v>
      </c>
      <c r="E1791" t="str">
        <f>_xlfn.XLOOKUP(Sales[[#This Row],[Product Name]],Products[Product Name],Products[Category])</f>
        <v>Combo Meals</v>
      </c>
      <c r="F1791" t="s">
        <v>447</v>
      </c>
      <c r="G1791" t="s">
        <v>452</v>
      </c>
      <c r="H1791">
        <v>37</v>
      </c>
      <c r="I1791" s="5">
        <f>_xlfn.XLOOKUP(Sales[[#This Row],[Product Name]],Products[Product Name],Products[Selling Price (CAD)])</f>
        <v>10.99</v>
      </c>
      <c r="J1791" s="5">
        <f>PRODUCT(Sales[[#This Row],[Quantity Sold]],Sales[[#This Row],[Unit Selling Price (CAD)]])</f>
        <v>406.63</v>
      </c>
    </row>
    <row r="1792" spans="1:10">
      <c r="A1792" t="s">
        <v>2240</v>
      </c>
      <c r="B1792" s="2">
        <v>46264</v>
      </c>
      <c r="C1792" t="s">
        <v>185</v>
      </c>
      <c r="D1792" t="s">
        <v>186</v>
      </c>
      <c r="E1792" t="str">
        <f>_xlfn.XLOOKUP(Sales[[#This Row],[Product Name]],Products[Product Name],Products[Category])</f>
        <v>Sides</v>
      </c>
      <c r="F1792" t="s">
        <v>444</v>
      </c>
      <c r="G1792" t="s">
        <v>450</v>
      </c>
      <c r="H1792">
        <v>64</v>
      </c>
      <c r="I1792" s="5">
        <f>_xlfn.XLOOKUP(Sales[[#This Row],[Product Name]],Products[Product Name],Products[Selling Price (CAD)])</f>
        <v>3.49</v>
      </c>
      <c r="J1792" s="5">
        <f>PRODUCT(Sales[[#This Row],[Quantity Sold]],Sales[[#This Row],[Unit Selling Price (CAD)]])</f>
        <v>223.36</v>
      </c>
    </row>
    <row r="1793" spans="1:10">
      <c r="A1793" t="s">
        <v>2241</v>
      </c>
      <c r="B1793" s="2">
        <v>46264</v>
      </c>
      <c r="C1793" t="s">
        <v>199</v>
      </c>
      <c r="D1793" t="s">
        <v>200</v>
      </c>
      <c r="E1793" t="str">
        <f>_xlfn.XLOOKUP(Sales[[#This Row],[Product Name]],Products[Product Name],Products[Category])</f>
        <v>Sides</v>
      </c>
      <c r="F1793" t="s">
        <v>444</v>
      </c>
      <c r="G1793" t="s">
        <v>450</v>
      </c>
      <c r="H1793">
        <v>73</v>
      </c>
      <c r="I1793" s="5">
        <f>_xlfn.XLOOKUP(Sales[[#This Row],[Product Name]],Products[Product Name],Products[Selling Price (CAD)])</f>
        <v>4.99</v>
      </c>
      <c r="J1793" s="5">
        <f>PRODUCT(Sales[[#This Row],[Quantity Sold]],Sales[[#This Row],[Unit Selling Price (CAD)]])</f>
        <v>364.27000000000004</v>
      </c>
    </row>
    <row r="1794" spans="1:10">
      <c r="A1794" t="s">
        <v>2242</v>
      </c>
      <c r="B1794" s="2">
        <v>46264</v>
      </c>
      <c r="C1794" t="s">
        <v>335</v>
      </c>
      <c r="D1794" t="s">
        <v>336</v>
      </c>
      <c r="E1794" t="str">
        <f>_xlfn.XLOOKUP(Sales[[#This Row],[Product Name]],Products[Product Name],Products[Category])</f>
        <v>Desserts</v>
      </c>
      <c r="F1794" t="s">
        <v>449</v>
      </c>
      <c r="G1794" t="s">
        <v>450</v>
      </c>
      <c r="H1794">
        <v>75</v>
      </c>
      <c r="I1794" s="5">
        <f>_xlfn.XLOOKUP(Sales[[#This Row],[Product Name]],Products[Product Name],Products[Selling Price (CAD)])</f>
        <v>1.49</v>
      </c>
      <c r="J1794" s="5">
        <f>PRODUCT(Sales[[#This Row],[Quantity Sold]],Sales[[#This Row],[Unit Selling Price (CAD)]])</f>
        <v>111.75</v>
      </c>
    </row>
    <row r="1795" spans="1:10">
      <c r="A1795" t="s">
        <v>2243</v>
      </c>
      <c r="B1795" s="2">
        <v>46264</v>
      </c>
      <c r="C1795" t="s">
        <v>277</v>
      </c>
      <c r="D1795" t="s">
        <v>278</v>
      </c>
      <c r="E1795" t="str">
        <f>_xlfn.XLOOKUP(Sales[[#This Row],[Product Name]],Products[Product Name],Products[Category])</f>
        <v>Beverages</v>
      </c>
      <c r="F1795" t="s">
        <v>447</v>
      </c>
      <c r="G1795" t="s">
        <v>452</v>
      </c>
      <c r="H1795">
        <v>40</v>
      </c>
      <c r="I1795" s="5">
        <f>_xlfn.XLOOKUP(Sales[[#This Row],[Product Name]],Products[Product Name],Products[Selling Price (CAD)])</f>
        <v>1.99</v>
      </c>
      <c r="J1795" s="5">
        <f>PRODUCT(Sales[[#This Row],[Quantity Sold]],Sales[[#This Row],[Unit Selling Price (CAD)]])</f>
        <v>79.599999999999994</v>
      </c>
    </row>
    <row r="1796" spans="1:10">
      <c r="A1796" t="s">
        <v>2244</v>
      </c>
      <c r="B1796" s="2">
        <v>46265</v>
      </c>
      <c r="C1796" t="s">
        <v>293</v>
      </c>
      <c r="D1796" t="s">
        <v>294</v>
      </c>
      <c r="E1796" t="str">
        <f>_xlfn.XLOOKUP(Sales[[#This Row],[Product Name]],Products[Product Name],Products[Category])</f>
        <v>Beverages</v>
      </c>
      <c r="F1796" t="s">
        <v>444</v>
      </c>
      <c r="G1796" t="s">
        <v>454</v>
      </c>
      <c r="H1796">
        <v>63</v>
      </c>
      <c r="I1796" s="5">
        <f>_xlfn.XLOOKUP(Sales[[#This Row],[Product Name]],Products[Product Name],Products[Selling Price (CAD)])</f>
        <v>3.99</v>
      </c>
      <c r="J1796" s="5">
        <f>PRODUCT(Sales[[#This Row],[Quantity Sold]],Sales[[#This Row],[Unit Selling Price (CAD)]])</f>
        <v>251.37</v>
      </c>
    </row>
    <row r="1797" spans="1:10">
      <c r="A1797" t="s">
        <v>2245</v>
      </c>
      <c r="B1797" s="2">
        <v>46265</v>
      </c>
      <c r="C1797" t="s">
        <v>380</v>
      </c>
      <c r="D1797" t="s">
        <v>381</v>
      </c>
      <c r="E1797" t="str">
        <f>_xlfn.XLOOKUP(Sales[[#This Row],[Product Name]],Products[Product Name],Products[Category])</f>
        <v>Kids Meals</v>
      </c>
      <c r="F1797" t="s">
        <v>449</v>
      </c>
      <c r="G1797" t="s">
        <v>450</v>
      </c>
      <c r="H1797">
        <v>69</v>
      </c>
      <c r="I1797" s="5">
        <f>_xlfn.XLOOKUP(Sales[[#This Row],[Product Name]],Products[Product Name],Products[Selling Price (CAD)])</f>
        <v>5.99</v>
      </c>
      <c r="J1797" s="5">
        <f>PRODUCT(Sales[[#This Row],[Quantity Sold]],Sales[[#This Row],[Unit Selling Price (CAD)]])</f>
        <v>413.31</v>
      </c>
    </row>
    <row r="1798" spans="1:10">
      <c r="A1798" t="s">
        <v>2246</v>
      </c>
      <c r="B1798" s="2">
        <v>46265</v>
      </c>
      <c r="C1798" t="s">
        <v>386</v>
      </c>
      <c r="D1798" t="s">
        <v>387</v>
      </c>
      <c r="E1798" t="str">
        <f>_xlfn.XLOOKUP(Sales[[#This Row],[Product Name]],Products[Product Name],Products[Category])</f>
        <v>Sauces &amp; Add-ons</v>
      </c>
      <c r="F1798" t="s">
        <v>444</v>
      </c>
      <c r="G1798" t="s">
        <v>450</v>
      </c>
      <c r="H1798">
        <v>71</v>
      </c>
      <c r="I1798" s="5">
        <f>_xlfn.XLOOKUP(Sales[[#This Row],[Product Name]],Products[Product Name],Products[Selling Price (CAD)])</f>
        <v>0.25</v>
      </c>
      <c r="J1798" s="5">
        <f>PRODUCT(Sales[[#This Row],[Quantity Sold]],Sales[[#This Row],[Unit Selling Price (CAD)]])</f>
        <v>17.75</v>
      </c>
    </row>
    <row r="1799" spans="1:10">
      <c r="A1799" t="s">
        <v>2247</v>
      </c>
      <c r="B1799" s="2">
        <v>46265</v>
      </c>
      <c r="C1799" t="s">
        <v>404</v>
      </c>
      <c r="D1799" t="s">
        <v>405</v>
      </c>
      <c r="E1799" t="str">
        <f>_xlfn.XLOOKUP(Sales[[#This Row],[Product Name]],Products[Product Name],Products[Category])</f>
        <v>Combo Meals</v>
      </c>
      <c r="F1799" t="s">
        <v>449</v>
      </c>
      <c r="G1799" t="s">
        <v>452</v>
      </c>
      <c r="H1799">
        <v>46</v>
      </c>
      <c r="I1799" s="5">
        <f>_xlfn.XLOOKUP(Sales[[#This Row],[Product Name]],Products[Product Name],Products[Selling Price (CAD)])</f>
        <v>8.99</v>
      </c>
      <c r="J1799" s="5">
        <f>PRODUCT(Sales[[#This Row],[Quantity Sold]],Sales[[#This Row],[Unit Selling Price (CAD)]])</f>
        <v>413.54</v>
      </c>
    </row>
    <row r="1800" spans="1:10">
      <c r="A1800" t="s">
        <v>2248</v>
      </c>
      <c r="B1800" s="2">
        <v>46265</v>
      </c>
      <c r="C1800" t="s">
        <v>62</v>
      </c>
      <c r="D1800" t="s">
        <v>63</v>
      </c>
      <c r="E1800" t="str">
        <f>_xlfn.XLOOKUP(Sales[[#This Row],[Product Name]],Products[Product Name],Products[Category])</f>
        <v>Burgers</v>
      </c>
      <c r="F1800" t="s">
        <v>447</v>
      </c>
      <c r="G1800" t="s">
        <v>454</v>
      </c>
      <c r="H1800">
        <v>45</v>
      </c>
      <c r="I1800" s="5">
        <f>_xlfn.XLOOKUP(Sales[[#This Row],[Product Name]],Products[Product Name],Products[Selling Price (CAD)])</f>
        <v>8.99</v>
      </c>
      <c r="J1800" s="5">
        <f>PRODUCT(Sales[[#This Row],[Quantity Sold]],Sales[[#This Row],[Unit Selling Price (CAD)]])</f>
        <v>404.55</v>
      </c>
    </row>
    <row r="1801" spans="1:10">
      <c r="A1801" t="s">
        <v>2249</v>
      </c>
      <c r="B1801" s="2">
        <v>46265</v>
      </c>
      <c r="C1801" t="s">
        <v>253</v>
      </c>
      <c r="D1801" t="s">
        <v>254</v>
      </c>
      <c r="E1801" t="str">
        <f>_xlfn.XLOOKUP(Sales[[#This Row],[Product Name]],Products[Product Name],Products[Category])</f>
        <v>Beverages</v>
      </c>
      <c r="F1801" t="s">
        <v>447</v>
      </c>
      <c r="G1801" t="s">
        <v>445</v>
      </c>
      <c r="H1801">
        <v>46</v>
      </c>
      <c r="I1801" s="5">
        <f>_xlfn.XLOOKUP(Sales[[#This Row],[Product Name]],Products[Product Name],Products[Selling Price (CAD)])</f>
        <v>1.99</v>
      </c>
      <c r="J1801" s="5">
        <f>PRODUCT(Sales[[#This Row],[Quantity Sold]],Sales[[#This Row],[Unit Selling Price (CAD)]])</f>
        <v>91.54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60CF-CF72-4623-9A94-960366F21085}">
  <dimension ref="A1:H201"/>
  <sheetViews>
    <sheetView topLeftCell="C1" zoomScaleNormal="100" workbookViewId="0">
      <pane ySplit="1" topLeftCell="A86" activePane="bottomLeft" state="frozen"/>
      <selection pane="bottomLeft" activeCell="C3" sqref="C3"/>
    </sheetView>
  </sheetViews>
  <sheetFormatPr defaultRowHeight="13.8"/>
  <cols>
    <col min="1" max="1" width="13.59765625" bestFit="1" customWidth="1"/>
    <col min="2" max="3" width="22.296875" bestFit="1" customWidth="1"/>
    <col min="4" max="4" width="15.19921875" customWidth="1"/>
    <col min="5" max="5" width="17.8984375" customWidth="1"/>
    <col min="6" max="6" width="13.59765625" customWidth="1"/>
    <col min="7" max="7" width="15.59765625" bestFit="1" customWidth="1"/>
    <col min="8" max="8" width="14.296875" bestFit="1" customWidth="1"/>
  </cols>
  <sheetData>
    <row r="1" spans="1:8">
      <c r="A1" t="s">
        <v>4</v>
      </c>
      <c r="B1" t="s">
        <v>2255</v>
      </c>
      <c r="C1" t="s">
        <v>2256</v>
      </c>
      <c r="D1" t="s">
        <v>2252</v>
      </c>
      <c r="E1" t="s">
        <v>2250</v>
      </c>
      <c r="F1" t="s">
        <v>2251</v>
      </c>
      <c r="G1" t="s">
        <v>2253</v>
      </c>
      <c r="H1" t="s">
        <v>2254</v>
      </c>
    </row>
    <row r="2" spans="1:8">
      <c r="A2" t="s">
        <v>12</v>
      </c>
      <c r="B2">
        <v>146</v>
      </c>
      <c r="C2">
        <f>Inventory[[#This Row],[Stock on Hand Aug-01]]-SUMIF(Sales!$C$1571:$C$1801,Inventory[[#This Row],[SKU]],Sales!$H$1571:$H$1801)</f>
        <v>55</v>
      </c>
      <c r="D2" s="3">
        <f>SUMIF(Sales!$C$1571:$C$1801,'Inventory for Aug-31'!A2,Sales!$H$1571:$H$1801)/31</f>
        <v>2.935483870967742</v>
      </c>
      <c r="E2">
        <v>4</v>
      </c>
      <c r="F2">
        <v>52</v>
      </c>
      <c r="G2" s="3">
        <f>Inventory[[#This Row],[Daily Demand ]]*Inventory[[#This Row],[Lead Time (Days)]]+Inventory[[#This Row],[Safety Stock]]</f>
        <v>63.741935483870968</v>
      </c>
      <c r="H2" t="str" cm="1">
        <f t="array" ref="H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3" spans="1:8">
      <c r="A3" t="s">
        <v>17</v>
      </c>
      <c r="B3">
        <v>173</v>
      </c>
      <c r="C3">
        <f>Inventory[[#This Row],[Stock on Hand Aug-01]]-SUMIF(Sales!$C$1571:$C$1801,Inventory[[#This Row],[SKU]],Sales!$H$1571:$H$1801)</f>
        <v>61</v>
      </c>
      <c r="D3" s="3">
        <f>SUMIF(Sales!$C$1571:$C$1801,'Inventory for Aug-31'!A3,Sales!$H$1571:$H$1801)/31</f>
        <v>3.6129032258064515</v>
      </c>
      <c r="E3">
        <v>4</v>
      </c>
      <c r="F3">
        <v>36</v>
      </c>
      <c r="G3" s="3">
        <f>Inventory[[#This Row],[Daily Demand ]]*Inventory[[#This Row],[Lead Time (Days)]]+Inventory[[#This Row],[Safety Stock]]</f>
        <v>50.451612903225808</v>
      </c>
      <c r="H3" t="str" cm="1">
        <f t="array" ref="H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4" spans="1:8">
      <c r="A4" t="s">
        <v>21</v>
      </c>
      <c r="B4">
        <v>118</v>
      </c>
      <c r="C4">
        <f>Inventory[[#This Row],[Stock on Hand Aug-01]]-SUMIF(Sales!$C$1571:$C$1801,Inventory[[#This Row],[SKU]],Sales!$H$1571:$H$1801)</f>
        <v>73</v>
      </c>
      <c r="D4" s="3">
        <f>SUMIF(Sales!$C$1571:$C$1801,'Inventory for Aug-31'!A4,Sales!$H$1571:$H$1801)/31</f>
        <v>1.4516129032258065</v>
      </c>
      <c r="E4">
        <v>4</v>
      </c>
      <c r="F4">
        <v>69</v>
      </c>
      <c r="G4" s="3">
        <f>Inventory[[#This Row],[Daily Demand ]]*Inventory[[#This Row],[Lead Time (Days)]]+Inventory[[#This Row],[Safety Stock]]</f>
        <v>74.806451612903231</v>
      </c>
      <c r="H4" t="str" cm="1">
        <f t="array" ref="H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5" spans="1:8">
      <c r="A5" t="s">
        <v>25</v>
      </c>
      <c r="B5">
        <v>149</v>
      </c>
      <c r="C5">
        <f>Inventory[[#This Row],[Stock on Hand Aug-01]]-SUMIF(Sales!$C$1571:$C$1801,Inventory[[#This Row],[SKU]],Sales!$H$1571:$H$1801)</f>
        <v>59</v>
      </c>
      <c r="D5" s="3">
        <f>SUMIF(Sales!$C$1571:$C$1801,'Inventory for Aug-31'!A5,Sales!$H$1571:$H$1801)/31</f>
        <v>2.903225806451613</v>
      </c>
      <c r="E5">
        <v>4</v>
      </c>
      <c r="F5">
        <v>74</v>
      </c>
      <c r="G5" s="3">
        <f>Inventory[[#This Row],[Daily Demand ]]*Inventory[[#This Row],[Lead Time (Days)]]+Inventory[[#This Row],[Safety Stock]]</f>
        <v>85.612903225806448</v>
      </c>
      <c r="H5" t="str" cm="1">
        <f t="array" ref="H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6" spans="1:8">
      <c r="A6" t="s">
        <v>28</v>
      </c>
      <c r="B6">
        <v>130</v>
      </c>
      <c r="C6">
        <f>Inventory[[#This Row],[Stock on Hand Aug-01]]-SUMIF(Sales!$C$1571:$C$1801,Inventory[[#This Row],[SKU]],Sales!$H$1571:$H$1801)</f>
        <v>69</v>
      </c>
      <c r="D6" s="3">
        <f>SUMIF(Sales!$C$1571:$C$1801,'Inventory for Aug-31'!A6,Sales!$H$1571:$H$1801)/31</f>
        <v>1.967741935483871</v>
      </c>
      <c r="E6">
        <v>4</v>
      </c>
      <c r="F6">
        <v>65</v>
      </c>
      <c r="G6" s="3">
        <f>Inventory[[#This Row],[Daily Demand ]]*Inventory[[#This Row],[Lead Time (Days)]]+Inventory[[#This Row],[Safety Stock]]</f>
        <v>72.870967741935488</v>
      </c>
      <c r="H6" t="str" cm="1">
        <f t="array" ref="H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7" spans="1:8">
      <c r="A7" t="s">
        <v>32</v>
      </c>
      <c r="B7">
        <v>144</v>
      </c>
      <c r="C7">
        <f>Inventory[[#This Row],[Stock on Hand Aug-01]]-SUMIF(Sales!$C$1571:$C$1801,Inventory[[#This Row],[SKU]],Sales!$H$1571:$H$1801)</f>
        <v>82</v>
      </c>
      <c r="D7" s="3">
        <f>SUMIF(Sales!$C$1571:$C$1801,'Inventory for Aug-31'!A7,Sales!$H$1571:$H$1801)/31</f>
        <v>2</v>
      </c>
      <c r="E7">
        <v>4</v>
      </c>
      <c r="F7">
        <v>64</v>
      </c>
      <c r="G7" s="3">
        <f>Inventory[[#This Row],[Daily Demand ]]*Inventory[[#This Row],[Lead Time (Days)]]+Inventory[[#This Row],[Safety Stock]]</f>
        <v>72</v>
      </c>
      <c r="H7" t="str" cm="1">
        <f t="array" ref="H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8" spans="1:8">
      <c r="A8" t="s">
        <v>34</v>
      </c>
      <c r="B8">
        <v>18</v>
      </c>
      <c r="C8">
        <f>Inventory[[#This Row],[Stock on Hand Aug-01]]-SUMIF(Sales!$C$1571:$C$1801,Inventory[[#This Row],[SKU]],Sales!$H$1571:$H$1801)</f>
        <v>18</v>
      </c>
      <c r="D8" s="3">
        <f>SUMIF(Sales!$C$1571:$C$1801,'Inventory for Aug-31'!A8,Sales!$H$1571:$H$1801)/31</f>
        <v>0</v>
      </c>
      <c r="E8">
        <v>4</v>
      </c>
      <c r="F8">
        <v>47</v>
      </c>
      <c r="G8" s="3">
        <f>Inventory[[#This Row],[Daily Demand ]]*Inventory[[#This Row],[Lead Time (Days)]]+Inventory[[#This Row],[Safety Stock]]</f>
        <v>47</v>
      </c>
      <c r="H8" t="str" cm="1">
        <f t="array" ref="H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9" spans="1:8">
      <c r="A9" t="s">
        <v>36</v>
      </c>
      <c r="B9">
        <v>174</v>
      </c>
      <c r="C9">
        <f>Inventory[[#This Row],[Stock on Hand Aug-01]]-SUMIF(Sales!$C$1571:$C$1801,Inventory[[#This Row],[SKU]],Sales!$H$1571:$H$1801)</f>
        <v>0</v>
      </c>
      <c r="D9" s="3">
        <f>SUMIF(Sales!$C$1571:$C$1801,'Inventory for Aug-31'!A9,Sales!$H$1571:$H$1801)/31</f>
        <v>5.612903225806452</v>
      </c>
      <c r="E9">
        <v>4</v>
      </c>
      <c r="F9">
        <v>68</v>
      </c>
      <c r="G9" s="3">
        <f>Inventory[[#This Row],[Daily Demand ]]*Inventory[[#This Row],[Lead Time (Days)]]+Inventory[[#This Row],[Safety Stock]]</f>
        <v>90.451612903225808</v>
      </c>
      <c r="H9" t="str" cm="1">
        <f t="array" ref="H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0" spans="1:8">
      <c r="A10" t="s">
        <v>38</v>
      </c>
      <c r="B10">
        <v>197</v>
      </c>
      <c r="C10">
        <f>Inventory[[#This Row],[Stock on Hand Aug-01]]-SUMIF(Sales!$C$1571:$C$1801,Inventory[[#This Row],[SKU]],Sales!$H$1571:$H$1801)</f>
        <v>50</v>
      </c>
      <c r="D10" s="3">
        <f>SUMIF(Sales!$C$1571:$C$1801,'Inventory for Aug-31'!A10,Sales!$H$1571:$H$1801)/31</f>
        <v>4.741935483870968</v>
      </c>
      <c r="E10">
        <v>4</v>
      </c>
      <c r="F10">
        <v>37</v>
      </c>
      <c r="G10" s="3">
        <f>Inventory[[#This Row],[Daily Demand ]]*Inventory[[#This Row],[Lead Time (Days)]]+Inventory[[#This Row],[Safety Stock]]</f>
        <v>55.967741935483872</v>
      </c>
      <c r="H10" t="str" cm="1">
        <f t="array" ref="H1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1" spans="1:8">
      <c r="A11" t="s">
        <v>40</v>
      </c>
      <c r="B11">
        <v>111</v>
      </c>
      <c r="C11">
        <f>Inventory[[#This Row],[Stock on Hand Aug-01]]-SUMIF(Sales!$C$1571:$C$1801,Inventory[[#This Row],[SKU]],Sales!$H$1571:$H$1801)</f>
        <v>72</v>
      </c>
      <c r="D11" s="3">
        <f>SUMIF(Sales!$C$1571:$C$1801,'Inventory for Aug-31'!A11,Sales!$H$1571:$H$1801)/31</f>
        <v>1.2580645161290323</v>
      </c>
      <c r="E11">
        <v>4</v>
      </c>
      <c r="F11">
        <v>56</v>
      </c>
      <c r="G11" s="3">
        <f>Inventory[[#This Row],[Daily Demand ]]*Inventory[[#This Row],[Lead Time (Days)]]+Inventory[[#This Row],[Safety Stock]]</f>
        <v>61.032258064516128</v>
      </c>
      <c r="H11" t="str" cm="1">
        <f t="array" ref="H1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2" spans="1:8">
      <c r="A12" t="s">
        <v>42</v>
      </c>
      <c r="B12">
        <v>187</v>
      </c>
      <c r="C12">
        <f>Inventory[[#This Row],[Stock on Hand Aug-01]]-SUMIF(Sales!$C$1571:$C$1801,Inventory[[#This Row],[SKU]],Sales!$H$1571:$H$1801)</f>
        <v>82</v>
      </c>
      <c r="D12" s="3">
        <f>SUMIF(Sales!$C$1571:$C$1801,'Inventory for Aug-31'!A12,Sales!$H$1571:$H$1801)/31</f>
        <v>3.3870967741935485</v>
      </c>
      <c r="E12">
        <v>4</v>
      </c>
      <c r="F12">
        <v>75</v>
      </c>
      <c r="G12" s="3">
        <f>Inventory[[#This Row],[Daily Demand ]]*Inventory[[#This Row],[Lead Time (Days)]]+Inventory[[#This Row],[Safety Stock]]</f>
        <v>88.548387096774192</v>
      </c>
      <c r="H12" t="str" cm="1">
        <f t="array" ref="H1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3" spans="1:8">
      <c r="A13" t="s">
        <v>44</v>
      </c>
      <c r="B13">
        <v>71</v>
      </c>
      <c r="C13">
        <f>Inventory[[#This Row],[Stock on Hand Aug-01]]-SUMIF(Sales!$C$1571:$C$1801,Inventory[[#This Row],[SKU]],Sales!$H$1571:$H$1801)</f>
        <v>19</v>
      </c>
      <c r="D13" s="3">
        <f>SUMIF(Sales!$C$1571:$C$1801,'Inventory for Aug-31'!A13,Sales!$H$1571:$H$1801)/31</f>
        <v>1.6774193548387097</v>
      </c>
      <c r="E13">
        <v>4</v>
      </c>
      <c r="F13">
        <v>49</v>
      </c>
      <c r="G13" s="3">
        <f>Inventory[[#This Row],[Daily Demand ]]*Inventory[[#This Row],[Lead Time (Days)]]+Inventory[[#This Row],[Safety Stock]]</f>
        <v>55.70967741935484</v>
      </c>
      <c r="H13" t="str" cm="1">
        <f t="array" ref="H1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4" spans="1:8">
      <c r="A14" t="s">
        <v>46</v>
      </c>
      <c r="B14">
        <v>98</v>
      </c>
      <c r="C14">
        <f>Inventory[[#This Row],[Stock on Hand Aug-01]]-SUMIF(Sales!$C$1571:$C$1801,Inventory[[#This Row],[SKU]],Sales!$H$1571:$H$1801)</f>
        <v>52</v>
      </c>
      <c r="D14" s="3">
        <f>SUMIF(Sales!$C$1571:$C$1801,'Inventory for Aug-31'!A14,Sales!$H$1571:$H$1801)/31</f>
        <v>1.4838709677419355</v>
      </c>
      <c r="E14">
        <v>4</v>
      </c>
      <c r="F14">
        <v>50</v>
      </c>
      <c r="G14" s="3">
        <f>Inventory[[#This Row],[Daily Demand ]]*Inventory[[#This Row],[Lead Time (Days)]]+Inventory[[#This Row],[Safety Stock]]</f>
        <v>55.935483870967744</v>
      </c>
      <c r="H14" t="str" cm="1">
        <f t="array" ref="H1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5" spans="1:8">
      <c r="A15" t="s">
        <v>48</v>
      </c>
      <c r="B15">
        <v>139</v>
      </c>
      <c r="C15">
        <f>Inventory[[#This Row],[Stock on Hand Aug-01]]-SUMIF(Sales!$C$1571:$C$1801,Inventory[[#This Row],[SKU]],Sales!$H$1571:$H$1801)</f>
        <v>32</v>
      </c>
      <c r="D15" s="3">
        <f>SUMIF(Sales!$C$1571:$C$1801,'Inventory for Aug-31'!A15,Sales!$H$1571:$H$1801)/31</f>
        <v>3.4516129032258065</v>
      </c>
      <c r="E15">
        <v>4</v>
      </c>
      <c r="F15">
        <v>41</v>
      </c>
      <c r="G15" s="3">
        <f>Inventory[[#This Row],[Daily Demand ]]*Inventory[[#This Row],[Lead Time (Days)]]+Inventory[[#This Row],[Safety Stock]]</f>
        <v>54.806451612903224</v>
      </c>
      <c r="H15" t="str" cm="1">
        <f t="array" ref="H1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6" spans="1:8">
      <c r="A16" t="s">
        <v>50</v>
      </c>
      <c r="B16">
        <v>264</v>
      </c>
      <c r="C16">
        <f>Inventory[[#This Row],[Stock on Hand Aug-01]]-SUMIF(Sales!$C$1571:$C$1801,Inventory[[#This Row],[SKU]],Sales!$H$1571:$H$1801)</f>
        <v>83</v>
      </c>
      <c r="D16" s="3">
        <f>SUMIF(Sales!$C$1571:$C$1801,'Inventory for Aug-31'!A16,Sales!$H$1571:$H$1801)/31</f>
        <v>5.838709677419355</v>
      </c>
      <c r="E16">
        <v>4</v>
      </c>
      <c r="F16">
        <v>66</v>
      </c>
      <c r="G16" s="3">
        <f>Inventory[[#This Row],[Daily Demand ]]*Inventory[[#This Row],[Lead Time (Days)]]+Inventory[[#This Row],[Safety Stock]]</f>
        <v>89.354838709677423</v>
      </c>
      <c r="H16" t="str" cm="1">
        <f t="array" ref="H1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7" spans="1:8">
      <c r="A17" t="s">
        <v>52</v>
      </c>
      <c r="B17">
        <v>164</v>
      </c>
      <c r="C17">
        <f>Inventory[[#This Row],[Stock on Hand Aug-01]]-SUMIF(Sales!$C$1571:$C$1801,Inventory[[#This Row],[SKU]],Sales!$H$1571:$H$1801)</f>
        <v>102</v>
      </c>
      <c r="D17" s="3">
        <f>SUMIF(Sales!$C$1571:$C$1801,'Inventory for Aug-31'!A17,Sales!$H$1571:$H$1801)/31</f>
        <v>2</v>
      </c>
      <c r="E17">
        <v>4</v>
      </c>
      <c r="F17">
        <v>74</v>
      </c>
      <c r="G17" s="3">
        <f>Inventory[[#This Row],[Daily Demand ]]*Inventory[[#This Row],[Lead Time (Days)]]+Inventory[[#This Row],[Safety Stock]]</f>
        <v>82</v>
      </c>
      <c r="H17" t="str" cm="1">
        <f t="array" ref="H1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8" spans="1:8">
      <c r="A18" t="s">
        <v>54</v>
      </c>
      <c r="B18">
        <v>14</v>
      </c>
      <c r="C18">
        <f>Inventory[[#This Row],[Stock on Hand Aug-01]]-SUMIF(Sales!$C$1571:$C$1801,Inventory[[#This Row],[SKU]],Sales!$H$1571:$H$1801)</f>
        <v>14</v>
      </c>
      <c r="D18" s="3">
        <f>SUMIF(Sales!$C$1571:$C$1801,'Inventory for Aug-31'!A18,Sales!$H$1571:$H$1801)/31</f>
        <v>0</v>
      </c>
      <c r="E18">
        <v>4</v>
      </c>
      <c r="F18">
        <v>35</v>
      </c>
      <c r="G18" s="3">
        <f>Inventory[[#This Row],[Daily Demand ]]*Inventory[[#This Row],[Lead Time (Days)]]+Inventory[[#This Row],[Safety Stock]]</f>
        <v>35</v>
      </c>
      <c r="H18" t="str" cm="1">
        <f t="array" ref="H1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9" spans="1:8">
      <c r="A19" t="s">
        <v>56</v>
      </c>
      <c r="B19">
        <v>55</v>
      </c>
      <c r="C19">
        <f>Inventory[[#This Row],[Stock on Hand Aug-01]]-SUMIF(Sales!$C$1571:$C$1801,Inventory[[#This Row],[SKU]],Sales!$H$1571:$H$1801)</f>
        <v>0</v>
      </c>
      <c r="D19" s="3">
        <f>SUMIF(Sales!$C$1571:$C$1801,'Inventory for Aug-31'!A19,Sales!$H$1571:$H$1801)/31</f>
        <v>1.7741935483870968</v>
      </c>
      <c r="E19">
        <v>4</v>
      </c>
      <c r="F19">
        <v>60</v>
      </c>
      <c r="G19" s="3">
        <f>Inventory[[#This Row],[Daily Demand ]]*Inventory[[#This Row],[Lead Time (Days)]]+Inventory[[#This Row],[Safety Stock]]</f>
        <v>67.096774193548384</v>
      </c>
      <c r="H19" t="str" cm="1">
        <f t="array" ref="H1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20" spans="1:8">
      <c r="A20" t="s">
        <v>58</v>
      </c>
      <c r="B20">
        <v>189</v>
      </c>
      <c r="C20">
        <f>Inventory[[#This Row],[Stock on Hand Aug-01]]-SUMIF(Sales!$C$1571:$C$1801,Inventory[[#This Row],[SKU]],Sales!$H$1571:$H$1801)</f>
        <v>77</v>
      </c>
      <c r="D20" s="3">
        <f>SUMIF(Sales!$C$1571:$C$1801,'Inventory for Aug-31'!A20,Sales!$H$1571:$H$1801)/31</f>
        <v>3.6129032258064515</v>
      </c>
      <c r="E20">
        <v>4</v>
      </c>
      <c r="F20">
        <v>73</v>
      </c>
      <c r="G20" s="3">
        <f>Inventory[[#This Row],[Daily Demand ]]*Inventory[[#This Row],[Lead Time (Days)]]+Inventory[[#This Row],[Safety Stock]]</f>
        <v>87.451612903225808</v>
      </c>
      <c r="H20" t="str" cm="1">
        <f t="array" ref="H2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21" spans="1:8">
      <c r="A21" t="s">
        <v>60</v>
      </c>
      <c r="B21">
        <v>88</v>
      </c>
      <c r="C21">
        <f>Inventory[[#This Row],[Stock on Hand Aug-01]]-SUMIF(Sales!$C$1571:$C$1801,Inventory[[#This Row],[SKU]],Sales!$H$1571:$H$1801)</f>
        <v>88</v>
      </c>
      <c r="D21" s="3">
        <f>SUMIF(Sales!$C$1571:$C$1801,'Inventory for Aug-31'!A21,Sales!$H$1571:$H$1801)/31</f>
        <v>0</v>
      </c>
      <c r="E21">
        <v>4</v>
      </c>
      <c r="F21">
        <v>68</v>
      </c>
      <c r="G21" s="3">
        <f>Inventory[[#This Row],[Daily Demand ]]*Inventory[[#This Row],[Lead Time (Days)]]+Inventory[[#This Row],[Safety Stock]]</f>
        <v>68</v>
      </c>
      <c r="H21" t="str" cm="1">
        <f t="array" ref="H2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22" spans="1:8">
      <c r="A22" t="s">
        <v>62</v>
      </c>
      <c r="B22">
        <v>194</v>
      </c>
      <c r="C22">
        <f>Inventory[[#This Row],[Stock on Hand Aug-01]]-SUMIF(Sales!$C$1571:$C$1801,Inventory[[#This Row],[SKU]],Sales!$H$1571:$H$1801)</f>
        <v>14</v>
      </c>
      <c r="D22" s="3">
        <f>SUMIF(Sales!$C$1571:$C$1801,'Inventory for Aug-31'!A22,Sales!$H$1571:$H$1801)/31</f>
        <v>5.806451612903226</v>
      </c>
      <c r="E22">
        <v>4</v>
      </c>
      <c r="F22">
        <v>71</v>
      </c>
      <c r="G22" s="3">
        <f>Inventory[[#This Row],[Daily Demand ]]*Inventory[[#This Row],[Lead Time (Days)]]+Inventory[[#This Row],[Safety Stock]]</f>
        <v>94.225806451612897</v>
      </c>
      <c r="H22" t="str" cm="1">
        <f t="array" ref="H2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23" spans="1:8">
      <c r="A23" t="s">
        <v>64</v>
      </c>
      <c r="B23">
        <v>99</v>
      </c>
      <c r="C23">
        <f>Inventory[[#This Row],[Stock on Hand Aug-01]]-SUMIF(Sales!$C$1571:$C$1801,Inventory[[#This Row],[SKU]],Sales!$H$1571:$H$1801)</f>
        <v>47</v>
      </c>
      <c r="D23" s="3">
        <f>SUMIF(Sales!$C$1571:$C$1801,'Inventory for Aug-31'!A23,Sales!$H$1571:$H$1801)/31</f>
        <v>1.6774193548387097</v>
      </c>
      <c r="E23">
        <v>4</v>
      </c>
      <c r="F23">
        <v>45</v>
      </c>
      <c r="G23" s="3">
        <f>Inventory[[#This Row],[Daily Demand ]]*Inventory[[#This Row],[Lead Time (Days)]]+Inventory[[#This Row],[Safety Stock]]</f>
        <v>51.70967741935484</v>
      </c>
      <c r="H23" t="str" cm="1">
        <f t="array" ref="H2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24" spans="1:8">
      <c r="A24" t="s">
        <v>66</v>
      </c>
      <c r="B24">
        <v>84</v>
      </c>
      <c r="C24">
        <f>Inventory[[#This Row],[Stock on Hand Aug-01]]-SUMIF(Sales!$C$1571:$C$1801,Inventory[[#This Row],[SKU]],Sales!$H$1571:$H$1801)</f>
        <v>31</v>
      </c>
      <c r="D24" s="3">
        <f>SUMIF(Sales!$C$1571:$C$1801,'Inventory for Aug-31'!A24,Sales!$H$1571:$H$1801)/31</f>
        <v>1.7096774193548387</v>
      </c>
      <c r="E24">
        <v>4</v>
      </c>
      <c r="F24">
        <v>53</v>
      </c>
      <c r="G24" s="3">
        <f>Inventory[[#This Row],[Daily Demand ]]*Inventory[[#This Row],[Lead Time (Days)]]+Inventory[[#This Row],[Safety Stock]]</f>
        <v>59.838709677419352</v>
      </c>
      <c r="H24" t="str" cm="1">
        <f t="array" ref="H2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25" spans="1:8">
      <c r="A25" t="s">
        <v>68</v>
      </c>
      <c r="B25">
        <v>166</v>
      </c>
      <c r="C25">
        <f>Inventory[[#This Row],[Stock on Hand Aug-01]]-SUMIF(Sales!$C$1571:$C$1801,Inventory[[#This Row],[SKU]],Sales!$H$1571:$H$1801)</f>
        <v>53</v>
      </c>
      <c r="D25" s="3">
        <f>SUMIF(Sales!$C$1571:$C$1801,'Inventory for Aug-31'!A25,Sales!$H$1571:$H$1801)/31</f>
        <v>3.6451612903225805</v>
      </c>
      <c r="E25">
        <v>4</v>
      </c>
      <c r="F25">
        <v>43</v>
      </c>
      <c r="G25" s="3">
        <f>Inventory[[#This Row],[Daily Demand ]]*Inventory[[#This Row],[Lead Time (Days)]]+Inventory[[#This Row],[Safety Stock]]</f>
        <v>57.58064516129032</v>
      </c>
      <c r="H25" t="str" cm="1">
        <f t="array" ref="H2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26" spans="1:8">
      <c r="A26" t="s">
        <v>70</v>
      </c>
      <c r="B26">
        <v>130</v>
      </c>
      <c r="C26">
        <f>Inventory[[#This Row],[Stock on Hand Aug-01]]-SUMIF(Sales!$C$1571:$C$1801,Inventory[[#This Row],[SKU]],Sales!$H$1571:$H$1801)</f>
        <v>55</v>
      </c>
      <c r="D26" s="3">
        <f>SUMIF(Sales!$C$1571:$C$1801,'Inventory for Aug-31'!A26,Sales!$H$1571:$H$1801)/31</f>
        <v>2.4193548387096775</v>
      </c>
      <c r="E26">
        <v>4</v>
      </c>
      <c r="F26">
        <v>40</v>
      </c>
      <c r="G26" s="3">
        <f>Inventory[[#This Row],[Daily Demand ]]*Inventory[[#This Row],[Lead Time (Days)]]+Inventory[[#This Row],[Safety Stock]]</f>
        <v>49.677419354838712</v>
      </c>
      <c r="H26" t="str" cm="1">
        <f t="array" ref="H2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27" spans="1:8">
      <c r="A27" t="s">
        <v>72</v>
      </c>
      <c r="B27">
        <v>10</v>
      </c>
      <c r="C27">
        <f>Inventory[[#This Row],[Stock on Hand Aug-01]]-SUMIF(Sales!$C$1571:$C$1801,Inventory[[#This Row],[SKU]],Sales!$H$1571:$H$1801)</f>
        <v>10</v>
      </c>
      <c r="D27" s="3">
        <f>SUMIF(Sales!$C$1571:$C$1801,'Inventory for Aug-31'!A27,Sales!$H$1571:$H$1801)/31</f>
        <v>0</v>
      </c>
      <c r="E27">
        <v>4</v>
      </c>
      <c r="F27">
        <v>54</v>
      </c>
      <c r="G27" s="3">
        <f>Inventory[[#This Row],[Daily Demand ]]*Inventory[[#This Row],[Lead Time (Days)]]+Inventory[[#This Row],[Safety Stock]]</f>
        <v>54</v>
      </c>
      <c r="H27" t="str" cm="1">
        <f t="array" ref="H2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28" spans="1:8">
      <c r="A28" t="s">
        <v>74</v>
      </c>
      <c r="B28">
        <v>67</v>
      </c>
      <c r="C28">
        <f>Inventory[[#This Row],[Stock on Hand Aug-01]]-SUMIF(Sales!$C$1571:$C$1801,Inventory[[#This Row],[SKU]],Sales!$H$1571:$H$1801)</f>
        <v>67</v>
      </c>
      <c r="D28" s="3">
        <f>SUMIF(Sales!$C$1571:$C$1801,'Inventory for Aug-31'!A28,Sales!$H$1571:$H$1801)/31</f>
        <v>0</v>
      </c>
      <c r="E28">
        <v>4</v>
      </c>
      <c r="F28">
        <v>52</v>
      </c>
      <c r="G28" s="3">
        <f>Inventory[[#This Row],[Daily Demand ]]*Inventory[[#This Row],[Lead Time (Days)]]+Inventory[[#This Row],[Safety Stock]]</f>
        <v>52</v>
      </c>
      <c r="H28" t="str" cm="1">
        <f t="array" ref="H2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29" spans="1:8">
      <c r="A29" t="s">
        <v>76</v>
      </c>
      <c r="B29">
        <v>0</v>
      </c>
      <c r="C29">
        <f>Inventory[[#This Row],[Stock on Hand Aug-01]]-SUMIF(Sales!$C$1571:$C$1801,Inventory[[#This Row],[SKU]],Sales!$H$1571:$H$1801)</f>
        <v>0</v>
      </c>
      <c r="D29" s="3">
        <f>SUMIF(Sales!$C$1571:$C$1801,'Inventory for Aug-31'!A29,Sales!$H$1571:$H$1801)/31</f>
        <v>0</v>
      </c>
      <c r="E29">
        <v>4</v>
      </c>
      <c r="F29">
        <v>58</v>
      </c>
      <c r="G29" s="3">
        <f>Inventory[[#This Row],[Daily Demand ]]*Inventory[[#This Row],[Lead Time (Days)]]+Inventory[[#This Row],[Safety Stock]]</f>
        <v>58</v>
      </c>
      <c r="H29" t="str" cm="1">
        <f t="array" ref="H2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30" spans="1:8">
      <c r="A30" t="s">
        <v>78</v>
      </c>
      <c r="B30">
        <v>51</v>
      </c>
      <c r="C30">
        <f>Inventory[[#This Row],[Stock on Hand Aug-01]]-SUMIF(Sales!$C$1571:$C$1801,Inventory[[#This Row],[SKU]],Sales!$H$1571:$H$1801)</f>
        <v>51</v>
      </c>
      <c r="D30" s="3">
        <f>SUMIF(Sales!$C$1571:$C$1801,'Inventory for Aug-31'!A30,Sales!$H$1571:$H$1801)/31</f>
        <v>0</v>
      </c>
      <c r="E30">
        <v>4</v>
      </c>
      <c r="F30">
        <v>64</v>
      </c>
      <c r="G30" s="3">
        <f>Inventory[[#This Row],[Daily Demand ]]*Inventory[[#This Row],[Lead Time (Days)]]+Inventory[[#This Row],[Safety Stock]]</f>
        <v>64</v>
      </c>
      <c r="H30" t="str" cm="1">
        <f t="array" ref="H3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31" spans="1:8">
      <c r="A31" t="s">
        <v>80</v>
      </c>
      <c r="B31">
        <v>114</v>
      </c>
      <c r="C31">
        <f>Inventory[[#This Row],[Stock on Hand Aug-01]]-SUMIF(Sales!$C$1571:$C$1801,Inventory[[#This Row],[SKU]],Sales!$H$1571:$H$1801)</f>
        <v>79</v>
      </c>
      <c r="D31" s="3">
        <f>SUMIF(Sales!$C$1571:$C$1801,'Inventory for Aug-31'!A31,Sales!$H$1571:$H$1801)/31</f>
        <v>1.1290322580645162</v>
      </c>
      <c r="E31">
        <v>4</v>
      </c>
      <c r="F31">
        <v>64</v>
      </c>
      <c r="G31" s="3">
        <f>Inventory[[#This Row],[Daily Demand ]]*Inventory[[#This Row],[Lead Time (Days)]]+Inventory[[#This Row],[Safety Stock]]</f>
        <v>68.516129032258064</v>
      </c>
      <c r="H31" t="str" cm="1">
        <f t="array" ref="H3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32" spans="1:8">
      <c r="A32" t="s">
        <v>82</v>
      </c>
      <c r="B32">
        <v>94</v>
      </c>
      <c r="C32">
        <f>Inventory[[#This Row],[Stock on Hand Aug-01]]-SUMIF(Sales!$C$1571:$C$1801,Inventory[[#This Row],[SKU]],Sales!$H$1571:$H$1801)</f>
        <v>32</v>
      </c>
      <c r="D32" s="3">
        <f>SUMIF(Sales!$C$1571:$C$1801,'Inventory for Aug-31'!A32,Sales!$H$1571:$H$1801)/31</f>
        <v>2</v>
      </c>
      <c r="E32">
        <v>4</v>
      </c>
      <c r="F32">
        <v>30</v>
      </c>
      <c r="G32" s="3">
        <f>Inventory[[#This Row],[Daily Demand ]]*Inventory[[#This Row],[Lead Time (Days)]]+Inventory[[#This Row],[Safety Stock]]</f>
        <v>38</v>
      </c>
      <c r="H32" t="str" cm="1">
        <f t="array" ref="H3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33" spans="1:8">
      <c r="A33" t="s">
        <v>85</v>
      </c>
      <c r="B33">
        <v>157</v>
      </c>
      <c r="C33">
        <f>Inventory[[#This Row],[Stock on Hand Aug-01]]-SUMIF(Sales!$C$1571:$C$1801,Inventory[[#This Row],[SKU]],Sales!$H$1571:$H$1801)</f>
        <v>25</v>
      </c>
      <c r="D33" s="3">
        <f>SUMIF(Sales!$C$1571:$C$1801,'Inventory for Aug-31'!A33,Sales!$H$1571:$H$1801)/31</f>
        <v>4.258064516129032</v>
      </c>
      <c r="E33">
        <v>4</v>
      </c>
      <c r="F33">
        <v>63</v>
      </c>
      <c r="G33" s="3">
        <f>Inventory[[#This Row],[Daily Demand ]]*Inventory[[#This Row],[Lead Time (Days)]]+Inventory[[#This Row],[Safety Stock]]</f>
        <v>80.032258064516128</v>
      </c>
      <c r="H33" t="str" cm="1">
        <f t="array" ref="H3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34" spans="1:8">
      <c r="A34" t="s">
        <v>87</v>
      </c>
      <c r="B34">
        <v>156</v>
      </c>
      <c r="C34">
        <f>Inventory[[#This Row],[Stock on Hand Aug-01]]-SUMIF(Sales!$C$1571:$C$1801,Inventory[[#This Row],[SKU]],Sales!$H$1571:$H$1801)</f>
        <v>64</v>
      </c>
      <c r="D34" s="3">
        <f>SUMIF(Sales!$C$1571:$C$1801,'Inventory for Aug-31'!A34,Sales!$H$1571:$H$1801)/31</f>
        <v>2.967741935483871</v>
      </c>
      <c r="E34">
        <v>4</v>
      </c>
      <c r="F34">
        <v>56</v>
      </c>
      <c r="G34" s="3">
        <f>Inventory[[#This Row],[Daily Demand ]]*Inventory[[#This Row],[Lead Time (Days)]]+Inventory[[#This Row],[Safety Stock]]</f>
        <v>67.870967741935488</v>
      </c>
      <c r="H34" t="str" cm="1">
        <f t="array" ref="H3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35" spans="1:8">
      <c r="A35" t="s">
        <v>89</v>
      </c>
      <c r="B35">
        <v>117</v>
      </c>
      <c r="C35">
        <f>Inventory[[#This Row],[Stock on Hand Aug-01]]-SUMIF(Sales!$C$1571:$C$1801,Inventory[[#This Row],[SKU]],Sales!$H$1571:$H$1801)</f>
        <v>36</v>
      </c>
      <c r="D35" s="3">
        <f>SUMIF(Sales!$C$1571:$C$1801,'Inventory for Aug-31'!A35,Sales!$H$1571:$H$1801)/31</f>
        <v>2.6129032258064515</v>
      </c>
      <c r="E35">
        <v>4</v>
      </c>
      <c r="F35">
        <v>45</v>
      </c>
      <c r="G35" s="3">
        <f>Inventory[[#This Row],[Daily Demand ]]*Inventory[[#This Row],[Lead Time (Days)]]+Inventory[[#This Row],[Safety Stock]]</f>
        <v>55.451612903225808</v>
      </c>
      <c r="H35" t="str" cm="1">
        <f t="array" ref="H3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36" spans="1:8">
      <c r="A36" t="s">
        <v>91</v>
      </c>
      <c r="B36">
        <v>68</v>
      </c>
      <c r="C36">
        <f>Inventory[[#This Row],[Stock on Hand Aug-01]]-SUMIF(Sales!$C$1571:$C$1801,Inventory[[#This Row],[SKU]],Sales!$H$1571:$H$1801)</f>
        <v>68</v>
      </c>
      <c r="D36" s="3">
        <f>SUMIF(Sales!$C$1571:$C$1801,'Inventory for Aug-31'!A36,Sales!$H$1571:$H$1801)/31</f>
        <v>0</v>
      </c>
      <c r="E36">
        <v>4</v>
      </c>
      <c r="F36">
        <v>53</v>
      </c>
      <c r="G36" s="3">
        <f>Inventory[[#This Row],[Daily Demand ]]*Inventory[[#This Row],[Lead Time (Days)]]+Inventory[[#This Row],[Safety Stock]]</f>
        <v>53</v>
      </c>
      <c r="H36" t="str" cm="1">
        <f t="array" ref="H3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37" spans="1:8">
      <c r="A37" t="s">
        <v>93</v>
      </c>
      <c r="B37">
        <v>130</v>
      </c>
      <c r="C37">
        <f>Inventory[[#This Row],[Stock on Hand Aug-01]]-SUMIF(Sales!$C$1571:$C$1801,Inventory[[#This Row],[SKU]],Sales!$H$1571:$H$1801)</f>
        <v>40</v>
      </c>
      <c r="D37" s="3">
        <f>SUMIF(Sales!$C$1571:$C$1801,'Inventory for Aug-31'!A37,Sales!$H$1571:$H$1801)/31</f>
        <v>2.903225806451613</v>
      </c>
      <c r="E37">
        <v>4</v>
      </c>
      <c r="F37">
        <v>32</v>
      </c>
      <c r="G37" s="3">
        <f>Inventory[[#This Row],[Daily Demand ]]*Inventory[[#This Row],[Lead Time (Days)]]+Inventory[[#This Row],[Safety Stock]]</f>
        <v>43.612903225806448</v>
      </c>
      <c r="H37" t="str" cm="1">
        <f t="array" ref="H3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38" spans="1:8">
      <c r="A38" t="s">
        <v>95</v>
      </c>
      <c r="B38">
        <v>131</v>
      </c>
      <c r="C38">
        <f>Inventory[[#This Row],[Stock on Hand Aug-01]]-SUMIF(Sales!$C$1571:$C$1801,Inventory[[#This Row],[SKU]],Sales!$H$1571:$H$1801)</f>
        <v>22</v>
      </c>
      <c r="D38" s="3">
        <f>SUMIF(Sales!$C$1571:$C$1801,'Inventory for Aug-31'!A38,Sales!$H$1571:$H$1801)/31</f>
        <v>3.5161290322580645</v>
      </c>
      <c r="E38">
        <v>4</v>
      </c>
      <c r="F38">
        <v>57</v>
      </c>
      <c r="G38" s="3">
        <f>Inventory[[#This Row],[Daily Demand ]]*Inventory[[#This Row],[Lead Time (Days)]]+Inventory[[#This Row],[Safety Stock]]</f>
        <v>71.064516129032256</v>
      </c>
      <c r="H38" t="str" cm="1">
        <f t="array" ref="H3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39" spans="1:8">
      <c r="A39" t="s">
        <v>97</v>
      </c>
      <c r="B39">
        <v>0</v>
      </c>
      <c r="C39">
        <f>Inventory[[#This Row],[Stock on Hand Aug-01]]-SUMIF(Sales!$C$1571:$C$1801,Inventory[[#This Row],[SKU]],Sales!$H$1571:$H$1801)</f>
        <v>0</v>
      </c>
      <c r="D39" s="3">
        <f>SUMIF(Sales!$C$1571:$C$1801,'Inventory for Aug-31'!A39,Sales!$H$1571:$H$1801)/31</f>
        <v>0</v>
      </c>
      <c r="E39">
        <v>4</v>
      </c>
      <c r="F39">
        <v>37</v>
      </c>
      <c r="G39" s="3">
        <f>Inventory[[#This Row],[Daily Demand ]]*Inventory[[#This Row],[Lead Time (Days)]]+Inventory[[#This Row],[Safety Stock]]</f>
        <v>37</v>
      </c>
      <c r="H39" t="str" cm="1">
        <f t="array" ref="H3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40" spans="1:8">
      <c r="A40" t="s">
        <v>99</v>
      </c>
      <c r="B40">
        <v>135</v>
      </c>
      <c r="C40">
        <f>Inventory[[#This Row],[Stock on Hand Aug-01]]-SUMIF(Sales!$C$1571:$C$1801,Inventory[[#This Row],[SKU]],Sales!$H$1571:$H$1801)</f>
        <v>68</v>
      </c>
      <c r="D40" s="3">
        <f>SUMIF(Sales!$C$1571:$C$1801,'Inventory for Aug-31'!A40,Sales!$H$1571:$H$1801)/31</f>
        <v>2.161290322580645</v>
      </c>
      <c r="E40">
        <v>4</v>
      </c>
      <c r="F40">
        <v>62</v>
      </c>
      <c r="G40" s="3">
        <f>Inventory[[#This Row],[Daily Demand ]]*Inventory[[#This Row],[Lead Time (Days)]]+Inventory[[#This Row],[Safety Stock]]</f>
        <v>70.645161290322577</v>
      </c>
      <c r="H40" t="str" cm="1">
        <f t="array" ref="H4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41" spans="1:8">
      <c r="A41" t="s">
        <v>101</v>
      </c>
      <c r="B41">
        <v>186</v>
      </c>
      <c r="C41">
        <f>Inventory[[#This Row],[Stock on Hand Aug-01]]-SUMIF(Sales!$C$1571:$C$1801,Inventory[[#This Row],[SKU]],Sales!$H$1571:$H$1801)</f>
        <v>77</v>
      </c>
      <c r="D41" s="3">
        <f>SUMIF(Sales!$C$1571:$C$1801,'Inventory for Aug-31'!A41,Sales!$H$1571:$H$1801)/31</f>
        <v>3.5161290322580645</v>
      </c>
      <c r="E41">
        <v>4</v>
      </c>
      <c r="F41">
        <v>42</v>
      </c>
      <c r="G41" s="3">
        <f>Inventory[[#This Row],[Daily Demand ]]*Inventory[[#This Row],[Lead Time (Days)]]+Inventory[[#This Row],[Safety Stock]]</f>
        <v>56.064516129032256</v>
      </c>
      <c r="H41" t="str" cm="1">
        <f t="array" ref="H4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42" spans="1:8">
      <c r="A42" t="s">
        <v>103</v>
      </c>
      <c r="B42">
        <v>251</v>
      </c>
      <c r="C42">
        <f>Inventory[[#This Row],[Stock on Hand Aug-01]]-SUMIF(Sales!$C$1571:$C$1801,Inventory[[#This Row],[SKU]],Sales!$H$1571:$H$1801)</f>
        <v>67</v>
      </c>
      <c r="D42" s="3">
        <f>SUMIF(Sales!$C$1571:$C$1801,'Inventory for Aug-31'!A42,Sales!$H$1571:$H$1801)/31</f>
        <v>5.935483870967742</v>
      </c>
      <c r="E42">
        <v>4</v>
      </c>
      <c r="F42">
        <v>55</v>
      </c>
      <c r="G42" s="3">
        <f>Inventory[[#This Row],[Daily Demand ]]*Inventory[[#This Row],[Lead Time (Days)]]+Inventory[[#This Row],[Safety Stock]]</f>
        <v>78.741935483870975</v>
      </c>
      <c r="H42" t="str" cm="1">
        <f t="array" ref="H4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43" spans="1:8">
      <c r="A43" t="s">
        <v>105</v>
      </c>
      <c r="B43">
        <v>183</v>
      </c>
      <c r="C43">
        <f>Inventory[[#This Row],[Stock on Hand Aug-01]]-SUMIF(Sales!$C$1571:$C$1801,Inventory[[#This Row],[SKU]],Sales!$H$1571:$H$1801)</f>
        <v>24</v>
      </c>
      <c r="D43" s="3">
        <f>SUMIF(Sales!$C$1571:$C$1801,'Inventory for Aug-31'!A43,Sales!$H$1571:$H$1801)/31</f>
        <v>5.129032258064516</v>
      </c>
      <c r="E43">
        <v>4</v>
      </c>
      <c r="F43">
        <v>60</v>
      </c>
      <c r="G43" s="3">
        <f>Inventory[[#This Row],[Daily Demand ]]*Inventory[[#This Row],[Lead Time (Days)]]+Inventory[[#This Row],[Safety Stock]]</f>
        <v>80.516129032258064</v>
      </c>
      <c r="H43" t="str" cm="1">
        <f t="array" ref="H4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44" spans="1:8">
      <c r="A44" t="s">
        <v>107</v>
      </c>
      <c r="B44">
        <v>317</v>
      </c>
      <c r="C44">
        <f>Inventory[[#This Row],[Stock on Hand Aug-01]]-SUMIF(Sales!$C$1571:$C$1801,Inventory[[#This Row],[SKU]],Sales!$H$1571:$H$1801)</f>
        <v>47</v>
      </c>
      <c r="D44" s="3">
        <f>SUMIF(Sales!$C$1571:$C$1801,'Inventory for Aug-31'!A44,Sales!$H$1571:$H$1801)/31</f>
        <v>8.7096774193548381</v>
      </c>
      <c r="E44">
        <v>4</v>
      </c>
      <c r="F44">
        <v>38</v>
      </c>
      <c r="G44" s="3">
        <f>Inventory[[#This Row],[Daily Demand ]]*Inventory[[#This Row],[Lead Time (Days)]]+Inventory[[#This Row],[Safety Stock]]</f>
        <v>72.838709677419359</v>
      </c>
      <c r="H44" t="str" cm="1">
        <f t="array" ref="H4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45" spans="1:8">
      <c r="A45" t="s">
        <v>109</v>
      </c>
      <c r="B45">
        <v>44</v>
      </c>
      <c r="C45">
        <f>Inventory[[#This Row],[Stock on Hand Aug-01]]-SUMIF(Sales!$C$1571:$C$1801,Inventory[[#This Row],[SKU]],Sales!$H$1571:$H$1801)</f>
        <v>44</v>
      </c>
      <c r="D45" s="3">
        <f>SUMIF(Sales!$C$1571:$C$1801,'Inventory for Aug-31'!A45,Sales!$H$1571:$H$1801)/31</f>
        <v>0</v>
      </c>
      <c r="E45">
        <v>4</v>
      </c>
      <c r="F45">
        <v>55</v>
      </c>
      <c r="G45" s="3">
        <f>Inventory[[#This Row],[Daily Demand ]]*Inventory[[#This Row],[Lead Time (Days)]]+Inventory[[#This Row],[Safety Stock]]</f>
        <v>55</v>
      </c>
      <c r="H45" t="str" cm="1">
        <f t="array" ref="H4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46" spans="1:8">
      <c r="A46" t="s">
        <v>111</v>
      </c>
      <c r="B46">
        <v>99</v>
      </c>
      <c r="C46">
        <f>Inventory[[#This Row],[Stock on Hand Aug-01]]-SUMIF(Sales!$C$1571:$C$1801,Inventory[[#This Row],[SKU]],Sales!$H$1571:$H$1801)</f>
        <v>64</v>
      </c>
      <c r="D46" s="3">
        <f>SUMIF(Sales!$C$1571:$C$1801,'Inventory for Aug-31'!A46,Sales!$H$1571:$H$1801)/31</f>
        <v>1.1290322580645162</v>
      </c>
      <c r="E46">
        <v>4</v>
      </c>
      <c r="F46">
        <v>54</v>
      </c>
      <c r="G46" s="3">
        <f>Inventory[[#This Row],[Daily Demand ]]*Inventory[[#This Row],[Lead Time (Days)]]+Inventory[[#This Row],[Safety Stock]]</f>
        <v>58.516129032258064</v>
      </c>
      <c r="H46" t="str" cm="1">
        <f t="array" ref="H4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47" spans="1:8">
      <c r="A47" t="s">
        <v>113</v>
      </c>
      <c r="B47">
        <v>157</v>
      </c>
      <c r="C47">
        <f>Inventory[[#This Row],[Stock on Hand Aug-01]]-SUMIF(Sales!$C$1571:$C$1801,Inventory[[#This Row],[SKU]],Sales!$H$1571:$H$1801)</f>
        <v>34</v>
      </c>
      <c r="D47" s="3">
        <f>SUMIF(Sales!$C$1571:$C$1801,'Inventory for Aug-31'!A47,Sales!$H$1571:$H$1801)/31</f>
        <v>3.967741935483871</v>
      </c>
      <c r="E47">
        <v>4</v>
      </c>
      <c r="F47">
        <v>30</v>
      </c>
      <c r="G47" s="3">
        <f>Inventory[[#This Row],[Daily Demand ]]*Inventory[[#This Row],[Lead Time (Days)]]+Inventory[[#This Row],[Safety Stock]]</f>
        <v>45.870967741935488</v>
      </c>
      <c r="H47" t="str" cm="1">
        <f t="array" ref="H4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48" spans="1:8">
      <c r="A48" t="s">
        <v>115</v>
      </c>
      <c r="B48">
        <v>15</v>
      </c>
      <c r="C48">
        <f>Inventory[[#This Row],[Stock on Hand Aug-01]]-SUMIF(Sales!$C$1571:$C$1801,Inventory[[#This Row],[SKU]],Sales!$H$1571:$H$1801)</f>
        <v>15</v>
      </c>
      <c r="D48" s="3">
        <f>SUMIF(Sales!$C$1571:$C$1801,'Inventory for Aug-31'!A48,Sales!$H$1571:$H$1801)/31</f>
        <v>0</v>
      </c>
      <c r="E48">
        <v>4</v>
      </c>
      <c r="F48">
        <v>38</v>
      </c>
      <c r="G48" s="3">
        <f>Inventory[[#This Row],[Daily Demand ]]*Inventory[[#This Row],[Lead Time (Days)]]+Inventory[[#This Row],[Safety Stock]]</f>
        <v>38</v>
      </c>
      <c r="H48" t="str" cm="1">
        <f t="array" ref="H4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49" spans="1:8">
      <c r="A49" t="s">
        <v>117</v>
      </c>
      <c r="B49">
        <v>49</v>
      </c>
      <c r="C49">
        <f>Inventory[[#This Row],[Stock on Hand Aug-01]]-SUMIF(Sales!$C$1571:$C$1801,Inventory[[#This Row],[SKU]],Sales!$H$1571:$H$1801)</f>
        <v>0</v>
      </c>
      <c r="D49" s="3">
        <f>SUMIF(Sales!$C$1571:$C$1801,'Inventory for Aug-31'!A49,Sales!$H$1571:$H$1801)/31</f>
        <v>1.5806451612903225</v>
      </c>
      <c r="E49">
        <v>4</v>
      </c>
      <c r="F49">
        <v>34</v>
      </c>
      <c r="G49" s="3">
        <f>Inventory[[#This Row],[Daily Demand ]]*Inventory[[#This Row],[Lead Time (Days)]]+Inventory[[#This Row],[Safety Stock]]</f>
        <v>40.322580645161288</v>
      </c>
      <c r="H49" t="str" cm="1">
        <f t="array" ref="H4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50" spans="1:8">
      <c r="A50" t="s">
        <v>119</v>
      </c>
      <c r="B50">
        <v>225</v>
      </c>
      <c r="C50">
        <f>Inventory[[#This Row],[Stock on Hand Aug-01]]-SUMIF(Sales!$C$1571:$C$1801,Inventory[[#This Row],[SKU]],Sales!$H$1571:$H$1801)</f>
        <v>88</v>
      </c>
      <c r="D50" s="3">
        <f>SUMIF(Sales!$C$1571:$C$1801,'Inventory for Aug-31'!A50,Sales!$H$1571:$H$1801)/31</f>
        <v>4.419354838709677</v>
      </c>
      <c r="E50">
        <v>4</v>
      </c>
      <c r="F50">
        <v>65</v>
      </c>
      <c r="G50" s="3">
        <f>Inventory[[#This Row],[Daily Demand ]]*Inventory[[#This Row],[Lead Time (Days)]]+Inventory[[#This Row],[Safety Stock]]</f>
        <v>82.677419354838705</v>
      </c>
      <c r="H50" t="str" cm="1">
        <f t="array" ref="H5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51" spans="1:8">
      <c r="A51" t="s">
        <v>121</v>
      </c>
      <c r="B51">
        <v>51</v>
      </c>
      <c r="C51">
        <f>Inventory[[#This Row],[Stock on Hand Aug-01]]-SUMIF(Sales!$C$1571:$C$1801,Inventory[[#This Row],[SKU]],Sales!$H$1571:$H$1801)</f>
        <v>51</v>
      </c>
      <c r="D51" s="3">
        <f>SUMIF(Sales!$C$1571:$C$1801,'Inventory for Aug-31'!A51,Sales!$H$1571:$H$1801)/31</f>
        <v>0</v>
      </c>
      <c r="E51">
        <v>4</v>
      </c>
      <c r="F51">
        <v>54</v>
      </c>
      <c r="G51" s="3">
        <f>Inventory[[#This Row],[Daily Demand ]]*Inventory[[#This Row],[Lead Time (Days)]]+Inventory[[#This Row],[Safety Stock]]</f>
        <v>54</v>
      </c>
      <c r="H51" t="str" cm="1">
        <f t="array" ref="H5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52" spans="1:8">
      <c r="A52" t="s">
        <v>123</v>
      </c>
      <c r="B52">
        <v>127</v>
      </c>
      <c r="C52">
        <f>Inventory[[#This Row],[Stock on Hand Aug-01]]-SUMIF(Sales!$C$1571:$C$1801,Inventory[[#This Row],[SKU]],Sales!$H$1571:$H$1801)</f>
        <v>60</v>
      </c>
      <c r="D52" s="3">
        <f>SUMIF(Sales!$C$1571:$C$1801,'Inventory for Aug-31'!A52,Sales!$H$1571:$H$1801)/31</f>
        <v>2.161290322580645</v>
      </c>
      <c r="E52">
        <v>4</v>
      </c>
      <c r="F52">
        <v>54</v>
      </c>
      <c r="G52" s="3">
        <f>Inventory[[#This Row],[Daily Demand ]]*Inventory[[#This Row],[Lead Time (Days)]]+Inventory[[#This Row],[Safety Stock]]</f>
        <v>62.645161290322577</v>
      </c>
      <c r="H52" t="str" cm="1">
        <f t="array" ref="H5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53" spans="1:8">
      <c r="A53" t="s">
        <v>125</v>
      </c>
      <c r="B53">
        <v>166</v>
      </c>
      <c r="C53">
        <f>Inventory[[#This Row],[Stock on Hand Aug-01]]-SUMIF(Sales!$C$1571:$C$1801,Inventory[[#This Row],[SKU]],Sales!$H$1571:$H$1801)</f>
        <v>81</v>
      </c>
      <c r="D53" s="3">
        <f>SUMIF(Sales!$C$1571:$C$1801,'Inventory for Aug-31'!A53,Sales!$H$1571:$H$1801)/31</f>
        <v>2.7419354838709675</v>
      </c>
      <c r="E53">
        <v>4</v>
      </c>
      <c r="F53">
        <v>50</v>
      </c>
      <c r="G53" s="3">
        <f>Inventory[[#This Row],[Daily Demand ]]*Inventory[[#This Row],[Lead Time (Days)]]+Inventory[[#This Row],[Safety Stock]]</f>
        <v>60.967741935483872</v>
      </c>
      <c r="H53" t="str" cm="1">
        <f t="array" ref="H5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54" spans="1:8">
      <c r="A54" t="s">
        <v>127</v>
      </c>
      <c r="B54">
        <v>21</v>
      </c>
      <c r="C54">
        <f>Inventory[[#This Row],[Stock on Hand Aug-01]]-SUMIF(Sales!$C$1571:$C$1801,Inventory[[#This Row],[SKU]],Sales!$H$1571:$H$1801)</f>
        <v>21</v>
      </c>
      <c r="D54" s="3">
        <f>SUMIF(Sales!$C$1571:$C$1801,'Inventory for Aug-31'!A54,Sales!$H$1571:$H$1801)/31</f>
        <v>0</v>
      </c>
      <c r="E54">
        <v>4</v>
      </c>
      <c r="F54">
        <v>35</v>
      </c>
      <c r="G54" s="3">
        <f>Inventory[[#This Row],[Daily Demand ]]*Inventory[[#This Row],[Lead Time (Days)]]+Inventory[[#This Row],[Safety Stock]]</f>
        <v>35</v>
      </c>
      <c r="H54" t="str" cm="1">
        <f t="array" ref="H5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55" spans="1:8">
      <c r="A55" t="s">
        <v>129</v>
      </c>
      <c r="B55">
        <v>124</v>
      </c>
      <c r="C55">
        <f>Inventory[[#This Row],[Stock on Hand Aug-01]]-SUMIF(Sales!$C$1571:$C$1801,Inventory[[#This Row],[SKU]],Sales!$H$1571:$H$1801)</f>
        <v>51</v>
      </c>
      <c r="D55" s="3">
        <f>SUMIF(Sales!$C$1571:$C$1801,'Inventory for Aug-31'!A55,Sales!$H$1571:$H$1801)/31</f>
        <v>2.3548387096774195</v>
      </c>
      <c r="E55">
        <v>4</v>
      </c>
      <c r="F55">
        <v>44</v>
      </c>
      <c r="G55" s="3">
        <f>Inventory[[#This Row],[Daily Demand ]]*Inventory[[#This Row],[Lead Time (Days)]]+Inventory[[#This Row],[Safety Stock]]</f>
        <v>53.41935483870968</v>
      </c>
      <c r="H55" t="str" cm="1">
        <f t="array" ref="H5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56" spans="1:8">
      <c r="A56" t="s">
        <v>131</v>
      </c>
      <c r="B56">
        <v>57</v>
      </c>
      <c r="C56">
        <f>Inventory[[#This Row],[Stock on Hand Aug-01]]-SUMIF(Sales!$C$1571:$C$1801,Inventory[[#This Row],[SKU]],Sales!$H$1571:$H$1801)</f>
        <v>57</v>
      </c>
      <c r="D56" s="3">
        <f>SUMIF(Sales!$C$1571:$C$1801,'Inventory for Aug-31'!A56,Sales!$H$1571:$H$1801)/31</f>
        <v>0</v>
      </c>
      <c r="E56">
        <v>4</v>
      </c>
      <c r="F56">
        <v>60</v>
      </c>
      <c r="G56" s="3">
        <f>Inventory[[#This Row],[Daily Demand ]]*Inventory[[#This Row],[Lead Time (Days)]]+Inventory[[#This Row],[Safety Stock]]</f>
        <v>60</v>
      </c>
      <c r="H56" t="str" cm="1">
        <f t="array" ref="H5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57" spans="1:8">
      <c r="A57" t="s">
        <v>133</v>
      </c>
      <c r="B57">
        <v>62</v>
      </c>
      <c r="C57">
        <f>Inventory[[#This Row],[Stock on Hand Aug-01]]-SUMIF(Sales!$C$1571:$C$1801,Inventory[[#This Row],[SKU]],Sales!$H$1571:$H$1801)</f>
        <v>62</v>
      </c>
      <c r="D57" s="3">
        <f>SUMIF(Sales!$C$1571:$C$1801,'Inventory for Aug-31'!A57,Sales!$H$1571:$H$1801)/31</f>
        <v>0</v>
      </c>
      <c r="E57">
        <v>5</v>
      </c>
      <c r="F57">
        <v>42</v>
      </c>
      <c r="G57" s="3">
        <f>Inventory[[#This Row],[Daily Demand ]]*Inventory[[#This Row],[Lead Time (Days)]]+Inventory[[#This Row],[Safety Stock]]</f>
        <v>42</v>
      </c>
      <c r="H57" t="str" cm="1">
        <f t="array" ref="H5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58" spans="1:8">
      <c r="A58" t="s">
        <v>135</v>
      </c>
      <c r="B58">
        <v>48</v>
      </c>
      <c r="C58">
        <f>Inventory[[#This Row],[Stock on Hand Aug-01]]-SUMIF(Sales!$C$1571:$C$1801,Inventory[[#This Row],[SKU]],Sales!$H$1571:$H$1801)</f>
        <v>14</v>
      </c>
      <c r="D58" s="3">
        <f>SUMIF(Sales!$C$1571:$C$1801,'Inventory for Aug-31'!A58,Sales!$H$1571:$H$1801)/31</f>
        <v>1.096774193548387</v>
      </c>
      <c r="E58">
        <v>5</v>
      </c>
      <c r="F58">
        <v>36</v>
      </c>
      <c r="G58" s="3">
        <f>Inventory[[#This Row],[Daily Demand ]]*Inventory[[#This Row],[Lead Time (Days)]]+Inventory[[#This Row],[Safety Stock]]</f>
        <v>41.483870967741936</v>
      </c>
      <c r="H58" t="str" cm="1">
        <f t="array" ref="H5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59" spans="1:8">
      <c r="A59" t="s">
        <v>137</v>
      </c>
      <c r="B59">
        <v>0</v>
      </c>
      <c r="C59">
        <f>Inventory[[#This Row],[Stock on Hand Aug-01]]-SUMIF(Sales!$C$1571:$C$1801,Inventory[[#This Row],[SKU]],Sales!$H$1571:$H$1801)</f>
        <v>0</v>
      </c>
      <c r="D59" s="3">
        <f>SUMIF(Sales!$C$1571:$C$1801,'Inventory for Aug-31'!A59,Sales!$H$1571:$H$1801)/31</f>
        <v>0</v>
      </c>
      <c r="E59">
        <v>5</v>
      </c>
      <c r="F59">
        <v>20</v>
      </c>
      <c r="G59" s="3">
        <f>Inventory[[#This Row],[Daily Demand ]]*Inventory[[#This Row],[Lead Time (Days)]]+Inventory[[#This Row],[Safety Stock]]</f>
        <v>20</v>
      </c>
      <c r="H59" t="str" cm="1">
        <f t="array" ref="H5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60" spans="1:8">
      <c r="A60" t="s">
        <v>139</v>
      </c>
      <c r="B60">
        <v>95</v>
      </c>
      <c r="C60">
        <f>Inventory[[#This Row],[Stock on Hand Aug-01]]-SUMIF(Sales!$C$1571:$C$1801,Inventory[[#This Row],[SKU]],Sales!$H$1571:$H$1801)</f>
        <v>39</v>
      </c>
      <c r="D60" s="3">
        <f>SUMIF(Sales!$C$1571:$C$1801,'Inventory for Aug-31'!A60,Sales!$H$1571:$H$1801)/31</f>
        <v>1.8064516129032258</v>
      </c>
      <c r="E60">
        <v>5</v>
      </c>
      <c r="F60">
        <v>35</v>
      </c>
      <c r="G60" s="3">
        <f>Inventory[[#This Row],[Daily Demand ]]*Inventory[[#This Row],[Lead Time (Days)]]+Inventory[[#This Row],[Safety Stock]]</f>
        <v>44.032258064516128</v>
      </c>
      <c r="H60" t="str" cm="1">
        <f t="array" ref="H6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61" spans="1:8">
      <c r="A61" t="s">
        <v>141</v>
      </c>
      <c r="B61">
        <v>41</v>
      </c>
      <c r="C61">
        <f>Inventory[[#This Row],[Stock on Hand Aug-01]]-SUMIF(Sales!$C$1571:$C$1801,Inventory[[#This Row],[SKU]],Sales!$H$1571:$H$1801)</f>
        <v>41</v>
      </c>
      <c r="D61" s="3">
        <f>SUMIF(Sales!$C$1571:$C$1801,'Inventory for Aug-31'!A61,Sales!$H$1571:$H$1801)/31</f>
        <v>0</v>
      </c>
      <c r="E61">
        <v>5</v>
      </c>
      <c r="F61">
        <v>21</v>
      </c>
      <c r="G61" s="3">
        <f>Inventory[[#This Row],[Daily Demand ]]*Inventory[[#This Row],[Lead Time (Days)]]+Inventory[[#This Row],[Safety Stock]]</f>
        <v>21</v>
      </c>
      <c r="H61" t="str" cm="1">
        <f t="array" ref="H6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62" spans="1:8">
      <c r="A62" t="s">
        <v>143</v>
      </c>
      <c r="B62">
        <v>5</v>
      </c>
      <c r="C62">
        <f>Inventory[[#This Row],[Stock on Hand Aug-01]]-SUMIF(Sales!$C$1571:$C$1801,Inventory[[#This Row],[SKU]],Sales!$H$1571:$H$1801)</f>
        <v>5</v>
      </c>
      <c r="D62" s="3">
        <f>SUMIF(Sales!$C$1571:$C$1801,'Inventory for Aug-31'!A62,Sales!$H$1571:$H$1801)/31</f>
        <v>0</v>
      </c>
      <c r="E62">
        <v>5</v>
      </c>
      <c r="F62">
        <v>25</v>
      </c>
      <c r="G62" s="3">
        <f>Inventory[[#This Row],[Daily Demand ]]*Inventory[[#This Row],[Lead Time (Days)]]+Inventory[[#This Row],[Safety Stock]]</f>
        <v>25</v>
      </c>
      <c r="H62" t="str" cm="1">
        <f t="array" ref="H6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63" spans="1:8">
      <c r="A63" t="s">
        <v>145</v>
      </c>
      <c r="B63">
        <v>74</v>
      </c>
      <c r="C63">
        <f>Inventory[[#This Row],[Stock on Hand Aug-01]]-SUMIF(Sales!$C$1571:$C$1801,Inventory[[#This Row],[SKU]],Sales!$H$1571:$H$1801)</f>
        <v>10</v>
      </c>
      <c r="D63" s="3">
        <f>SUMIF(Sales!$C$1571:$C$1801,'Inventory for Aug-31'!A63,Sales!$H$1571:$H$1801)/31</f>
        <v>2.064516129032258</v>
      </c>
      <c r="E63">
        <v>5</v>
      </c>
      <c r="F63">
        <v>26</v>
      </c>
      <c r="G63" s="3">
        <f>Inventory[[#This Row],[Daily Demand ]]*Inventory[[#This Row],[Lead Time (Days)]]+Inventory[[#This Row],[Safety Stock]]</f>
        <v>36.322580645161288</v>
      </c>
      <c r="H63" t="str" cm="1">
        <f t="array" ref="H6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64" spans="1:8">
      <c r="A64" t="s">
        <v>147</v>
      </c>
      <c r="B64">
        <v>62</v>
      </c>
      <c r="C64">
        <f>Inventory[[#This Row],[Stock on Hand Aug-01]]-SUMIF(Sales!$C$1571:$C$1801,Inventory[[#This Row],[SKU]],Sales!$H$1571:$H$1801)</f>
        <v>62</v>
      </c>
      <c r="D64" s="3">
        <f>SUMIF(Sales!$C$1571:$C$1801,'Inventory for Aug-31'!A64,Sales!$H$1571:$H$1801)/31</f>
        <v>0</v>
      </c>
      <c r="E64">
        <v>5</v>
      </c>
      <c r="F64">
        <v>47</v>
      </c>
      <c r="G64" s="3">
        <f>Inventory[[#This Row],[Daily Demand ]]*Inventory[[#This Row],[Lead Time (Days)]]+Inventory[[#This Row],[Safety Stock]]</f>
        <v>47</v>
      </c>
      <c r="H64" t="str" cm="1">
        <f t="array" ref="H6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65" spans="1:8">
      <c r="A65" t="s">
        <v>149</v>
      </c>
      <c r="B65">
        <v>82</v>
      </c>
      <c r="C65">
        <f>Inventory[[#This Row],[Stock on Hand Aug-01]]-SUMIF(Sales!$C$1571:$C$1801,Inventory[[#This Row],[SKU]],Sales!$H$1571:$H$1801)</f>
        <v>20</v>
      </c>
      <c r="D65" s="3">
        <f>SUMIF(Sales!$C$1571:$C$1801,'Inventory for Aug-31'!A65,Sales!$H$1571:$H$1801)/31</f>
        <v>2</v>
      </c>
      <c r="E65">
        <v>5</v>
      </c>
      <c r="F65">
        <v>26</v>
      </c>
      <c r="G65" s="3">
        <f>Inventory[[#This Row],[Daily Demand ]]*Inventory[[#This Row],[Lead Time (Days)]]+Inventory[[#This Row],[Safety Stock]]</f>
        <v>36</v>
      </c>
      <c r="H65" t="str" cm="1">
        <f t="array" ref="H6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66" spans="1:8">
      <c r="A66" t="s">
        <v>151</v>
      </c>
      <c r="B66">
        <v>169</v>
      </c>
      <c r="C66">
        <f>Inventory[[#This Row],[Stock on Hand Aug-01]]-SUMIF(Sales!$C$1571:$C$1801,Inventory[[#This Row],[SKU]],Sales!$H$1571:$H$1801)</f>
        <v>44</v>
      </c>
      <c r="D66" s="3">
        <f>SUMIF(Sales!$C$1571:$C$1801,'Inventory for Aug-31'!A66,Sales!$H$1571:$H$1801)/31</f>
        <v>4.032258064516129</v>
      </c>
      <c r="E66">
        <v>5</v>
      </c>
      <c r="F66">
        <v>36</v>
      </c>
      <c r="G66" s="3">
        <f>Inventory[[#This Row],[Daily Demand ]]*Inventory[[#This Row],[Lead Time (Days)]]+Inventory[[#This Row],[Safety Stock]]</f>
        <v>56.161290322580641</v>
      </c>
      <c r="H66" t="str" cm="1">
        <f t="array" ref="H6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67" spans="1:8">
      <c r="A67" t="s">
        <v>153</v>
      </c>
      <c r="B67">
        <v>74</v>
      </c>
      <c r="C67">
        <f>Inventory[[#This Row],[Stock on Hand Aug-01]]-SUMIF(Sales!$C$1571:$C$1801,Inventory[[#This Row],[SKU]],Sales!$H$1571:$H$1801)</f>
        <v>36</v>
      </c>
      <c r="D67" s="3">
        <f>SUMIF(Sales!$C$1571:$C$1801,'Inventory for Aug-31'!A67,Sales!$H$1571:$H$1801)/31</f>
        <v>1.2258064516129032</v>
      </c>
      <c r="E67">
        <v>5</v>
      </c>
      <c r="F67">
        <v>21</v>
      </c>
      <c r="G67" s="3">
        <f>Inventory[[#This Row],[Daily Demand ]]*Inventory[[#This Row],[Lead Time (Days)]]+Inventory[[#This Row],[Safety Stock]]</f>
        <v>27.129032258064516</v>
      </c>
      <c r="H67" t="str" cm="1">
        <f t="array" ref="H6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68" spans="1:8">
      <c r="A68" t="s">
        <v>155</v>
      </c>
      <c r="B68">
        <v>162</v>
      </c>
      <c r="C68">
        <f>Inventory[[#This Row],[Stock on Hand Aug-01]]-SUMIF(Sales!$C$1571:$C$1801,Inventory[[#This Row],[SKU]],Sales!$H$1571:$H$1801)</f>
        <v>40</v>
      </c>
      <c r="D68" s="3">
        <f>SUMIF(Sales!$C$1571:$C$1801,'Inventory for Aug-31'!A68,Sales!$H$1571:$H$1801)/31</f>
        <v>3.935483870967742</v>
      </c>
      <c r="E68">
        <v>5</v>
      </c>
      <c r="F68">
        <v>36</v>
      </c>
      <c r="G68" s="3">
        <f>Inventory[[#This Row],[Daily Demand ]]*Inventory[[#This Row],[Lead Time (Days)]]+Inventory[[#This Row],[Safety Stock]]</f>
        <v>55.677419354838712</v>
      </c>
      <c r="H68" t="str" cm="1">
        <f t="array" ref="H6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69" spans="1:8">
      <c r="A69" t="s">
        <v>157</v>
      </c>
      <c r="B69">
        <v>0</v>
      </c>
      <c r="C69">
        <f>Inventory[[#This Row],[Stock on Hand Aug-01]]-SUMIF(Sales!$C$1571:$C$1801,Inventory[[#This Row],[SKU]],Sales!$H$1571:$H$1801)</f>
        <v>0</v>
      </c>
      <c r="D69" s="3">
        <f>SUMIF(Sales!$C$1571:$C$1801,'Inventory for Aug-31'!A69,Sales!$H$1571:$H$1801)/31</f>
        <v>0</v>
      </c>
      <c r="E69">
        <v>5</v>
      </c>
      <c r="F69">
        <v>35</v>
      </c>
      <c r="G69" s="3">
        <f>Inventory[[#This Row],[Daily Demand ]]*Inventory[[#This Row],[Lead Time (Days)]]+Inventory[[#This Row],[Safety Stock]]</f>
        <v>35</v>
      </c>
      <c r="H69" t="str" cm="1">
        <f t="array" ref="H6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70" spans="1:8">
      <c r="A70" t="s">
        <v>159</v>
      </c>
      <c r="B70">
        <v>105</v>
      </c>
      <c r="C70">
        <f>Inventory[[#This Row],[Stock on Hand Aug-01]]-SUMIF(Sales!$C$1571:$C$1801,Inventory[[#This Row],[SKU]],Sales!$H$1571:$H$1801)</f>
        <v>16</v>
      </c>
      <c r="D70" s="3">
        <f>SUMIF(Sales!$C$1571:$C$1801,'Inventory for Aug-31'!A70,Sales!$H$1571:$H$1801)/31</f>
        <v>2.870967741935484</v>
      </c>
      <c r="E70">
        <v>5</v>
      </c>
      <c r="F70">
        <v>21</v>
      </c>
      <c r="G70" s="3">
        <f>Inventory[[#This Row],[Daily Demand ]]*Inventory[[#This Row],[Lead Time (Days)]]+Inventory[[#This Row],[Safety Stock]]</f>
        <v>35.354838709677423</v>
      </c>
      <c r="H70" t="str" cm="1">
        <f t="array" ref="H7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71" spans="1:8">
      <c r="A71" t="s">
        <v>161</v>
      </c>
      <c r="B71">
        <v>151</v>
      </c>
      <c r="C71">
        <f>Inventory[[#This Row],[Stock on Hand Aug-01]]-SUMIF(Sales!$C$1571:$C$1801,Inventory[[#This Row],[SKU]],Sales!$H$1571:$H$1801)</f>
        <v>51</v>
      </c>
      <c r="D71" s="3">
        <f>SUMIF(Sales!$C$1571:$C$1801,'Inventory for Aug-31'!A71,Sales!$H$1571:$H$1801)/31</f>
        <v>3.225806451612903</v>
      </c>
      <c r="E71">
        <v>5</v>
      </c>
      <c r="F71">
        <v>48</v>
      </c>
      <c r="G71" s="3">
        <f>Inventory[[#This Row],[Daily Demand ]]*Inventory[[#This Row],[Lead Time (Days)]]+Inventory[[#This Row],[Safety Stock]]</f>
        <v>64.129032258064512</v>
      </c>
      <c r="H71" t="str" cm="1">
        <f t="array" ref="H7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72" spans="1:8">
      <c r="A72" t="s">
        <v>163</v>
      </c>
      <c r="B72">
        <v>197</v>
      </c>
      <c r="C72">
        <f>Inventory[[#This Row],[Stock on Hand Aug-01]]-SUMIF(Sales!$C$1571:$C$1801,Inventory[[#This Row],[SKU]],Sales!$H$1571:$H$1801)</f>
        <v>65</v>
      </c>
      <c r="D72" s="3">
        <f>SUMIF(Sales!$C$1571:$C$1801,'Inventory for Aug-31'!A72,Sales!$H$1571:$H$1801)/31</f>
        <v>4.258064516129032</v>
      </c>
      <c r="E72">
        <v>5</v>
      </c>
      <c r="F72">
        <v>32</v>
      </c>
      <c r="G72" s="3">
        <f>Inventory[[#This Row],[Daily Demand ]]*Inventory[[#This Row],[Lead Time (Days)]]+Inventory[[#This Row],[Safety Stock]]</f>
        <v>53.29032258064516</v>
      </c>
      <c r="H72" t="str" cm="1">
        <f t="array" ref="H7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73" spans="1:8">
      <c r="A73" t="s">
        <v>165</v>
      </c>
      <c r="B73">
        <v>98</v>
      </c>
      <c r="C73">
        <f>Inventory[[#This Row],[Stock on Hand Aug-01]]-SUMIF(Sales!$C$1571:$C$1801,Inventory[[#This Row],[SKU]],Sales!$H$1571:$H$1801)</f>
        <v>34</v>
      </c>
      <c r="D73" s="3">
        <f>SUMIF(Sales!$C$1571:$C$1801,'Inventory for Aug-31'!A73,Sales!$H$1571:$H$1801)/31</f>
        <v>2.064516129032258</v>
      </c>
      <c r="E73">
        <v>5</v>
      </c>
      <c r="F73">
        <v>28</v>
      </c>
      <c r="G73" s="3">
        <f>Inventory[[#This Row],[Daily Demand ]]*Inventory[[#This Row],[Lead Time (Days)]]+Inventory[[#This Row],[Safety Stock]]</f>
        <v>38.322580645161288</v>
      </c>
      <c r="H73" t="str" cm="1">
        <f t="array" ref="H7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74" spans="1:8">
      <c r="A74" t="s">
        <v>167</v>
      </c>
      <c r="B74">
        <v>21</v>
      </c>
      <c r="C74">
        <f>Inventory[[#This Row],[Stock on Hand Aug-01]]-SUMIF(Sales!$C$1571:$C$1801,Inventory[[#This Row],[SKU]],Sales!$H$1571:$H$1801)</f>
        <v>21</v>
      </c>
      <c r="D74" s="3">
        <f>SUMIF(Sales!$C$1571:$C$1801,'Inventory for Aug-31'!A74,Sales!$H$1571:$H$1801)/31</f>
        <v>0</v>
      </c>
      <c r="E74">
        <v>5</v>
      </c>
      <c r="F74">
        <v>36</v>
      </c>
      <c r="G74" s="3">
        <f>Inventory[[#This Row],[Daily Demand ]]*Inventory[[#This Row],[Lead Time (Days)]]+Inventory[[#This Row],[Safety Stock]]</f>
        <v>36</v>
      </c>
      <c r="H74" t="str" cm="1">
        <f t="array" ref="H7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75" spans="1:8">
      <c r="A75" t="s">
        <v>169</v>
      </c>
      <c r="B75">
        <v>302</v>
      </c>
      <c r="C75">
        <f>Inventory[[#This Row],[Stock on Hand Aug-01]]-SUMIF(Sales!$C$1571:$C$1801,Inventory[[#This Row],[SKU]],Sales!$H$1571:$H$1801)</f>
        <v>24</v>
      </c>
      <c r="D75" s="3">
        <f>SUMIF(Sales!$C$1571:$C$1801,'Inventory for Aug-31'!A75,Sales!$H$1571:$H$1801)/31</f>
        <v>8.9677419354838701</v>
      </c>
      <c r="E75">
        <v>5</v>
      </c>
      <c r="F75">
        <v>31</v>
      </c>
      <c r="G75" s="3">
        <f>Inventory[[#This Row],[Daily Demand ]]*Inventory[[#This Row],[Lead Time (Days)]]+Inventory[[#This Row],[Safety Stock]]</f>
        <v>75.838709677419359</v>
      </c>
      <c r="H75" t="str" cm="1">
        <f t="array" ref="H7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76" spans="1:8">
      <c r="A76" t="s">
        <v>171</v>
      </c>
      <c r="B76">
        <v>77</v>
      </c>
      <c r="C76">
        <f>Inventory[[#This Row],[Stock on Hand Aug-01]]-SUMIF(Sales!$C$1571:$C$1801,Inventory[[#This Row],[SKU]],Sales!$H$1571:$H$1801)</f>
        <v>30</v>
      </c>
      <c r="D76" s="3">
        <f>SUMIF(Sales!$C$1571:$C$1801,'Inventory for Aug-31'!A76,Sales!$H$1571:$H$1801)/31</f>
        <v>1.5161290322580645</v>
      </c>
      <c r="E76">
        <v>5</v>
      </c>
      <c r="F76">
        <v>26</v>
      </c>
      <c r="G76" s="3">
        <f>Inventory[[#This Row],[Daily Demand ]]*Inventory[[#This Row],[Lead Time (Days)]]+Inventory[[#This Row],[Safety Stock]]</f>
        <v>33.58064516129032</v>
      </c>
      <c r="H76" t="str" cm="1">
        <f t="array" ref="H7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77" spans="1:8">
      <c r="A77" t="s">
        <v>173</v>
      </c>
      <c r="B77">
        <v>58</v>
      </c>
      <c r="C77">
        <f>Inventory[[#This Row],[Stock on Hand Aug-01]]-SUMIF(Sales!$C$1571:$C$1801,Inventory[[#This Row],[SKU]],Sales!$H$1571:$H$1801)</f>
        <v>58</v>
      </c>
      <c r="D77" s="3">
        <f>SUMIF(Sales!$C$1571:$C$1801,'Inventory for Aug-31'!A77,Sales!$H$1571:$H$1801)/31</f>
        <v>0</v>
      </c>
      <c r="E77">
        <v>5</v>
      </c>
      <c r="F77">
        <v>38</v>
      </c>
      <c r="G77" s="3">
        <f>Inventory[[#This Row],[Daily Demand ]]*Inventory[[#This Row],[Lead Time (Days)]]+Inventory[[#This Row],[Safety Stock]]</f>
        <v>38</v>
      </c>
      <c r="H77" t="str" cm="1">
        <f t="array" ref="H7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78" spans="1:8">
      <c r="A78" t="s">
        <v>175</v>
      </c>
      <c r="B78">
        <v>13</v>
      </c>
      <c r="C78">
        <f>Inventory[[#This Row],[Stock on Hand Aug-01]]-SUMIF(Sales!$C$1571:$C$1801,Inventory[[#This Row],[SKU]],Sales!$H$1571:$H$1801)</f>
        <v>13</v>
      </c>
      <c r="D78" s="3">
        <f>SUMIF(Sales!$C$1571:$C$1801,'Inventory for Aug-31'!A78,Sales!$H$1571:$H$1801)/31</f>
        <v>0</v>
      </c>
      <c r="E78">
        <v>5</v>
      </c>
      <c r="F78">
        <v>34</v>
      </c>
      <c r="G78" s="3">
        <f>Inventory[[#This Row],[Daily Demand ]]*Inventory[[#This Row],[Lead Time (Days)]]+Inventory[[#This Row],[Safety Stock]]</f>
        <v>34</v>
      </c>
      <c r="H78" t="str" cm="1">
        <f t="array" ref="H7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79" spans="1:8">
      <c r="A79" t="s">
        <v>177</v>
      </c>
      <c r="B79">
        <v>0</v>
      </c>
      <c r="C79">
        <f>Inventory[[#This Row],[Stock on Hand Aug-01]]-SUMIF(Sales!$C$1571:$C$1801,Inventory[[#This Row],[SKU]],Sales!$H$1571:$H$1801)</f>
        <v>0</v>
      </c>
      <c r="D79" s="3">
        <f>SUMIF(Sales!$C$1571:$C$1801,'Inventory for Aug-31'!A79,Sales!$H$1571:$H$1801)/31</f>
        <v>0</v>
      </c>
      <c r="E79">
        <v>5</v>
      </c>
      <c r="F79">
        <v>27</v>
      </c>
      <c r="G79" s="3">
        <f>Inventory[[#This Row],[Daily Demand ]]*Inventory[[#This Row],[Lead Time (Days)]]+Inventory[[#This Row],[Safety Stock]]</f>
        <v>27</v>
      </c>
      <c r="H79" t="str" cm="1">
        <f t="array" ref="H7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80" spans="1:8">
      <c r="A80" t="s">
        <v>179</v>
      </c>
      <c r="B80">
        <v>180</v>
      </c>
      <c r="C80">
        <f>Inventory[[#This Row],[Stock on Hand Aug-01]]-SUMIF(Sales!$C$1571:$C$1801,Inventory[[#This Row],[SKU]],Sales!$H$1571:$H$1801)</f>
        <v>65</v>
      </c>
      <c r="D80" s="3">
        <f>SUMIF(Sales!$C$1571:$C$1801,'Inventory for Aug-31'!A80,Sales!$H$1571:$H$1801)/31</f>
        <v>3.7096774193548385</v>
      </c>
      <c r="E80">
        <v>5</v>
      </c>
      <c r="F80">
        <v>35</v>
      </c>
      <c r="G80" s="3">
        <f>Inventory[[#This Row],[Daily Demand ]]*Inventory[[#This Row],[Lead Time (Days)]]+Inventory[[#This Row],[Safety Stock]]</f>
        <v>53.548387096774192</v>
      </c>
      <c r="H80" t="str" cm="1">
        <f t="array" ref="H8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81" spans="1:8">
      <c r="A81" t="s">
        <v>181</v>
      </c>
      <c r="B81">
        <v>19</v>
      </c>
      <c r="C81">
        <f>Inventory[[#This Row],[Stock on Hand Aug-01]]-SUMIF(Sales!$C$1571:$C$1801,Inventory[[#This Row],[SKU]],Sales!$H$1571:$H$1801)</f>
        <v>19</v>
      </c>
      <c r="D81" s="3">
        <f>SUMIF(Sales!$C$1571:$C$1801,'Inventory for Aug-31'!A81,Sales!$H$1571:$H$1801)/31</f>
        <v>0</v>
      </c>
      <c r="E81">
        <v>5</v>
      </c>
      <c r="F81">
        <v>21</v>
      </c>
      <c r="G81" s="3">
        <f>Inventory[[#This Row],[Daily Demand ]]*Inventory[[#This Row],[Lead Time (Days)]]+Inventory[[#This Row],[Safety Stock]]</f>
        <v>21</v>
      </c>
      <c r="H81" t="str" cm="1">
        <f t="array" ref="H8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82" spans="1:8">
      <c r="A82" t="s">
        <v>183</v>
      </c>
      <c r="B82">
        <v>136</v>
      </c>
      <c r="C82">
        <f>Inventory[[#This Row],[Stock on Hand Aug-01]]-SUMIF(Sales!$C$1571:$C$1801,Inventory[[#This Row],[SKU]],Sales!$H$1571:$H$1801)</f>
        <v>54</v>
      </c>
      <c r="D82" s="3">
        <f>SUMIF(Sales!$C$1571:$C$1801,'Inventory for Aug-31'!A82,Sales!$H$1571:$H$1801)/31</f>
        <v>2.6451612903225805</v>
      </c>
      <c r="E82">
        <v>6</v>
      </c>
      <c r="F82">
        <v>47</v>
      </c>
      <c r="G82" s="3">
        <f>Inventory[[#This Row],[Daily Demand ]]*Inventory[[#This Row],[Lead Time (Days)]]+Inventory[[#This Row],[Safety Stock]]</f>
        <v>62.870967741935488</v>
      </c>
      <c r="H82" t="str" cm="1">
        <f t="array" ref="H8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83" spans="1:8">
      <c r="A83" t="s">
        <v>185</v>
      </c>
      <c r="B83">
        <v>156</v>
      </c>
      <c r="C83">
        <f>Inventory[[#This Row],[Stock on Hand Aug-01]]-SUMIF(Sales!$C$1571:$C$1801,Inventory[[#This Row],[SKU]],Sales!$H$1571:$H$1801)</f>
        <v>22</v>
      </c>
      <c r="D83" s="3">
        <f>SUMIF(Sales!$C$1571:$C$1801,'Inventory for Aug-31'!A83,Sales!$H$1571:$H$1801)/31</f>
        <v>4.32258064516129</v>
      </c>
      <c r="E83">
        <v>6</v>
      </c>
      <c r="F83">
        <v>56</v>
      </c>
      <c r="G83" s="3">
        <f>Inventory[[#This Row],[Daily Demand ]]*Inventory[[#This Row],[Lead Time (Days)]]+Inventory[[#This Row],[Safety Stock]]</f>
        <v>81.935483870967744</v>
      </c>
      <c r="H83" t="str" cm="1">
        <f t="array" ref="H8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84" spans="1:8">
      <c r="A84" t="s">
        <v>187</v>
      </c>
      <c r="B84">
        <v>132</v>
      </c>
      <c r="C84">
        <f>Inventory[[#This Row],[Stock on Hand Aug-01]]-SUMIF(Sales!$C$1571:$C$1801,Inventory[[#This Row],[SKU]],Sales!$H$1571:$H$1801)</f>
        <v>52</v>
      </c>
      <c r="D84" s="3">
        <f>SUMIF(Sales!$C$1571:$C$1801,'Inventory for Aug-31'!A84,Sales!$H$1571:$H$1801)/31</f>
        <v>2.5806451612903225</v>
      </c>
      <c r="E84">
        <v>6</v>
      </c>
      <c r="F84">
        <v>47</v>
      </c>
      <c r="G84" s="3">
        <f>Inventory[[#This Row],[Daily Demand ]]*Inventory[[#This Row],[Lead Time (Days)]]+Inventory[[#This Row],[Safety Stock]]</f>
        <v>62.483870967741936</v>
      </c>
      <c r="H84" t="str" cm="1">
        <f t="array" ref="H8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85" spans="1:8">
      <c r="A85" t="s">
        <v>189</v>
      </c>
      <c r="B85">
        <v>69</v>
      </c>
      <c r="C85">
        <f>Inventory[[#This Row],[Stock on Hand Aug-01]]-SUMIF(Sales!$C$1571:$C$1801,Inventory[[#This Row],[SKU]],Sales!$H$1571:$H$1801)</f>
        <v>69</v>
      </c>
      <c r="D85" s="3">
        <f>SUMIF(Sales!$C$1571:$C$1801,'Inventory for Aug-31'!A85,Sales!$H$1571:$H$1801)/31</f>
        <v>0</v>
      </c>
      <c r="E85">
        <v>6</v>
      </c>
      <c r="F85">
        <v>49</v>
      </c>
      <c r="G85" s="3">
        <f>Inventory[[#This Row],[Daily Demand ]]*Inventory[[#This Row],[Lead Time (Days)]]+Inventory[[#This Row],[Safety Stock]]</f>
        <v>49</v>
      </c>
      <c r="H85" t="str" cm="1">
        <f t="array" ref="H8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86" spans="1:8">
      <c r="A86" t="s">
        <v>191</v>
      </c>
      <c r="B86">
        <v>138</v>
      </c>
      <c r="C86">
        <f>Inventory[[#This Row],[Stock on Hand Aug-01]]-SUMIF(Sales!$C$1571:$C$1801,Inventory[[#This Row],[SKU]],Sales!$H$1571:$H$1801)</f>
        <v>38</v>
      </c>
      <c r="D86" s="3">
        <f>SUMIF(Sales!$C$1571:$C$1801,'Inventory for Aug-31'!A86,Sales!$H$1571:$H$1801)/31</f>
        <v>3.225806451612903</v>
      </c>
      <c r="E86">
        <v>6</v>
      </c>
      <c r="F86">
        <v>40</v>
      </c>
      <c r="G86" s="3">
        <f>Inventory[[#This Row],[Daily Demand ]]*Inventory[[#This Row],[Lead Time (Days)]]+Inventory[[#This Row],[Safety Stock]]</f>
        <v>59.354838709677416</v>
      </c>
      <c r="H86" t="str" cm="1">
        <f t="array" ref="H8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87" spans="1:8">
      <c r="A87" t="s">
        <v>193</v>
      </c>
      <c r="B87">
        <v>114</v>
      </c>
      <c r="C87">
        <f>Inventory[[#This Row],[Stock on Hand Aug-01]]-SUMIF(Sales!$C$1571:$C$1801,Inventory[[#This Row],[SKU]],Sales!$H$1571:$H$1801)</f>
        <v>73</v>
      </c>
      <c r="D87" s="3">
        <f>SUMIF(Sales!$C$1571:$C$1801,'Inventory for Aug-31'!A87,Sales!$H$1571:$H$1801)/31</f>
        <v>1.3225806451612903</v>
      </c>
      <c r="E87">
        <v>6</v>
      </c>
      <c r="F87">
        <v>70</v>
      </c>
      <c r="G87" s="3">
        <f>Inventory[[#This Row],[Daily Demand ]]*Inventory[[#This Row],[Lead Time (Days)]]+Inventory[[#This Row],[Safety Stock]]</f>
        <v>77.935483870967744</v>
      </c>
      <c r="H87" t="str" cm="1">
        <f t="array" ref="H8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88" spans="1:8">
      <c r="A88" t="s">
        <v>195</v>
      </c>
      <c r="B88">
        <v>67</v>
      </c>
      <c r="C88">
        <f>Inventory[[#This Row],[Stock on Hand Aug-01]]-SUMIF(Sales!$C$1571:$C$1801,Inventory[[#This Row],[SKU]],Sales!$H$1571:$H$1801)</f>
        <v>67</v>
      </c>
      <c r="D88" s="3">
        <f>SUMIF(Sales!$C$1571:$C$1801,'Inventory for Aug-31'!A88,Sales!$H$1571:$H$1801)/31</f>
        <v>0</v>
      </c>
      <c r="E88">
        <v>6</v>
      </c>
      <c r="F88">
        <v>52</v>
      </c>
      <c r="G88" s="3">
        <f>Inventory[[#This Row],[Daily Demand ]]*Inventory[[#This Row],[Lead Time (Days)]]+Inventory[[#This Row],[Safety Stock]]</f>
        <v>52</v>
      </c>
      <c r="H88" t="str" cm="1">
        <f t="array" ref="H8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89" spans="1:8">
      <c r="A89" t="s">
        <v>197</v>
      </c>
      <c r="B89">
        <v>0</v>
      </c>
      <c r="C89">
        <f>Inventory[[#This Row],[Stock on Hand Aug-01]]-SUMIF(Sales!$C$1571:$C$1801,Inventory[[#This Row],[SKU]],Sales!$H$1571:$H$1801)</f>
        <v>0</v>
      </c>
      <c r="D89" s="3">
        <f>SUMIF(Sales!$C$1571:$C$1801,'Inventory for Aug-31'!A89,Sales!$H$1571:$H$1801)/31</f>
        <v>0</v>
      </c>
      <c r="E89">
        <v>6</v>
      </c>
      <c r="F89">
        <v>47</v>
      </c>
      <c r="G89" s="3">
        <f>Inventory[[#This Row],[Daily Demand ]]*Inventory[[#This Row],[Lead Time (Days)]]+Inventory[[#This Row],[Safety Stock]]</f>
        <v>47</v>
      </c>
      <c r="H89" t="str" cm="1">
        <f t="array" ref="H8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90" spans="1:8">
      <c r="A90" t="s">
        <v>199</v>
      </c>
      <c r="B90">
        <v>160</v>
      </c>
      <c r="C90">
        <f>Inventory[[#This Row],[Stock on Hand Aug-01]]-SUMIF(Sales!$C$1571:$C$1801,Inventory[[#This Row],[SKU]],Sales!$H$1571:$H$1801)</f>
        <v>41</v>
      </c>
      <c r="D90" s="3">
        <f>SUMIF(Sales!$C$1571:$C$1801,'Inventory for Aug-31'!A90,Sales!$H$1571:$H$1801)/31</f>
        <v>3.838709677419355</v>
      </c>
      <c r="E90">
        <v>6</v>
      </c>
      <c r="F90">
        <v>52</v>
      </c>
      <c r="G90" s="3">
        <f>Inventory[[#This Row],[Daily Demand ]]*Inventory[[#This Row],[Lead Time (Days)]]+Inventory[[#This Row],[Safety Stock]]</f>
        <v>75.032258064516128</v>
      </c>
      <c r="H90" t="str" cm="1">
        <f t="array" ref="H9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91" spans="1:8">
      <c r="A91" t="s">
        <v>201</v>
      </c>
      <c r="B91">
        <v>198</v>
      </c>
      <c r="C91">
        <f>Inventory[[#This Row],[Stock on Hand Aug-01]]-SUMIF(Sales!$C$1571:$C$1801,Inventory[[#This Row],[SKU]],Sales!$H$1571:$H$1801)</f>
        <v>91</v>
      </c>
      <c r="D91" s="3">
        <f>SUMIF(Sales!$C$1571:$C$1801,'Inventory for Aug-31'!A91,Sales!$H$1571:$H$1801)/31</f>
        <v>3.4516129032258065</v>
      </c>
      <c r="E91">
        <v>6</v>
      </c>
      <c r="F91">
        <v>81</v>
      </c>
      <c r="G91" s="3">
        <f>Inventory[[#This Row],[Daily Demand ]]*Inventory[[#This Row],[Lead Time (Days)]]+Inventory[[#This Row],[Safety Stock]]</f>
        <v>101.70967741935485</v>
      </c>
      <c r="H91" t="str" cm="1">
        <f t="array" ref="H9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92" spans="1:8">
      <c r="A92" t="s">
        <v>203</v>
      </c>
      <c r="B92">
        <v>70</v>
      </c>
      <c r="C92">
        <f>Inventory[[#This Row],[Stock on Hand Aug-01]]-SUMIF(Sales!$C$1571:$C$1801,Inventory[[#This Row],[SKU]],Sales!$H$1571:$H$1801)</f>
        <v>70</v>
      </c>
      <c r="D92" s="3">
        <f>SUMIF(Sales!$C$1571:$C$1801,'Inventory for Aug-31'!A92,Sales!$H$1571:$H$1801)/31</f>
        <v>0</v>
      </c>
      <c r="E92">
        <v>6</v>
      </c>
      <c r="F92">
        <v>55</v>
      </c>
      <c r="G92" s="3">
        <f>Inventory[[#This Row],[Daily Demand ]]*Inventory[[#This Row],[Lead Time (Days)]]+Inventory[[#This Row],[Safety Stock]]</f>
        <v>55</v>
      </c>
      <c r="H92" t="str" cm="1">
        <f t="array" ref="H9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93" spans="1:8">
      <c r="A93" t="s">
        <v>205</v>
      </c>
      <c r="B93">
        <v>20</v>
      </c>
      <c r="C93">
        <f>Inventory[[#This Row],[Stock on Hand Aug-01]]-SUMIF(Sales!$C$1571:$C$1801,Inventory[[#This Row],[SKU]],Sales!$H$1571:$H$1801)</f>
        <v>20</v>
      </c>
      <c r="D93" s="3">
        <f>SUMIF(Sales!$C$1571:$C$1801,'Inventory for Aug-31'!A93,Sales!$H$1571:$H$1801)/31</f>
        <v>0</v>
      </c>
      <c r="E93">
        <v>6</v>
      </c>
      <c r="F93">
        <v>50</v>
      </c>
      <c r="G93" s="3">
        <f>Inventory[[#This Row],[Daily Demand ]]*Inventory[[#This Row],[Lead Time (Days)]]+Inventory[[#This Row],[Safety Stock]]</f>
        <v>50</v>
      </c>
      <c r="H93" t="str" cm="1">
        <f t="array" ref="H9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94" spans="1:8">
      <c r="A94" t="s">
        <v>207</v>
      </c>
      <c r="B94">
        <v>99</v>
      </c>
      <c r="C94">
        <f>Inventory[[#This Row],[Stock on Hand Aug-01]]-SUMIF(Sales!$C$1571:$C$1801,Inventory[[#This Row],[SKU]],Sales!$H$1571:$H$1801)</f>
        <v>25</v>
      </c>
      <c r="D94" s="3">
        <f>SUMIF(Sales!$C$1571:$C$1801,'Inventory for Aug-31'!A94,Sales!$H$1571:$H$1801)/31</f>
        <v>2.3870967741935485</v>
      </c>
      <c r="E94">
        <v>6</v>
      </c>
      <c r="F94">
        <v>42</v>
      </c>
      <c r="G94" s="3">
        <f>Inventory[[#This Row],[Daily Demand ]]*Inventory[[#This Row],[Lead Time (Days)]]+Inventory[[#This Row],[Safety Stock]]</f>
        <v>56.322580645161295</v>
      </c>
      <c r="H94" t="str" cm="1">
        <f t="array" ref="H9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95" spans="1:8">
      <c r="A95" t="s">
        <v>209</v>
      </c>
      <c r="B95">
        <v>292</v>
      </c>
      <c r="C95">
        <f>Inventory[[#This Row],[Stock on Hand Aug-01]]-SUMIF(Sales!$C$1571:$C$1801,Inventory[[#This Row],[SKU]],Sales!$H$1571:$H$1801)</f>
        <v>87</v>
      </c>
      <c r="D95" s="3">
        <f>SUMIF(Sales!$C$1571:$C$1801,'Inventory for Aug-31'!A95,Sales!$H$1571:$H$1801)/31</f>
        <v>6.612903225806452</v>
      </c>
      <c r="E95">
        <v>6</v>
      </c>
      <c r="F95">
        <v>80</v>
      </c>
      <c r="G95" s="3">
        <f>Inventory[[#This Row],[Daily Demand ]]*Inventory[[#This Row],[Lead Time (Days)]]+Inventory[[#This Row],[Safety Stock]]</f>
        <v>119.67741935483872</v>
      </c>
      <c r="H95" t="str" cm="1">
        <f t="array" ref="H9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96" spans="1:8">
      <c r="A96" t="s">
        <v>211</v>
      </c>
      <c r="B96">
        <v>158</v>
      </c>
      <c r="C96">
        <f>Inventory[[#This Row],[Stock on Hand Aug-01]]-SUMIF(Sales!$C$1571:$C$1801,Inventory[[#This Row],[SKU]],Sales!$H$1571:$H$1801)</f>
        <v>82</v>
      </c>
      <c r="D96" s="3">
        <f>SUMIF(Sales!$C$1571:$C$1801,'Inventory for Aug-31'!A96,Sales!$H$1571:$H$1801)/31</f>
        <v>2.4516129032258065</v>
      </c>
      <c r="E96">
        <v>6</v>
      </c>
      <c r="F96">
        <v>57</v>
      </c>
      <c r="G96" s="3">
        <f>Inventory[[#This Row],[Daily Demand ]]*Inventory[[#This Row],[Lead Time (Days)]]+Inventory[[#This Row],[Safety Stock]]</f>
        <v>71.709677419354847</v>
      </c>
      <c r="H96" t="str" cm="1">
        <f t="array" ref="H9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97" spans="1:8">
      <c r="A97" t="s">
        <v>213</v>
      </c>
      <c r="B97">
        <v>16</v>
      </c>
      <c r="C97">
        <f>Inventory[[#This Row],[Stock on Hand Aug-01]]-SUMIF(Sales!$C$1571:$C$1801,Inventory[[#This Row],[SKU]],Sales!$H$1571:$H$1801)</f>
        <v>16</v>
      </c>
      <c r="D97" s="3">
        <f>SUMIF(Sales!$C$1571:$C$1801,'Inventory for Aug-31'!A97,Sales!$H$1571:$H$1801)/31</f>
        <v>0</v>
      </c>
      <c r="E97">
        <v>6</v>
      </c>
      <c r="F97">
        <v>82</v>
      </c>
      <c r="G97" s="3">
        <f>Inventory[[#This Row],[Daily Demand ]]*Inventory[[#This Row],[Lead Time (Days)]]+Inventory[[#This Row],[Safety Stock]]</f>
        <v>82</v>
      </c>
      <c r="H97" t="str" cm="1">
        <f t="array" ref="H9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98" spans="1:8">
      <c r="A98" t="s">
        <v>215</v>
      </c>
      <c r="B98">
        <v>354</v>
      </c>
      <c r="C98">
        <f>Inventory[[#This Row],[Stock on Hand Aug-01]]-SUMIF(Sales!$C$1571:$C$1801,Inventory[[#This Row],[SKU]],Sales!$H$1571:$H$1801)</f>
        <v>120</v>
      </c>
      <c r="D98" s="3">
        <f>SUMIF(Sales!$C$1571:$C$1801,'Inventory for Aug-31'!A98,Sales!$H$1571:$H$1801)/31</f>
        <v>7.5483870967741939</v>
      </c>
      <c r="E98">
        <v>6</v>
      </c>
      <c r="F98">
        <v>84</v>
      </c>
      <c r="G98" s="3">
        <f>Inventory[[#This Row],[Daily Demand ]]*Inventory[[#This Row],[Lead Time (Days)]]+Inventory[[#This Row],[Safety Stock]]</f>
        <v>129.29032258064518</v>
      </c>
      <c r="H98" t="str" cm="1">
        <f t="array" ref="H9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99" spans="1:8">
      <c r="A99" t="s">
        <v>217</v>
      </c>
      <c r="B99">
        <v>0</v>
      </c>
      <c r="C99">
        <f>Inventory[[#This Row],[Stock on Hand Aug-01]]-SUMIF(Sales!$C$1571:$C$1801,Inventory[[#This Row],[SKU]],Sales!$H$1571:$H$1801)</f>
        <v>0</v>
      </c>
      <c r="D99" s="3">
        <f>SUMIF(Sales!$C$1571:$C$1801,'Inventory for Aug-31'!A99,Sales!$H$1571:$H$1801)/31</f>
        <v>0</v>
      </c>
      <c r="E99">
        <v>6</v>
      </c>
      <c r="F99">
        <v>68</v>
      </c>
      <c r="G99" s="3">
        <f>Inventory[[#This Row],[Daily Demand ]]*Inventory[[#This Row],[Lead Time (Days)]]+Inventory[[#This Row],[Safety Stock]]</f>
        <v>68</v>
      </c>
      <c r="H99" t="str" cm="1">
        <f t="array" ref="H9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00" spans="1:8">
      <c r="A100" t="s">
        <v>219</v>
      </c>
      <c r="B100">
        <v>114</v>
      </c>
      <c r="C100">
        <f>Inventory[[#This Row],[Stock on Hand Aug-01]]-SUMIF(Sales!$C$1571:$C$1801,Inventory[[#This Row],[SKU]],Sales!$H$1571:$H$1801)</f>
        <v>57</v>
      </c>
      <c r="D100" s="3">
        <f>SUMIF(Sales!$C$1571:$C$1801,'Inventory for Aug-31'!A100,Sales!$H$1571:$H$1801)/31</f>
        <v>1.8387096774193548</v>
      </c>
      <c r="E100">
        <v>6</v>
      </c>
      <c r="F100">
        <v>52</v>
      </c>
      <c r="G100" s="3">
        <f>Inventory[[#This Row],[Daily Demand ]]*Inventory[[#This Row],[Lead Time (Days)]]+Inventory[[#This Row],[Safety Stock]]</f>
        <v>63.032258064516128</v>
      </c>
      <c r="H100" t="str" cm="1">
        <f t="array" ref="H10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01" spans="1:8">
      <c r="A101" t="s">
        <v>221</v>
      </c>
      <c r="B101">
        <v>108</v>
      </c>
      <c r="C101">
        <f>Inventory[[#This Row],[Stock on Hand Aug-01]]-SUMIF(Sales!$C$1571:$C$1801,Inventory[[#This Row],[SKU]],Sales!$H$1571:$H$1801)</f>
        <v>72</v>
      </c>
      <c r="D101" s="3">
        <f>SUMIF(Sales!$C$1571:$C$1801,'Inventory for Aug-31'!A101,Sales!$H$1571:$H$1801)/31</f>
        <v>1.1612903225806452</v>
      </c>
      <c r="E101">
        <v>6</v>
      </c>
      <c r="F101">
        <v>76</v>
      </c>
      <c r="G101" s="3">
        <f>Inventory[[#This Row],[Daily Demand ]]*Inventory[[#This Row],[Lead Time (Days)]]+Inventory[[#This Row],[Safety Stock]]</f>
        <v>82.967741935483872</v>
      </c>
      <c r="H101" t="str" cm="1">
        <f t="array" ref="H10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02" spans="1:8">
      <c r="A102" t="s">
        <v>223</v>
      </c>
      <c r="B102">
        <v>106</v>
      </c>
      <c r="C102">
        <f>Inventory[[#This Row],[Stock on Hand Aug-01]]-SUMIF(Sales!$C$1571:$C$1801,Inventory[[#This Row],[SKU]],Sales!$H$1571:$H$1801)</f>
        <v>38</v>
      </c>
      <c r="D102" s="3">
        <f>SUMIF(Sales!$C$1571:$C$1801,'Inventory for Aug-31'!A102,Sales!$H$1571:$H$1801)/31</f>
        <v>2.193548387096774</v>
      </c>
      <c r="E102">
        <v>2</v>
      </c>
      <c r="F102">
        <v>34</v>
      </c>
      <c r="G102" s="3">
        <f>Inventory[[#This Row],[Daily Demand ]]*Inventory[[#This Row],[Lead Time (Days)]]+Inventory[[#This Row],[Safety Stock]]</f>
        <v>38.387096774193552</v>
      </c>
      <c r="H102" t="str" cm="1">
        <f t="array" ref="H10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03" spans="1:8">
      <c r="A103" t="s">
        <v>225</v>
      </c>
      <c r="B103">
        <v>52</v>
      </c>
      <c r="C103">
        <f>Inventory[[#This Row],[Stock on Hand Aug-01]]-SUMIF(Sales!$C$1571:$C$1801,Inventory[[#This Row],[SKU]],Sales!$H$1571:$H$1801)</f>
        <v>12</v>
      </c>
      <c r="D103" s="3">
        <f>SUMIF(Sales!$C$1571:$C$1801,'Inventory for Aug-31'!A103,Sales!$H$1571:$H$1801)/31</f>
        <v>1.2903225806451613</v>
      </c>
      <c r="E103">
        <v>2</v>
      </c>
      <c r="F103">
        <v>31</v>
      </c>
      <c r="G103" s="3">
        <f>Inventory[[#This Row],[Daily Demand ]]*Inventory[[#This Row],[Lead Time (Days)]]+Inventory[[#This Row],[Safety Stock]]</f>
        <v>33.58064516129032</v>
      </c>
      <c r="H103" t="str" cm="1">
        <f t="array" ref="H10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04" spans="1:8">
      <c r="A104" t="s">
        <v>227</v>
      </c>
      <c r="B104">
        <v>79</v>
      </c>
      <c r="C104">
        <f>Inventory[[#This Row],[Stock on Hand Aug-01]]-SUMIF(Sales!$C$1571:$C$1801,Inventory[[#This Row],[SKU]],Sales!$H$1571:$H$1801)</f>
        <v>26</v>
      </c>
      <c r="D104" s="3">
        <f>SUMIF(Sales!$C$1571:$C$1801,'Inventory for Aug-31'!A104,Sales!$H$1571:$H$1801)/31</f>
        <v>1.7096774193548387</v>
      </c>
      <c r="E104">
        <v>2</v>
      </c>
      <c r="F104">
        <v>24</v>
      </c>
      <c r="G104" s="3">
        <f>Inventory[[#This Row],[Daily Demand ]]*Inventory[[#This Row],[Lead Time (Days)]]+Inventory[[#This Row],[Safety Stock]]</f>
        <v>27.419354838709676</v>
      </c>
      <c r="H104" t="str" cm="1">
        <f t="array" ref="H10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05" spans="1:8">
      <c r="A105" t="s">
        <v>229</v>
      </c>
      <c r="B105">
        <v>39</v>
      </c>
      <c r="C105">
        <f>Inventory[[#This Row],[Stock on Hand Aug-01]]-SUMIF(Sales!$C$1571:$C$1801,Inventory[[#This Row],[SKU]],Sales!$H$1571:$H$1801)</f>
        <v>39</v>
      </c>
      <c r="D105" s="3">
        <f>SUMIF(Sales!$C$1571:$C$1801,'Inventory for Aug-31'!A105,Sales!$H$1571:$H$1801)/31</f>
        <v>0</v>
      </c>
      <c r="E105">
        <v>2</v>
      </c>
      <c r="F105">
        <v>19</v>
      </c>
      <c r="G105" s="3">
        <f>Inventory[[#This Row],[Daily Demand ]]*Inventory[[#This Row],[Lead Time (Days)]]+Inventory[[#This Row],[Safety Stock]]</f>
        <v>19</v>
      </c>
      <c r="H105" t="str" cm="1">
        <f t="array" ref="H10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06" spans="1:8">
      <c r="A106" t="s">
        <v>231</v>
      </c>
      <c r="B106">
        <v>132</v>
      </c>
      <c r="C106">
        <f>Inventory[[#This Row],[Stock on Hand Aug-01]]-SUMIF(Sales!$C$1571:$C$1801,Inventory[[#This Row],[SKU]],Sales!$H$1571:$H$1801)</f>
        <v>21</v>
      </c>
      <c r="D106" s="3">
        <f>SUMIF(Sales!$C$1571:$C$1801,'Inventory for Aug-31'!A106,Sales!$H$1571:$H$1801)/31</f>
        <v>3.5806451612903225</v>
      </c>
      <c r="E106">
        <v>2</v>
      </c>
      <c r="F106">
        <v>23</v>
      </c>
      <c r="G106" s="3">
        <f>Inventory[[#This Row],[Daily Demand ]]*Inventory[[#This Row],[Lead Time (Days)]]+Inventory[[#This Row],[Safety Stock]]</f>
        <v>30.161290322580644</v>
      </c>
      <c r="H106" t="str" cm="1">
        <f t="array" ref="H10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07" spans="1:8">
      <c r="A107" t="s">
        <v>233</v>
      </c>
      <c r="B107">
        <v>38</v>
      </c>
      <c r="C107">
        <f>Inventory[[#This Row],[Stock on Hand Aug-01]]-SUMIF(Sales!$C$1571:$C$1801,Inventory[[#This Row],[SKU]],Sales!$H$1571:$H$1801)</f>
        <v>38</v>
      </c>
      <c r="D107" s="3">
        <f>SUMIF(Sales!$C$1571:$C$1801,'Inventory for Aug-31'!A107,Sales!$H$1571:$H$1801)/31</f>
        <v>0</v>
      </c>
      <c r="E107">
        <v>2</v>
      </c>
      <c r="F107">
        <v>28</v>
      </c>
      <c r="G107" s="3">
        <f>Inventory[[#This Row],[Daily Demand ]]*Inventory[[#This Row],[Lead Time (Days)]]+Inventory[[#This Row],[Safety Stock]]</f>
        <v>28</v>
      </c>
      <c r="H107" t="str" cm="1">
        <f t="array" ref="H10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08" spans="1:8">
      <c r="A108" t="s">
        <v>235</v>
      </c>
      <c r="B108">
        <v>10</v>
      </c>
      <c r="C108">
        <f>Inventory[[#This Row],[Stock on Hand Aug-01]]-SUMIF(Sales!$C$1571:$C$1801,Inventory[[#This Row],[SKU]],Sales!$H$1571:$H$1801)</f>
        <v>10</v>
      </c>
      <c r="D108" s="3">
        <f>SUMIF(Sales!$C$1571:$C$1801,'Inventory for Aug-31'!A108,Sales!$H$1571:$H$1801)/31</f>
        <v>0</v>
      </c>
      <c r="E108">
        <v>2</v>
      </c>
      <c r="F108">
        <v>25</v>
      </c>
      <c r="G108" s="3">
        <f>Inventory[[#This Row],[Daily Demand ]]*Inventory[[#This Row],[Lead Time (Days)]]+Inventory[[#This Row],[Safety Stock]]</f>
        <v>25</v>
      </c>
      <c r="H108" t="str" cm="1">
        <f t="array" ref="H10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09" spans="1:8">
      <c r="A109" t="s">
        <v>237</v>
      </c>
      <c r="B109">
        <v>0</v>
      </c>
      <c r="C109">
        <f>Inventory[[#This Row],[Stock on Hand Aug-01]]-SUMIF(Sales!$C$1571:$C$1801,Inventory[[#This Row],[SKU]],Sales!$H$1571:$H$1801)</f>
        <v>0</v>
      </c>
      <c r="D109" s="3">
        <f>SUMIF(Sales!$C$1571:$C$1801,'Inventory for Aug-31'!A109,Sales!$H$1571:$H$1801)/31</f>
        <v>0</v>
      </c>
      <c r="E109">
        <v>2</v>
      </c>
      <c r="F109">
        <v>22</v>
      </c>
      <c r="G109" s="3">
        <f>Inventory[[#This Row],[Daily Demand ]]*Inventory[[#This Row],[Lead Time (Days)]]+Inventory[[#This Row],[Safety Stock]]</f>
        <v>22</v>
      </c>
      <c r="H109" t="str" cm="1">
        <f t="array" ref="H10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10" spans="1:8">
      <c r="A110" t="s">
        <v>239</v>
      </c>
      <c r="B110">
        <v>32</v>
      </c>
      <c r="C110">
        <f>Inventory[[#This Row],[Stock on Hand Aug-01]]-SUMIF(Sales!$C$1571:$C$1801,Inventory[[#This Row],[SKU]],Sales!$H$1571:$H$1801)</f>
        <v>32</v>
      </c>
      <c r="D110" s="3">
        <f>SUMIF(Sales!$C$1571:$C$1801,'Inventory for Aug-31'!A110,Sales!$H$1571:$H$1801)/31</f>
        <v>0</v>
      </c>
      <c r="E110">
        <v>2</v>
      </c>
      <c r="F110">
        <v>27</v>
      </c>
      <c r="G110" s="3">
        <f>Inventory[[#This Row],[Daily Demand ]]*Inventory[[#This Row],[Lead Time (Days)]]+Inventory[[#This Row],[Safety Stock]]</f>
        <v>27</v>
      </c>
      <c r="H110" t="str" cm="1">
        <f t="array" ref="H11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11" spans="1:8">
      <c r="A111" t="s">
        <v>241</v>
      </c>
      <c r="B111">
        <v>32</v>
      </c>
      <c r="C111">
        <f>Inventory[[#This Row],[Stock on Hand Aug-01]]-SUMIF(Sales!$C$1571:$C$1801,Inventory[[#This Row],[SKU]],Sales!$H$1571:$H$1801)</f>
        <v>32</v>
      </c>
      <c r="D111" s="3">
        <f>SUMIF(Sales!$C$1571:$C$1801,'Inventory for Aug-31'!A111,Sales!$H$1571:$H$1801)/31</f>
        <v>0</v>
      </c>
      <c r="E111">
        <v>2</v>
      </c>
      <c r="F111">
        <v>34</v>
      </c>
      <c r="G111" s="3">
        <f>Inventory[[#This Row],[Daily Demand ]]*Inventory[[#This Row],[Lead Time (Days)]]+Inventory[[#This Row],[Safety Stock]]</f>
        <v>34</v>
      </c>
      <c r="H111" t="str" cm="1">
        <f t="array" ref="H11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12" spans="1:8">
      <c r="A112" t="s">
        <v>243</v>
      </c>
      <c r="B112">
        <v>112</v>
      </c>
      <c r="C112">
        <f>Inventory[[#This Row],[Stock on Hand Aug-01]]-SUMIF(Sales!$C$1571:$C$1801,Inventory[[#This Row],[SKU]],Sales!$H$1571:$H$1801)</f>
        <v>41</v>
      </c>
      <c r="D112" s="3">
        <f>SUMIF(Sales!$C$1571:$C$1801,'Inventory for Aug-31'!A112,Sales!$H$1571:$H$1801)/31</f>
        <v>2.2903225806451615</v>
      </c>
      <c r="E112">
        <v>2</v>
      </c>
      <c r="F112">
        <v>34</v>
      </c>
      <c r="G112" s="3">
        <f>Inventory[[#This Row],[Daily Demand ]]*Inventory[[#This Row],[Lead Time (Days)]]+Inventory[[#This Row],[Safety Stock]]</f>
        <v>38.58064516129032</v>
      </c>
      <c r="H112" t="str" cm="1">
        <f t="array" ref="H11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13" spans="1:8">
      <c r="A113" t="s">
        <v>245</v>
      </c>
      <c r="B113">
        <v>81</v>
      </c>
      <c r="C113">
        <f>Inventory[[#This Row],[Stock on Hand Aug-01]]-SUMIF(Sales!$C$1571:$C$1801,Inventory[[#This Row],[SKU]],Sales!$H$1571:$H$1801)</f>
        <v>6</v>
      </c>
      <c r="D113" s="3">
        <f>SUMIF(Sales!$C$1571:$C$1801,'Inventory for Aug-31'!A113,Sales!$H$1571:$H$1801)/31</f>
        <v>2.4193548387096775</v>
      </c>
      <c r="E113">
        <v>2</v>
      </c>
      <c r="F113">
        <v>15</v>
      </c>
      <c r="G113" s="3">
        <f>Inventory[[#This Row],[Daily Demand ]]*Inventory[[#This Row],[Lead Time (Days)]]+Inventory[[#This Row],[Safety Stock]]</f>
        <v>19.838709677419356</v>
      </c>
      <c r="H113" t="str" cm="1">
        <f t="array" ref="H11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14" spans="1:8">
      <c r="A114" t="s">
        <v>247</v>
      </c>
      <c r="B114">
        <v>100</v>
      </c>
      <c r="C114">
        <f>Inventory[[#This Row],[Stock on Hand Aug-01]]-SUMIF(Sales!$C$1571:$C$1801,Inventory[[#This Row],[SKU]],Sales!$H$1571:$H$1801)</f>
        <v>31</v>
      </c>
      <c r="D114" s="3">
        <f>SUMIF(Sales!$C$1571:$C$1801,'Inventory for Aug-31'!A114,Sales!$H$1571:$H$1801)/31</f>
        <v>2.225806451612903</v>
      </c>
      <c r="E114">
        <v>2</v>
      </c>
      <c r="F114">
        <v>27</v>
      </c>
      <c r="G114" s="3">
        <f>Inventory[[#This Row],[Daily Demand ]]*Inventory[[#This Row],[Lead Time (Days)]]+Inventory[[#This Row],[Safety Stock]]</f>
        <v>31.451612903225808</v>
      </c>
      <c r="H114" t="str" cm="1">
        <f t="array" ref="H11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15" spans="1:8">
      <c r="A115" t="s">
        <v>249</v>
      </c>
      <c r="B115">
        <v>107</v>
      </c>
      <c r="C115">
        <f>Inventory[[#This Row],[Stock on Hand Aug-01]]-SUMIF(Sales!$C$1571:$C$1801,Inventory[[#This Row],[SKU]],Sales!$H$1571:$H$1801)</f>
        <v>40</v>
      </c>
      <c r="D115" s="3">
        <f>SUMIF(Sales!$C$1571:$C$1801,'Inventory for Aug-31'!A115,Sales!$H$1571:$H$1801)/31</f>
        <v>2.161290322580645</v>
      </c>
      <c r="E115">
        <v>2</v>
      </c>
      <c r="F115">
        <v>21</v>
      </c>
      <c r="G115" s="3">
        <f>Inventory[[#This Row],[Daily Demand ]]*Inventory[[#This Row],[Lead Time (Days)]]+Inventory[[#This Row],[Safety Stock]]</f>
        <v>25.322580645161288</v>
      </c>
      <c r="H115" t="str" cm="1">
        <f t="array" ref="H11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16" spans="1:8">
      <c r="A116" t="s">
        <v>251</v>
      </c>
      <c r="B116">
        <v>25</v>
      </c>
      <c r="C116">
        <f>Inventory[[#This Row],[Stock on Hand Aug-01]]-SUMIF(Sales!$C$1571:$C$1801,Inventory[[#This Row],[SKU]],Sales!$H$1571:$H$1801)</f>
        <v>25</v>
      </c>
      <c r="D116" s="3">
        <f>SUMIF(Sales!$C$1571:$C$1801,'Inventory for Aug-31'!A116,Sales!$H$1571:$H$1801)/31</f>
        <v>0</v>
      </c>
      <c r="E116">
        <v>2</v>
      </c>
      <c r="F116">
        <v>27</v>
      </c>
      <c r="G116" s="3">
        <f>Inventory[[#This Row],[Daily Demand ]]*Inventory[[#This Row],[Lead Time (Days)]]+Inventory[[#This Row],[Safety Stock]]</f>
        <v>27</v>
      </c>
      <c r="H116" t="str" cm="1">
        <f t="array" ref="H11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17" spans="1:8">
      <c r="A117" t="s">
        <v>253</v>
      </c>
      <c r="B117">
        <v>113</v>
      </c>
      <c r="C117">
        <f>Inventory[[#This Row],[Stock on Hand Aug-01]]-SUMIF(Sales!$C$1571:$C$1801,Inventory[[#This Row],[SKU]],Sales!$H$1571:$H$1801)</f>
        <v>67</v>
      </c>
      <c r="D117" s="3">
        <f>SUMIF(Sales!$C$1571:$C$1801,'Inventory for Aug-31'!A117,Sales!$H$1571:$H$1801)/31</f>
        <v>1.4838709677419355</v>
      </c>
      <c r="E117">
        <v>4</v>
      </c>
      <c r="F117">
        <v>64</v>
      </c>
      <c r="G117" s="3">
        <f>Inventory[[#This Row],[Daily Demand ]]*Inventory[[#This Row],[Lead Time (Days)]]+Inventory[[#This Row],[Safety Stock]]</f>
        <v>69.935483870967744</v>
      </c>
      <c r="H117" t="str" cm="1">
        <f t="array" ref="H11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18" spans="1:8">
      <c r="A118" t="s">
        <v>255</v>
      </c>
      <c r="B118">
        <v>207</v>
      </c>
      <c r="C118">
        <f>Inventory[[#This Row],[Stock on Hand Aug-01]]-SUMIF(Sales!$C$1571:$C$1801,Inventory[[#This Row],[SKU]],Sales!$H$1571:$H$1801)</f>
        <v>93</v>
      </c>
      <c r="D118" s="3">
        <f>SUMIF(Sales!$C$1571:$C$1801,'Inventory for Aug-31'!A118,Sales!$H$1571:$H$1801)/31</f>
        <v>3.6774193548387095</v>
      </c>
      <c r="E118">
        <v>4</v>
      </c>
      <c r="F118">
        <v>73</v>
      </c>
      <c r="G118" s="3">
        <f>Inventory[[#This Row],[Daily Demand ]]*Inventory[[#This Row],[Lead Time (Days)]]+Inventory[[#This Row],[Safety Stock]]</f>
        <v>87.709677419354833</v>
      </c>
      <c r="H118" t="str" cm="1">
        <f t="array" ref="H11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19" spans="1:8">
      <c r="A119" t="s">
        <v>257</v>
      </c>
      <c r="B119">
        <v>59</v>
      </c>
      <c r="C119">
        <f>Inventory[[#This Row],[Stock on Hand Aug-01]]-SUMIF(Sales!$C$1571:$C$1801,Inventory[[#This Row],[SKU]],Sales!$H$1571:$H$1801)</f>
        <v>0</v>
      </c>
      <c r="D119" s="3">
        <f>SUMIF(Sales!$C$1571:$C$1801,'Inventory for Aug-31'!A119,Sales!$H$1571:$H$1801)/31</f>
        <v>1.903225806451613</v>
      </c>
      <c r="E119">
        <v>4</v>
      </c>
      <c r="F119">
        <v>92</v>
      </c>
      <c r="G119" s="3">
        <f>Inventory[[#This Row],[Daily Demand ]]*Inventory[[#This Row],[Lead Time (Days)]]+Inventory[[#This Row],[Safety Stock]]</f>
        <v>99.612903225806448</v>
      </c>
      <c r="H119" t="str" cm="1">
        <f t="array" ref="H11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20" spans="1:8">
      <c r="A120" t="s">
        <v>259</v>
      </c>
      <c r="B120">
        <v>321</v>
      </c>
      <c r="C120">
        <f>Inventory[[#This Row],[Stock on Hand Aug-01]]-SUMIF(Sales!$C$1571:$C$1801,Inventory[[#This Row],[SKU]],Sales!$H$1571:$H$1801)</f>
        <v>83</v>
      </c>
      <c r="D120" s="3">
        <f>SUMIF(Sales!$C$1571:$C$1801,'Inventory for Aug-31'!A120,Sales!$H$1571:$H$1801)/31</f>
        <v>7.67741935483871</v>
      </c>
      <c r="E120">
        <v>4</v>
      </c>
      <c r="F120">
        <v>68</v>
      </c>
      <c r="G120" s="3">
        <f>Inventory[[#This Row],[Daily Demand ]]*Inventory[[#This Row],[Lead Time (Days)]]+Inventory[[#This Row],[Safety Stock]]</f>
        <v>98.709677419354847</v>
      </c>
      <c r="H120" t="str" cm="1">
        <f t="array" ref="H12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21" spans="1:8">
      <c r="A121" t="s">
        <v>261</v>
      </c>
      <c r="B121">
        <v>93</v>
      </c>
      <c r="C121">
        <f>Inventory[[#This Row],[Stock on Hand Aug-01]]-SUMIF(Sales!$C$1571:$C$1801,Inventory[[#This Row],[SKU]],Sales!$H$1571:$H$1801)</f>
        <v>93</v>
      </c>
      <c r="D121" s="3">
        <f>SUMIF(Sales!$C$1571:$C$1801,'Inventory for Aug-31'!A121,Sales!$H$1571:$H$1801)/31</f>
        <v>0</v>
      </c>
      <c r="E121">
        <v>4</v>
      </c>
      <c r="F121">
        <v>98</v>
      </c>
      <c r="G121" s="3">
        <f>Inventory[[#This Row],[Daily Demand ]]*Inventory[[#This Row],[Lead Time (Days)]]+Inventory[[#This Row],[Safety Stock]]</f>
        <v>98</v>
      </c>
      <c r="H121" t="str" cm="1">
        <f t="array" ref="H12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22" spans="1:8">
      <c r="A122" t="s">
        <v>263</v>
      </c>
      <c r="B122">
        <v>241</v>
      </c>
      <c r="C122">
        <f>Inventory[[#This Row],[Stock on Hand Aug-01]]-SUMIF(Sales!$C$1571:$C$1801,Inventory[[#This Row],[SKU]],Sales!$H$1571:$H$1801)</f>
        <v>19</v>
      </c>
      <c r="D122" s="3">
        <f>SUMIF(Sales!$C$1571:$C$1801,'Inventory for Aug-31'!A122,Sales!$H$1571:$H$1801)/31</f>
        <v>7.161290322580645</v>
      </c>
      <c r="E122">
        <v>4</v>
      </c>
      <c r="F122">
        <v>97</v>
      </c>
      <c r="G122" s="3">
        <f>Inventory[[#This Row],[Daily Demand ]]*Inventory[[#This Row],[Lead Time (Days)]]+Inventory[[#This Row],[Safety Stock]]</f>
        <v>125.64516129032258</v>
      </c>
      <c r="H122" t="str" cm="1">
        <f t="array" ref="H12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23" spans="1:8">
      <c r="A123" t="s">
        <v>265</v>
      </c>
      <c r="B123">
        <v>84</v>
      </c>
      <c r="C123">
        <f>Inventory[[#This Row],[Stock on Hand Aug-01]]-SUMIF(Sales!$C$1571:$C$1801,Inventory[[#This Row],[SKU]],Sales!$H$1571:$H$1801)</f>
        <v>84</v>
      </c>
      <c r="D123" s="3">
        <f>SUMIF(Sales!$C$1571:$C$1801,'Inventory for Aug-31'!A123,Sales!$H$1571:$H$1801)/31</f>
        <v>0</v>
      </c>
      <c r="E123">
        <v>4</v>
      </c>
      <c r="F123">
        <v>74</v>
      </c>
      <c r="G123" s="3">
        <f>Inventory[[#This Row],[Daily Demand ]]*Inventory[[#This Row],[Lead Time (Days)]]+Inventory[[#This Row],[Safety Stock]]</f>
        <v>74</v>
      </c>
      <c r="H123" t="str" cm="1">
        <f t="array" ref="H12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24" spans="1:8">
      <c r="A124" t="s">
        <v>267</v>
      </c>
      <c r="B124">
        <v>244</v>
      </c>
      <c r="C124">
        <f>Inventory[[#This Row],[Stock on Hand Aug-01]]-SUMIF(Sales!$C$1571:$C$1801,Inventory[[#This Row],[SKU]],Sales!$H$1571:$H$1801)</f>
        <v>108</v>
      </c>
      <c r="D124" s="3">
        <f>SUMIF(Sales!$C$1571:$C$1801,'Inventory for Aug-31'!A124,Sales!$H$1571:$H$1801)/31</f>
        <v>4.387096774193548</v>
      </c>
      <c r="E124">
        <v>4</v>
      </c>
      <c r="F124">
        <v>95</v>
      </c>
      <c r="G124" s="3">
        <f>Inventory[[#This Row],[Daily Demand ]]*Inventory[[#This Row],[Lead Time (Days)]]+Inventory[[#This Row],[Safety Stock]]</f>
        <v>112.54838709677419</v>
      </c>
      <c r="H124" t="str" cm="1">
        <f t="array" ref="H12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25" spans="1:8">
      <c r="A125" t="s">
        <v>269</v>
      </c>
      <c r="B125">
        <v>120</v>
      </c>
      <c r="C125">
        <f>Inventory[[#This Row],[Stock on Hand Aug-01]]-SUMIF(Sales!$C$1571:$C$1801,Inventory[[#This Row],[SKU]],Sales!$H$1571:$H$1801)</f>
        <v>74</v>
      </c>
      <c r="D125" s="3">
        <f>SUMIF(Sales!$C$1571:$C$1801,'Inventory for Aug-31'!A125,Sales!$H$1571:$H$1801)/31</f>
        <v>1.4838709677419355</v>
      </c>
      <c r="E125">
        <v>4</v>
      </c>
      <c r="F125">
        <v>93</v>
      </c>
      <c r="G125" s="3">
        <f>Inventory[[#This Row],[Daily Demand ]]*Inventory[[#This Row],[Lead Time (Days)]]+Inventory[[#This Row],[Safety Stock]]</f>
        <v>98.935483870967744</v>
      </c>
      <c r="H125" t="str" cm="1">
        <f t="array" ref="H12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26" spans="1:8">
      <c r="A126" t="s">
        <v>271</v>
      </c>
      <c r="B126">
        <v>210</v>
      </c>
      <c r="C126">
        <f>Inventory[[#This Row],[Stock on Hand Aug-01]]-SUMIF(Sales!$C$1571:$C$1801,Inventory[[#This Row],[SKU]],Sales!$H$1571:$H$1801)</f>
        <v>104</v>
      </c>
      <c r="D126" s="3">
        <f>SUMIF(Sales!$C$1571:$C$1801,'Inventory for Aug-31'!A126,Sales!$H$1571:$H$1801)/31</f>
        <v>3.4193548387096775</v>
      </c>
      <c r="E126">
        <v>4</v>
      </c>
      <c r="F126">
        <v>97</v>
      </c>
      <c r="G126" s="3">
        <f>Inventory[[#This Row],[Daily Demand ]]*Inventory[[#This Row],[Lead Time (Days)]]+Inventory[[#This Row],[Safety Stock]]</f>
        <v>110.6774193548387</v>
      </c>
      <c r="H126" t="str" cm="1">
        <f t="array" ref="H12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27" spans="1:8">
      <c r="A127" t="s">
        <v>273</v>
      </c>
      <c r="B127">
        <v>176</v>
      </c>
      <c r="C127">
        <f>Inventory[[#This Row],[Stock on Hand Aug-01]]-SUMIF(Sales!$C$1571:$C$1801,Inventory[[#This Row],[SKU]],Sales!$H$1571:$H$1801)</f>
        <v>102</v>
      </c>
      <c r="D127" s="3">
        <f>SUMIF(Sales!$C$1571:$C$1801,'Inventory for Aug-31'!A127,Sales!$H$1571:$H$1801)/31</f>
        <v>2.3870967741935485</v>
      </c>
      <c r="E127">
        <v>4</v>
      </c>
      <c r="F127">
        <v>82</v>
      </c>
      <c r="G127" s="3">
        <f>Inventory[[#This Row],[Daily Demand ]]*Inventory[[#This Row],[Lead Time (Days)]]+Inventory[[#This Row],[Safety Stock]]</f>
        <v>91.548387096774192</v>
      </c>
      <c r="H127" t="str" cm="1">
        <f t="array" ref="H12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28" spans="1:8">
      <c r="A128" t="s">
        <v>275</v>
      </c>
      <c r="B128">
        <v>214</v>
      </c>
      <c r="C128">
        <f>Inventory[[#This Row],[Stock on Hand Aug-01]]-SUMIF(Sales!$C$1571:$C$1801,Inventory[[#This Row],[SKU]],Sales!$H$1571:$H$1801)</f>
        <v>68</v>
      </c>
      <c r="D128" s="3">
        <f>SUMIF(Sales!$C$1571:$C$1801,'Inventory for Aug-31'!A128,Sales!$H$1571:$H$1801)/31</f>
        <v>4.709677419354839</v>
      </c>
      <c r="E128">
        <v>4</v>
      </c>
      <c r="F128">
        <v>63</v>
      </c>
      <c r="G128" s="3">
        <f>Inventory[[#This Row],[Daily Demand ]]*Inventory[[#This Row],[Lead Time (Days)]]+Inventory[[#This Row],[Safety Stock]]</f>
        <v>81.838709677419359</v>
      </c>
      <c r="H128" t="str" cm="1">
        <f t="array" ref="H12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29" spans="1:8">
      <c r="A129" t="s">
        <v>277</v>
      </c>
      <c r="B129">
        <v>40</v>
      </c>
      <c r="C129">
        <f>Inventory[[#This Row],[Stock on Hand Aug-01]]-SUMIF(Sales!$C$1571:$C$1801,Inventory[[#This Row],[SKU]],Sales!$H$1571:$H$1801)</f>
        <v>0</v>
      </c>
      <c r="D129" s="3">
        <f>SUMIF(Sales!$C$1571:$C$1801,'Inventory for Aug-31'!A129,Sales!$H$1571:$H$1801)/31</f>
        <v>1.2903225806451613</v>
      </c>
      <c r="E129">
        <v>4</v>
      </c>
      <c r="F129">
        <v>82</v>
      </c>
      <c r="G129" s="3">
        <f>Inventory[[#This Row],[Daily Demand ]]*Inventory[[#This Row],[Lead Time (Days)]]+Inventory[[#This Row],[Safety Stock]]</f>
        <v>87.161290322580641</v>
      </c>
      <c r="H129" t="str" cm="1">
        <f t="array" ref="H12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30" spans="1:8">
      <c r="A130" t="s">
        <v>279</v>
      </c>
      <c r="B130">
        <v>120</v>
      </c>
      <c r="C130">
        <f>Inventory[[#This Row],[Stock on Hand Aug-01]]-SUMIF(Sales!$C$1571:$C$1801,Inventory[[#This Row],[SKU]],Sales!$H$1571:$H$1801)</f>
        <v>52</v>
      </c>
      <c r="D130" s="3">
        <f>SUMIF(Sales!$C$1571:$C$1801,'Inventory for Aug-31'!A130,Sales!$H$1571:$H$1801)/31</f>
        <v>2.193548387096774</v>
      </c>
      <c r="E130">
        <v>4</v>
      </c>
      <c r="F130">
        <v>66</v>
      </c>
      <c r="G130" s="3">
        <f>Inventory[[#This Row],[Daily Demand ]]*Inventory[[#This Row],[Lead Time (Days)]]+Inventory[[#This Row],[Safety Stock]]</f>
        <v>74.774193548387103</v>
      </c>
      <c r="H130" t="str" cm="1">
        <f t="array" ref="H13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31" spans="1:8">
      <c r="A131" t="s">
        <v>281</v>
      </c>
      <c r="B131">
        <v>288</v>
      </c>
      <c r="C131">
        <f>Inventory[[#This Row],[Stock on Hand Aug-01]]-SUMIF(Sales!$C$1571:$C$1801,Inventory[[#This Row],[SKU]],Sales!$H$1571:$H$1801)</f>
        <v>106</v>
      </c>
      <c r="D131" s="3">
        <f>SUMIF(Sales!$C$1571:$C$1801,'Inventory for Aug-31'!A131,Sales!$H$1571:$H$1801)/31</f>
        <v>5.870967741935484</v>
      </c>
      <c r="E131">
        <v>4</v>
      </c>
      <c r="F131">
        <v>72</v>
      </c>
      <c r="G131" s="3">
        <f>Inventory[[#This Row],[Daily Demand ]]*Inventory[[#This Row],[Lead Time (Days)]]+Inventory[[#This Row],[Safety Stock]]</f>
        <v>95.483870967741936</v>
      </c>
      <c r="H131" t="str" cm="1">
        <f t="array" ref="H13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32" spans="1:8">
      <c r="A132" t="s">
        <v>283</v>
      </c>
      <c r="B132">
        <v>328</v>
      </c>
      <c r="C132">
        <f>Inventory[[#This Row],[Stock on Hand Aug-01]]-SUMIF(Sales!$C$1571:$C$1801,Inventory[[#This Row],[SKU]],Sales!$H$1571:$H$1801)</f>
        <v>99</v>
      </c>
      <c r="D132" s="3">
        <f>SUMIF(Sales!$C$1571:$C$1801,'Inventory for Aug-31'!A132,Sales!$H$1571:$H$1801)/31</f>
        <v>7.387096774193548</v>
      </c>
      <c r="E132">
        <v>4</v>
      </c>
      <c r="F132">
        <v>84</v>
      </c>
      <c r="G132" s="3">
        <f>Inventory[[#This Row],[Daily Demand ]]*Inventory[[#This Row],[Lead Time (Days)]]+Inventory[[#This Row],[Safety Stock]]</f>
        <v>113.54838709677419</v>
      </c>
      <c r="H132" t="str" cm="1">
        <f t="array" ref="H13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33" spans="1:8">
      <c r="A133" t="s">
        <v>285</v>
      </c>
      <c r="B133">
        <v>22</v>
      </c>
      <c r="C133">
        <f>Inventory[[#This Row],[Stock on Hand Aug-01]]-SUMIF(Sales!$C$1571:$C$1801,Inventory[[#This Row],[SKU]],Sales!$H$1571:$H$1801)</f>
        <v>22</v>
      </c>
      <c r="D133" s="3">
        <f>SUMIF(Sales!$C$1571:$C$1801,'Inventory for Aug-31'!A133,Sales!$H$1571:$H$1801)/31</f>
        <v>0</v>
      </c>
      <c r="E133">
        <v>4</v>
      </c>
      <c r="F133">
        <v>56</v>
      </c>
      <c r="G133" s="3">
        <f>Inventory[[#This Row],[Daily Demand ]]*Inventory[[#This Row],[Lead Time (Days)]]+Inventory[[#This Row],[Safety Stock]]</f>
        <v>56</v>
      </c>
      <c r="H133" t="str" cm="1">
        <f t="array" ref="H13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34" spans="1:8">
      <c r="A134" t="s">
        <v>287</v>
      </c>
      <c r="B134">
        <v>237</v>
      </c>
      <c r="C134">
        <f>Inventory[[#This Row],[Stock on Hand Aug-01]]-SUMIF(Sales!$C$1571:$C$1801,Inventory[[#This Row],[SKU]],Sales!$H$1571:$H$1801)</f>
        <v>57</v>
      </c>
      <c r="D134" s="3">
        <f>SUMIF(Sales!$C$1571:$C$1801,'Inventory for Aug-31'!A134,Sales!$H$1571:$H$1801)/31</f>
        <v>5.806451612903226</v>
      </c>
      <c r="E134">
        <v>4</v>
      </c>
      <c r="F134">
        <v>96</v>
      </c>
      <c r="G134" s="3">
        <f>Inventory[[#This Row],[Daily Demand ]]*Inventory[[#This Row],[Lead Time (Days)]]+Inventory[[#This Row],[Safety Stock]]</f>
        <v>119.2258064516129</v>
      </c>
      <c r="H134" t="str" cm="1">
        <f t="array" ref="H13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35" spans="1:8">
      <c r="A135" t="s">
        <v>289</v>
      </c>
      <c r="B135">
        <v>89</v>
      </c>
      <c r="C135">
        <f>Inventory[[#This Row],[Stock on Hand Aug-01]]-SUMIF(Sales!$C$1571:$C$1801,Inventory[[#This Row],[SKU]],Sales!$H$1571:$H$1801)</f>
        <v>89</v>
      </c>
      <c r="D135" s="3">
        <f>SUMIF(Sales!$C$1571:$C$1801,'Inventory for Aug-31'!A135,Sales!$H$1571:$H$1801)/31</f>
        <v>0</v>
      </c>
      <c r="E135">
        <v>4</v>
      </c>
      <c r="F135">
        <v>79</v>
      </c>
      <c r="G135" s="3">
        <f>Inventory[[#This Row],[Daily Demand ]]*Inventory[[#This Row],[Lead Time (Days)]]+Inventory[[#This Row],[Safety Stock]]</f>
        <v>79</v>
      </c>
      <c r="H135" t="str" cm="1">
        <f t="array" ref="H13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36" spans="1:8">
      <c r="A136" t="s">
        <v>291</v>
      </c>
      <c r="B136">
        <v>137</v>
      </c>
      <c r="C136">
        <f>Inventory[[#This Row],[Stock on Hand Aug-01]]-SUMIF(Sales!$C$1571:$C$1801,Inventory[[#This Row],[SKU]],Sales!$H$1571:$H$1801)</f>
        <v>78</v>
      </c>
      <c r="D136" s="3">
        <f>SUMIF(Sales!$C$1571:$C$1801,'Inventory for Aug-31'!A136,Sales!$H$1571:$H$1801)/31</f>
        <v>1.903225806451613</v>
      </c>
      <c r="E136">
        <v>4</v>
      </c>
      <c r="F136">
        <v>73</v>
      </c>
      <c r="G136" s="3">
        <f>Inventory[[#This Row],[Daily Demand ]]*Inventory[[#This Row],[Lead Time (Days)]]+Inventory[[#This Row],[Safety Stock]]</f>
        <v>80.612903225806448</v>
      </c>
      <c r="H136" t="str" cm="1">
        <f t="array" ref="H13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37" spans="1:8">
      <c r="A137" t="s">
        <v>293</v>
      </c>
      <c r="B137">
        <v>118</v>
      </c>
      <c r="C137">
        <f>Inventory[[#This Row],[Stock on Hand Aug-01]]-SUMIF(Sales!$C$1571:$C$1801,Inventory[[#This Row],[SKU]],Sales!$H$1571:$H$1801)</f>
        <v>19</v>
      </c>
      <c r="D137" s="3">
        <f>SUMIF(Sales!$C$1571:$C$1801,'Inventory for Aug-31'!A137,Sales!$H$1571:$H$1801)/31</f>
        <v>3.193548387096774</v>
      </c>
      <c r="E137">
        <v>4</v>
      </c>
      <c r="F137">
        <v>96</v>
      </c>
      <c r="G137" s="3">
        <f>Inventory[[#This Row],[Daily Demand ]]*Inventory[[#This Row],[Lead Time (Days)]]+Inventory[[#This Row],[Safety Stock]]</f>
        <v>108.7741935483871</v>
      </c>
      <c r="H137" t="str" cm="1">
        <f t="array" ref="H13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38" spans="1:8">
      <c r="A138" t="s">
        <v>295</v>
      </c>
      <c r="B138">
        <v>109</v>
      </c>
      <c r="C138">
        <f>Inventory[[#This Row],[Stock on Hand Aug-01]]-SUMIF(Sales!$C$1571:$C$1801,Inventory[[#This Row],[SKU]],Sales!$H$1571:$H$1801)</f>
        <v>67</v>
      </c>
      <c r="D138" s="3">
        <f>SUMIF(Sales!$C$1571:$C$1801,'Inventory for Aug-31'!A138,Sales!$H$1571:$H$1801)/31</f>
        <v>1.3548387096774193</v>
      </c>
      <c r="E138">
        <v>4</v>
      </c>
      <c r="F138">
        <v>64</v>
      </c>
      <c r="G138" s="3">
        <f>Inventory[[#This Row],[Daily Demand ]]*Inventory[[#This Row],[Lead Time (Days)]]+Inventory[[#This Row],[Safety Stock]]</f>
        <v>69.41935483870968</v>
      </c>
      <c r="H138" t="str" cm="1">
        <f t="array" ref="H13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39" spans="1:8">
      <c r="A139" t="s">
        <v>297</v>
      </c>
      <c r="B139">
        <v>92</v>
      </c>
      <c r="C139">
        <f>Inventory[[#This Row],[Stock on Hand Aug-01]]-SUMIF(Sales!$C$1571:$C$1801,Inventory[[#This Row],[SKU]],Sales!$H$1571:$H$1801)</f>
        <v>0</v>
      </c>
      <c r="D139" s="3">
        <f>SUMIF(Sales!$C$1571:$C$1801,'Inventory for Aug-31'!A139,Sales!$H$1571:$H$1801)/31</f>
        <v>2.967741935483871</v>
      </c>
      <c r="E139">
        <v>4</v>
      </c>
      <c r="F139">
        <v>60</v>
      </c>
      <c r="G139" s="3">
        <f>Inventory[[#This Row],[Daily Demand ]]*Inventory[[#This Row],[Lead Time (Days)]]+Inventory[[#This Row],[Safety Stock]]</f>
        <v>71.870967741935488</v>
      </c>
      <c r="H139" t="str" cm="1">
        <f t="array" ref="H13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40" spans="1:8">
      <c r="A140" t="s">
        <v>299</v>
      </c>
      <c r="B140">
        <v>104</v>
      </c>
      <c r="C140">
        <f>Inventory[[#This Row],[Stock on Hand Aug-01]]-SUMIF(Sales!$C$1571:$C$1801,Inventory[[#This Row],[SKU]],Sales!$H$1571:$H$1801)</f>
        <v>104</v>
      </c>
      <c r="D140" s="3">
        <f>SUMIF(Sales!$C$1571:$C$1801,'Inventory for Aug-31'!A140,Sales!$H$1571:$H$1801)/31</f>
        <v>0</v>
      </c>
      <c r="E140">
        <v>4</v>
      </c>
      <c r="F140">
        <v>89</v>
      </c>
      <c r="G140" s="3">
        <f>Inventory[[#This Row],[Daily Demand ]]*Inventory[[#This Row],[Lead Time (Days)]]+Inventory[[#This Row],[Safety Stock]]</f>
        <v>89</v>
      </c>
      <c r="H140" t="str" cm="1">
        <f t="array" ref="H14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41" spans="1:8">
      <c r="A141" t="s">
        <v>301</v>
      </c>
      <c r="B141">
        <v>250</v>
      </c>
      <c r="C141">
        <f>Inventory[[#This Row],[Stock on Hand Aug-01]]-SUMIF(Sales!$C$1571:$C$1801,Inventory[[#This Row],[SKU]],Sales!$H$1571:$H$1801)</f>
        <v>80</v>
      </c>
      <c r="D141" s="3">
        <f>SUMIF(Sales!$C$1571:$C$1801,'Inventory for Aug-31'!A141,Sales!$H$1571:$H$1801)/31</f>
        <v>5.4838709677419351</v>
      </c>
      <c r="E141">
        <v>4</v>
      </c>
      <c r="F141">
        <v>85</v>
      </c>
      <c r="G141" s="3">
        <f>Inventory[[#This Row],[Daily Demand ]]*Inventory[[#This Row],[Lead Time (Days)]]+Inventory[[#This Row],[Safety Stock]]</f>
        <v>106.93548387096774</v>
      </c>
      <c r="H141" t="str" cm="1">
        <f t="array" ref="H14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42" spans="1:8">
      <c r="A142" t="s">
        <v>303</v>
      </c>
      <c r="B142">
        <v>111</v>
      </c>
      <c r="C142">
        <f>Inventory[[#This Row],[Stock on Hand Aug-01]]-SUMIF(Sales!$C$1571:$C$1801,Inventory[[#This Row],[SKU]],Sales!$H$1571:$H$1801)</f>
        <v>63</v>
      </c>
      <c r="D142" s="3">
        <f>SUMIF(Sales!$C$1571:$C$1801,'Inventory for Aug-31'!A142,Sales!$H$1571:$H$1801)/31</f>
        <v>1.5483870967741935</v>
      </c>
      <c r="E142">
        <v>4</v>
      </c>
      <c r="F142">
        <v>59</v>
      </c>
      <c r="G142" s="3">
        <f>Inventory[[#This Row],[Daily Demand ]]*Inventory[[#This Row],[Lead Time (Days)]]+Inventory[[#This Row],[Safety Stock]]</f>
        <v>65.193548387096769</v>
      </c>
      <c r="H142" t="str" cm="1">
        <f t="array" ref="H14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43" spans="1:8">
      <c r="A143" t="s">
        <v>305</v>
      </c>
      <c r="B143">
        <v>143</v>
      </c>
      <c r="C143">
        <f>Inventory[[#This Row],[Stock on Hand Aug-01]]-SUMIF(Sales!$C$1571:$C$1801,Inventory[[#This Row],[SKU]],Sales!$H$1571:$H$1801)</f>
        <v>32</v>
      </c>
      <c r="D143" s="3">
        <f>SUMIF(Sales!$C$1571:$C$1801,'Inventory for Aug-31'!A143,Sales!$H$1571:$H$1801)/31</f>
        <v>3.5806451612903225</v>
      </c>
      <c r="E143">
        <v>4</v>
      </c>
      <c r="F143">
        <v>82</v>
      </c>
      <c r="G143" s="3">
        <f>Inventory[[#This Row],[Daily Demand ]]*Inventory[[#This Row],[Lead Time (Days)]]+Inventory[[#This Row],[Safety Stock]]</f>
        <v>96.322580645161295</v>
      </c>
      <c r="H143" t="str" cm="1">
        <f t="array" ref="H14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44" spans="1:8">
      <c r="A144" t="s">
        <v>307</v>
      </c>
      <c r="B144">
        <v>153</v>
      </c>
      <c r="C144">
        <f>Inventory[[#This Row],[Stock on Hand Aug-01]]-SUMIF(Sales!$C$1571:$C$1801,Inventory[[#This Row],[SKU]],Sales!$H$1571:$H$1801)</f>
        <v>90</v>
      </c>
      <c r="D144" s="3">
        <f>SUMIF(Sales!$C$1571:$C$1801,'Inventory for Aug-31'!A144,Sales!$H$1571:$H$1801)/31</f>
        <v>2.032258064516129</v>
      </c>
      <c r="E144">
        <v>4</v>
      </c>
      <c r="F144">
        <v>86</v>
      </c>
      <c r="G144" s="3">
        <f>Inventory[[#This Row],[Daily Demand ]]*Inventory[[#This Row],[Lead Time (Days)]]+Inventory[[#This Row],[Safety Stock]]</f>
        <v>94.129032258064512</v>
      </c>
      <c r="H144" t="str" cm="1">
        <f t="array" ref="H14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45" spans="1:8">
      <c r="A145" t="s">
        <v>309</v>
      </c>
      <c r="B145">
        <v>167</v>
      </c>
      <c r="C145">
        <f>Inventory[[#This Row],[Stock on Hand Aug-01]]-SUMIF(Sales!$C$1571:$C$1801,Inventory[[#This Row],[SKU]],Sales!$H$1571:$H$1801)</f>
        <v>115</v>
      </c>
      <c r="D145" s="3">
        <f>SUMIF(Sales!$C$1571:$C$1801,'Inventory for Aug-31'!A145,Sales!$H$1571:$H$1801)/31</f>
        <v>1.6774193548387097</v>
      </c>
      <c r="E145">
        <v>4</v>
      </c>
      <c r="F145">
        <v>88</v>
      </c>
      <c r="G145" s="3">
        <f>Inventory[[#This Row],[Daily Demand ]]*Inventory[[#This Row],[Lead Time (Days)]]+Inventory[[#This Row],[Safety Stock]]</f>
        <v>94.709677419354833</v>
      </c>
      <c r="H145" t="str" cm="1">
        <f t="array" ref="H14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46" spans="1:8">
      <c r="A146" t="s">
        <v>311</v>
      </c>
      <c r="B146">
        <v>182</v>
      </c>
      <c r="C146">
        <f>Inventory[[#This Row],[Stock on Hand Aug-01]]-SUMIF(Sales!$C$1571:$C$1801,Inventory[[#This Row],[SKU]],Sales!$H$1571:$H$1801)</f>
        <v>84</v>
      </c>
      <c r="D146" s="3">
        <f>SUMIF(Sales!$C$1571:$C$1801,'Inventory for Aug-31'!A146,Sales!$H$1571:$H$1801)/31</f>
        <v>3.161290322580645</v>
      </c>
      <c r="E146">
        <v>4</v>
      </c>
      <c r="F146">
        <v>81</v>
      </c>
      <c r="G146" s="3">
        <f>Inventory[[#This Row],[Daily Demand ]]*Inventory[[#This Row],[Lead Time (Days)]]+Inventory[[#This Row],[Safety Stock]]</f>
        <v>93.645161290322577</v>
      </c>
      <c r="H146" t="str" cm="1">
        <f t="array" ref="H14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47" spans="1:8">
      <c r="A147" t="s">
        <v>313</v>
      </c>
      <c r="B147">
        <v>130</v>
      </c>
      <c r="C147">
        <f>Inventory[[#This Row],[Stock on Hand Aug-01]]-SUMIF(Sales!$C$1571:$C$1801,Inventory[[#This Row],[SKU]],Sales!$H$1571:$H$1801)</f>
        <v>18</v>
      </c>
      <c r="D147" s="3">
        <f>SUMIF(Sales!$C$1571:$C$1801,'Inventory for Aug-31'!A147,Sales!$H$1571:$H$1801)/31</f>
        <v>3.6129032258064515</v>
      </c>
      <c r="E147">
        <v>4</v>
      </c>
      <c r="F147">
        <v>91</v>
      </c>
      <c r="G147" s="3">
        <f>Inventory[[#This Row],[Daily Demand ]]*Inventory[[#This Row],[Lead Time (Days)]]+Inventory[[#This Row],[Safety Stock]]</f>
        <v>105.45161290322581</v>
      </c>
      <c r="H147" t="str" cm="1">
        <f t="array" ref="H14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48" spans="1:8">
      <c r="A148" t="s">
        <v>315</v>
      </c>
      <c r="B148">
        <v>148</v>
      </c>
      <c r="C148">
        <f>Inventory[[#This Row],[Stock on Hand Aug-01]]-SUMIF(Sales!$C$1571:$C$1801,Inventory[[#This Row],[SKU]],Sales!$H$1571:$H$1801)</f>
        <v>96</v>
      </c>
      <c r="D148" s="3">
        <f>SUMIF(Sales!$C$1571:$C$1801,'Inventory for Aug-31'!A148,Sales!$H$1571:$H$1801)/31</f>
        <v>1.6774193548387097</v>
      </c>
      <c r="E148">
        <v>4</v>
      </c>
      <c r="F148">
        <v>92</v>
      </c>
      <c r="G148" s="3">
        <f>Inventory[[#This Row],[Daily Demand ]]*Inventory[[#This Row],[Lead Time (Days)]]+Inventory[[#This Row],[Safety Stock]]</f>
        <v>98.709677419354833</v>
      </c>
      <c r="H148" t="str" cm="1">
        <f t="array" ref="H14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49" spans="1:8">
      <c r="A149" t="s">
        <v>317</v>
      </c>
      <c r="B149">
        <v>73</v>
      </c>
      <c r="C149">
        <f>Inventory[[#This Row],[Stock on Hand Aug-01]]-SUMIF(Sales!$C$1571:$C$1801,Inventory[[#This Row],[SKU]],Sales!$H$1571:$H$1801)</f>
        <v>0</v>
      </c>
      <c r="D149" s="3">
        <f>SUMIF(Sales!$C$1571:$C$1801,'Inventory for Aug-31'!A149,Sales!$H$1571:$H$1801)/31</f>
        <v>2.3548387096774195</v>
      </c>
      <c r="E149">
        <v>4</v>
      </c>
      <c r="F149">
        <v>79</v>
      </c>
      <c r="G149" s="3">
        <f>Inventory[[#This Row],[Daily Demand ]]*Inventory[[#This Row],[Lead Time (Days)]]+Inventory[[#This Row],[Safety Stock]]</f>
        <v>88.41935483870968</v>
      </c>
      <c r="H149" t="str" cm="1">
        <f t="array" ref="H14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50" spans="1:8">
      <c r="A150" t="s">
        <v>319</v>
      </c>
      <c r="B150">
        <v>99</v>
      </c>
      <c r="C150">
        <f>Inventory[[#This Row],[Stock on Hand Aug-01]]-SUMIF(Sales!$C$1571:$C$1801,Inventory[[#This Row],[SKU]],Sales!$H$1571:$H$1801)</f>
        <v>64</v>
      </c>
      <c r="D150" s="3">
        <f>SUMIF(Sales!$C$1571:$C$1801,'Inventory for Aug-31'!A150,Sales!$H$1571:$H$1801)/31</f>
        <v>1.1290322580645162</v>
      </c>
      <c r="E150">
        <v>4</v>
      </c>
      <c r="F150">
        <v>54</v>
      </c>
      <c r="G150" s="3">
        <f>Inventory[[#This Row],[Daily Demand ]]*Inventory[[#This Row],[Lead Time (Days)]]+Inventory[[#This Row],[Safety Stock]]</f>
        <v>58.516129032258064</v>
      </c>
      <c r="H150" t="str" cm="1">
        <f t="array" ref="H15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51" spans="1:8">
      <c r="A151" t="s">
        <v>321</v>
      </c>
      <c r="B151">
        <v>155</v>
      </c>
      <c r="C151">
        <f>Inventory[[#This Row],[Stock on Hand Aug-01]]-SUMIF(Sales!$C$1571:$C$1801,Inventory[[#This Row],[SKU]],Sales!$H$1571:$H$1801)</f>
        <v>97</v>
      </c>
      <c r="D151" s="3">
        <f>SUMIF(Sales!$C$1571:$C$1801,'Inventory for Aug-31'!A151,Sales!$H$1571:$H$1801)/31</f>
        <v>1.8709677419354838</v>
      </c>
      <c r="E151">
        <v>4</v>
      </c>
      <c r="F151">
        <v>92</v>
      </c>
      <c r="G151" s="3">
        <f>Inventory[[#This Row],[Daily Demand ]]*Inventory[[#This Row],[Lead Time (Days)]]+Inventory[[#This Row],[Safety Stock]]</f>
        <v>99.483870967741936</v>
      </c>
      <c r="H151" t="str" cm="1">
        <f t="array" ref="H15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52" spans="1:8">
      <c r="A152" t="s">
        <v>323</v>
      </c>
      <c r="B152">
        <v>61</v>
      </c>
      <c r="C152">
        <f>Inventory[[#This Row],[Stock on Hand Aug-01]]-SUMIF(Sales!$C$1571:$C$1801,Inventory[[#This Row],[SKU]],Sales!$H$1571:$H$1801)</f>
        <v>5</v>
      </c>
      <c r="D152" s="3">
        <f>SUMIF(Sales!$C$1571:$C$1801,'Inventory for Aug-31'!A152,Sales!$H$1571:$H$1801)/31</f>
        <v>1.8064516129032258</v>
      </c>
      <c r="E152">
        <v>5</v>
      </c>
      <c r="F152">
        <v>28</v>
      </c>
      <c r="G152" s="3">
        <f>Inventory[[#This Row],[Daily Demand ]]*Inventory[[#This Row],[Lead Time (Days)]]+Inventory[[#This Row],[Safety Stock]]</f>
        <v>37.032258064516128</v>
      </c>
      <c r="H152" t="str" cm="1">
        <f t="array" ref="H15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53" spans="1:8">
      <c r="A153" t="s">
        <v>325</v>
      </c>
      <c r="B153">
        <v>67</v>
      </c>
      <c r="C153">
        <f>Inventory[[#This Row],[Stock on Hand Aug-01]]-SUMIF(Sales!$C$1571:$C$1801,Inventory[[#This Row],[SKU]],Sales!$H$1571:$H$1801)</f>
        <v>27</v>
      </c>
      <c r="D153" s="3">
        <f>SUMIF(Sales!$C$1571:$C$1801,'Inventory for Aug-31'!A153,Sales!$H$1571:$H$1801)/31</f>
        <v>1.2903225806451613</v>
      </c>
      <c r="E153">
        <v>5</v>
      </c>
      <c r="F153">
        <v>24</v>
      </c>
      <c r="G153" s="3">
        <f>Inventory[[#This Row],[Daily Demand ]]*Inventory[[#This Row],[Lead Time (Days)]]+Inventory[[#This Row],[Safety Stock]]</f>
        <v>30.451612903225808</v>
      </c>
      <c r="H153" t="str" cm="1">
        <f t="array" ref="H15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54" spans="1:8">
      <c r="A154" t="s">
        <v>327</v>
      </c>
      <c r="B154">
        <v>165</v>
      </c>
      <c r="C154">
        <f>Inventory[[#This Row],[Stock on Hand Aug-01]]-SUMIF(Sales!$C$1571:$C$1801,Inventory[[#This Row],[SKU]],Sales!$H$1571:$H$1801)</f>
        <v>42</v>
      </c>
      <c r="D154" s="3">
        <f>SUMIF(Sales!$C$1571:$C$1801,'Inventory for Aug-31'!A154,Sales!$H$1571:$H$1801)/31</f>
        <v>3.967741935483871</v>
      </c>
      <c r="E154">
        <v>5</v>
      </c>
      <c r="F154">
        <v>21</v>
      </c>
      <c r="G154" s="3">
        <f>Inventory[[#This Row],[Daily Demand ]]*Inventory[[#This Row],[Lead Time (Days)]]+Inventory[[#This Row],[Safety Stock]]</f>
        <v>40.838709677419359</v>
      </c>
      <c r="H154" t="str" cm="1">
        <f t="array" ref="H15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55" spans="1:8">
      <c r="A155" t="s">
        <v>329</v>
      </c>
      <c r="B155">
        <v>126</v>
      </c>
      <c r="C155">
        <f>Inventory[[#This Row],[Stock on Hand Aug-01]]-SUMIF(Sales!$C$1571:$C$1801,Inventory[[#This Row],[SKU]],Sales!$H$1571:$H$1801)</f>
        <v>47</v>
      </c>
      <c r="D155" s="3">
        <f>SUMIF(Sales!$C$1571:$C$1801,'Inventory for Aug-31'!A155,Sales!$H$1571:$H$1801)/31</f>
        <v>2.5483870967741935</v>
      </c>
      <c r="E155">
        <v>5</v>
      </c>
      <c r="F155">
        <v>44</v>
      </c>
      <c r="G155" s="3">
        <f>Inventory[[#This Row],[Daily Demand ]]*Inventory[[#This Row],[Lead Time (Days)]]+Inventory[[#This Row],[Safety Stock]]</f>
        <v>56.741935483870968</v>
      </c>
      <c r="H155" t="str" cm="1">
        <f t="array" ref="H15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56" spans="1:8">
      <c r="A156" t="s">
        <v>331</v>
      </c>
      <c r="B156">
        <v>120</v>
      </c>
      <c r="C156">
        <f>Inventory[[#This Row],[Stock on Hand Aug-01]]-SUMIF(Sales!$C$1571:$C$1801,Inventory[[#This Row],[SKU]],Sales!$H$1571:$H$1801)</f>
        <v>41</v>
      </c>
      <c r="D156" s="3">
        <f>SUMIF(Sales!$C$1571:$C$1801,'Inventory for Aug-31'!A156,Sales!$H$1571:$H$1801)/31</f>
        <v>2.5483870967741935</v>
      </c>
      <c r="E156">
        <v>5</v>
      </c>
      <c r="F156">
        <v>44</v>
      </c>
      <c r="G156" s="3">
        <f>Inventory[[#This Row],[Daily Demand ]]*Inventory[[#This Row],[Lead Time (Days)]]+Inventory[[#This Row],[Safety Stock]]</f>
        <v>56.741935483870968</v>
      </c>
      <c r="H156" t="str" cm="1">
        <f t="array" ref="H15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57" spans="1:8">
      <c r="A157" t="s">
        <v>333</v>
      </c>
      <c r="B157">
        <v>6</v>
      </c>
      <c r="C157">
        <f>Inventory[[#This Row],[Stock on Hand Aug-01]]-SUMIF(Sales!$C$1571:$C$1801,Inventory[[#This Row],[SKU]],Sales!$H$1571:$H$1801)</f>
        <v>6</v>
      </c>
      <c r="D157" s="3">
        <f>SUMIF(Sales!$C$1571:$C$1801,'Inventory for Aug-31'!A157,Sales!$H$1571:$H$1801)/31</f>
        <v>0</v>
      </c>
      <c r="E157">
        <v>5</v>
      </c>
      <c r="F157">
        <v>31</v>
      </c>
      <c r="G157" s="3">
        <f>Inventory[[#This Row],[Daily Demand ]]*Inventory[[#This Row],[Lead Time (Days)]]+Inventory[[#This Row],[Safety Stock]]</f>
        <v>31</v>
      </c>
      <c r="H157" t="str" cm="1">
        <f t="array" ref="H15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58" spans="1:8">
      <c r="A158" t="s">
        <v>335</v>
      </c>
      <c r="B158">
        <v>122</v>
      </c>
      <c r="C158">
        <f>Inventory[[#This Row],[Stock on Hand Aug-01]]-SUMIF(Sales!$C$1571:$C$1801,Inventory[[#This Row],[SKU]],Sales!$H$1571:$H$1801)</f>
        <v>47</v>
      </c>
      <c r="D158" s="3">
        <f>SUMIF(Sales!$C$1571:$C$1801,'Inventory for Aug-31'!A158,Sales!$H$1571:$H$1801)/31</f>
        <v>2.4193548387096775</v>
      </c>
      <c r="E158">
        <v>5</v>
      </c>
      <c r="F158">
        <v>32</v>
      </c>
      <c r="G158" s="3">
        <f>Inventory[[#This Row],[Daily Demand ]]*Inventory[[#This Row],[Lead Time (Days)]]+Inventory[[#This Row],[Safety Stock]]</f>
        <v>44.096774193548384</v>
      </c>
      <c r="H158" t="str" cm="1">
        <f t="array" ref="H15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59" spans="1:8">
      <c r="A159" t="s">
        <v>337</v>
      </c>
      <c r="B159">
        <v>76</v>
      </c>
      <c r="C159">
        <f>Inventory[[#This Row],[Stock on Hand Aug-01]]-SUMIF(Sales!$C$1571:$C$1801,Inventory[[#This Row],[SKU]],Sales!$H$1571:$H$1801)</f>
        <v>0</v>
      </c>
      <c r="D159" s="3">
        <f>SUMIF(Sales!$C$1571:$C$1801,'Inventory for Aug-31'!A159,Sales!$H$1571:$H$1801)/31</f>
        <v>2.4516129032258065</v>
      </c>
      <c r="E159">
        <v>5</v>
      </c>
      <c r="F159">
        <v>43</v>
      </c>
      <c r="G159" s="3">
        <f>Inventory[[#This Row],[Daily Demand ]]*Inventory[[#This Row],[Lead Time (Days)]]+Inventory[[#This Row],[Safety Stock]]</f>
        <v>55.258064516129032</v>
      </c>
      <c r="H159" t="str" cm="1">
        <f t="array" ref="H15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60" spans="1:8">
      <c r="A160" t="s">
        <v>339</v>
      </c>
      <c r="B160">
        <v>72</v>
      </c>
      <c r="C160">
        <f>Inventory[[#This Row],[Stock on Hand Aug-01]]-SUMIF(Sales!$C$1571:$C$1801,Inventory[[#This Row],[SKU]],Sales!$H$1571:$H$1801)</f>
        <v>39</v>
      </c>
      <c r="D160" s="3">
        <f>SUMIF(Sales!$C$1571:$C$1801,'Inventory for Aug-31'!A160,Sales!$H$1571:$H$1801)/31</f>
        <v>1.064516129032258</v>
      </c>
      <c r="E160">
        <v>5</v>
      </c>
      <c r="F160">
        <v>36</v>
      </c>
      <c r="G160" s="3">
        <f>Inventory[[#This Row],[Daily Demand ]]*Inventory[[#This Row],[Lead Time (Days)]]+Inventory[[#This Row],[Safety Stock]]</f>
        <v>41.322580645161288</v>
      </c>
      <c r="H160" t="str" cm="1">
        <f t="array" ref="H16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61" spans="1:8">
      <c r="A161" t="s">
        <v>341</v>
      </c>
      <c r="B161">
        <v>90</v>
      </c>
      <c r="C161">
        <f>Inventory[[#This Row],[Stock on Hand Aug-01]]-SUMIF(Sales!$C$1571:$C$1801,Inventory[[#This Row],[SKU]],Sales!$H$1571:$H$1801)</f>
        <v>31</v>
      </c>
      <c r="D161" s="3">
        <f>SUMIF(Sales!$C$1571:$C$1801,'Inventory for Aug-31'!A161,Sales!$H$1571:$H$1801)/31</f>
        <v>1.903225806451613</v>
      </c>
      <c r="E161">
        <v>5</v>
      </c>
      <c r="F161">
        <v>33</v>
      </c>
      <c r="G161" s="3">
        <f>Inventory[[#This Row],[Daily Demand ]]*Inventory[[#This Row],[Lead Time (Days)]]+Inventory[[#This Row],[Safety Stock]]</f>
        <v>42.516129032258064</v>
      </c>
      <c r="H161" t="str" cm="1">
        <f t="array" ref="H16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62" spans="1:8">
      <c r="A162" t="s">
        <v>343</v>
      </c>
      <c r="B162">
        <v>30</v>
      </c>
      <c r="C162">
        <f>Inventory[[#This Row],[Stock on Hand Aug-01]]-SUMIF(Sales!$C$1571:$C$1801,Inventory[[#This Row],[SKU]],Sales!$H$1571:$H$1801)</f>
        <v>30</v>
      </c>
      <c r="D162" s="3">
        <f>SUMIF(Sales!$C$1571:$C$1801,'Inventory for Aug-31'!A162,Sales!$H$1571:$H$1801)/31</f>
        <v>0</v>
      </c>
      <c r="E162">
        <v>5</v>
      </c>
      <c r="F162">
        <v>25</v>
      </c>
      <c r="G162" s="3">
        <f>Inventory[[#This Row],[Daily Demand ]]*Inventory[[#This Row],[Lead Time (Days)]]+Inventory[[#This Row],[Safety Stock]]</f>
        <v>25</v>
      </c>
      <c r="H162" t="str" cm="1">
        <f t="array" ref="H16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63" spans="1:8">
      <c r="A163" t="s">
        <v>345</v>
      </c>
      <c r="B163">
        <v>14</v>
      </c>
      <c r="C163">
        <f>Inventory[[#This Row],[Stock on Hand Aug-01]]-SUMIF(Sales!$C$1571:$C$1801,Inventory[[#This Row],[SKU]],Sales!$H$1571:$H$1801)</f>
        <v>14</v>
      </c>
      <c r="D163" s="3">
        <f>SUMIF(Sales!$C$1571:$C$1801,'Inventory for Aug-31'!A163,Sales!$H$1571:$H$1801)/31</f>
        <v>0</v>
      </c>
      <c r="E163">
        <v>5</v>
      </c>
      <c r="F163">
        <v>36</v>
      </c>
      <c r="G163" s="3">
        <f>Inventory[[#This Row],[Daily Demand ]]*Inventory[[#This Row],[Lead Time (Days)]]+Inventory[[#This Row],[Safety Stock]]</f>
        <v>36</v>
      </c>
      <c r="H163" t="str" cm="1">
        <f t="array" ref="H16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64" spans="1:8">
      <c r="A164" t="s">
        <v>347</v>
      </c>
      <c r="B164">
        <v>142</v>
      </c>
      <c r="C164">
        <f>Inventory[[#This Row],[Stock on Hand Aug-01]]-SUMIF(Sales!$C$1571:$C$1801,Inventory[[#This Row],[SKU]],Sales!$H$1571:$H$1801)</f>
        <v>33</v>
      </c>
      <c r="D164" s="3">
        <f>SUMIF(Sales!$C$1571:$C$1801,'Inventory for Aug-31'!A164,Sales!$H$1571:$H$1801)/31</f>
        <v>3.5161290322580645</v>
      </c>
      <c r="E164">
        <v>5</v>
      </c>
      <c r="F164">
        <v>29</v>
      </c>
      <c r="G164" s="3">
        <f>Inventory[[#This Row],[Daily Demand ]]*Inventory[[#This Row],[Lead Time (Days)]]+Inventory[[#This Row],[Safety Stock]]</f>
        <v>46.58064516129032</v>
      </c>
      <c r="H164" t="str" cm="1">
        <f t="array" ref="H16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65" spans="1:8">
      <c r="A165" t="s">
        <v>349</v>
      </c>
      <c r="B165">
        <v>28</v>
      </c>
      <c r="C165">
        <f>Inventory[[#This Row],[Stock on Hand Aug-01]]-SUMIF(Sales!$C$1571:$C$1801,Inventory[[#This Row],[SKU]],Sales!$H$1571:$H$1801)</f>
        <v>28</v>
      </c>
      <c r="D165" s="3">
        <f>SUMIF(Sales!$C$1571:$C$1801,'Inventory for Aug-31'!A165,Sales!$H$1571:$H$1801)/31</f>
        <v>0</v>
      </c>
      <c r="E165">
        <v>5</v>
      </c>
      <c r="F165">
        <v>35</v>
      </c>
      <c r="G165" s="3">
        <f>Inventory[[#This Row],[Daily Demand ]]*Inventory[[#This Row],[Lead Time (Days)]]+Inventory[[#This Row],[Safety Stock]]</f>
        <v>35</v>
      </c>
      <c r="H165" t="str" cm="1">
        <f t="array" ref="H16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66" spans="1:8">
      <c r="A166" t="s">
        <v>351</v>
      </c>
      <c r="B166">
        <v>104</v>
      </c>
      <c r="C166">
        <f>Inventory[[#This Row],[Stock on Hand Aug-01]]-SUMIF(Sales!$C$1571:$C$1801,Inventory[[#This Row],[SKU]],Sales!$H$1571:$H$1801)</f>
        <v>40</v>
      </c>
      <c r="D166" s="3">
        <f>SUMIF(Sales!$C$1571:$C$1801,'Inventory for Aug-31'!A166,Sales!$H$1571:$H$1801)/31</f>
        <v>2.064516129032258</v>
      </c>
      <c r="E166">
        <v>5</v>
      </c>
      <c r="F166">
        <v>26</v>
      </c>
      <c r="G166" s="3">
        <f>Inventory[[#This Row],[Daily Demand ]]*Inventory[[#This Row],[Lead Time (Days)]]+Inventory[[#This Row],[Safety Stock]]</f>
        <v>36.322580645161288</v>
      </c>
      <c r="H166" t="str" cm="1">
        <f t="array" ref="H16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67" spans="1:8">
      <c r="A167" t="s">
        <v>353</v>
      </c>
      <c r="B167">
        <v>74</v>
      </c>
      <c r="C167">
        <f>Inventory[[#This Row],[Stock on Hand Aug-01]]-SUMIF(Sales!$C$1571:$C$1801,Inventory[[#This Row],[SKU]],Sales!$H$1571:$H$1801)</f>
        <v>32</v>
      </c>
      <c r="D167" s="3">
        <f>SUMIF(Sales!$C$1571:$C$1801,'Inventory for Aug-31'!A167,Sales!$H$1571:$H$1801)/31</f>
        <v>1.3548387096774193</v>
      </c>
      <c r="E167">
        <v>5</v>
      </c>
      <c r="F167">
        <v>30</v>
      </c>
      <c r="G167" s="3">
        <f>Inventory[[#This Row],[Daily Demand ]]*Inventory[[#This Row],[Lead Time (Days)]]+Inventory[[#This Row],[Safety Stock]]</f>
        <v>36.774193548387096</v>
      </c>
      <c r="H167" t="str" cm="1">
        <f t="array" ref="H16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68" spans="1:8">
      <c r="A168" t="s">
        <v>355</v>
      </c>
      <c r="B168">
        <v>62</v>
      </c>
      <c r="C168">
        <f>Inventory[[#This Row],[Stock on Hand Aug-01]]-SUMIF(Sales!$C$1571:$C$1801,Inventory[[#This Row],[SKU]],Sales!$H$1571:$H$1801)</f>
        <v>9</v>
      </c>
      <c r="D168" s="3">
        <f>SUMIF(Sales!$C$1571:$C$1801,'Inventory for Aug-31'!A168,Sales!$H$1571:$H$1801)/31</f>
        <v>1.7096774193548387</v>
      </c>
      <c r="E168">
        <v>5</v>
      </c>
      <c r="F168">
        <v>23</v>
      </c>
      <c r="G168" s="3">
        <f>Inventory[[#This Row],[Daily Demand ]]*Inventory[[#This Row],[Lead Time (Days)]]+Inventory[[#This Row],[Safety Stock]]</f>
        <v>31.548387096774192</v>
      </c>
      <c r="H168" t="str" cm="1">
        <f t="array" ref="H16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69" spans="1:8">
      <c r="A169" t="s">
        <v>357</v>
      </c>
      <c r="B169">
        <v>86</v>
      </c>
      <c r="C169">
        <f>Inventory[[#This Row],[Stock on Hand Aug-01]]-SUMIF(Sales!$C$1571:$C$1801,Inventory[[#This Row],[SKU]],Sales!$H$1571:$H$1801)</f>
        <v>0</v>
      </c>
      <c r="D169" s="3">
        <f>SUMIF(Sales!$C$1571:$C$1801,'Inventory for Aug-31'!A169,Sales!$H$1571:$H$1801)/31</f>
        <v>2.774193548387097</v>
      </c>
      <c r="E169">
        <v>5</v>
      </c>
      <c r="F169">
        <v>28</v>
      </c>
      <c r="G169" s="3">
        <f>Inventory[[#This Row],[Daily Demand ]]*Inventory[[#This Row],[Lead Time (Days)]]+Inventory[[#This Row],[Safety Stock]]</f>
        <v>41.870967741935488</v>
      </c>
      <c r="H169" t="str" cm="1">
        <f t="array" ref="H16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70" spans="1:8">
      <c r="A170" t="s">
        <v>359</v>
      </c>
      <c r="B170">
        <v>30</v>
      </c>
      <c r="C170">
        <f>Inventory[[#This Row],[Stock on Hand Aug-01]]-SUMIF(Sales!$C$1571:$C$1801,Inventory[[#This Row],[SKU]],Sales!$H$1571:$H$1801)</f>
        <v>30</v>
      </c>
      <c r="D170" s="3">
        <f>SUMIF(Sales!$C$1571:$C$1801,'Inventory for Aug-31'!A170,Sales!$H$1571:$H$1801)/31</f>
        <v>0</v>
      </c>
      <c r="E170">
        <v>5</v>
      </c>
      <c r="F170">
        <v>25</v>
      </c>
      <c r="G170" s="3">
        <f>Inventory[[#This Row],[Daily Demand ]]*Inventory[[#This Row],[Lead Time (Days)]]+Inventory[[#This Row],[Safety Stock]]</f>
        <v>25</v>
      </c>
      <c r="H170" t="str" cm="1">
        <f t="array" ref="H17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71" spans="1:8">
      <c r="A171" t="s">
        <v>361</v>
      </c>
      <c r="B171">
        <v>124</v>
      </c>
      <c r="C171">
        <f>Inventory[[#This Row],[Stock on Hand Aug-01]]-SUMIF(Sales!$C$1571:$C$1801,Inventory[[#This Row],[SKU]],Sales!$H$1571:$H$1801)</f>
        <v>50</v>
      </c>
      <c r="D171" s="3">
        <f>SUMIF(Sales!$C$1571:$C$1801,'Inventory for Aug-31'!A171,Sales!$H$1571:$H$1801)/31</f>
        <v>2.3870967741935485</v>
      </c>
      <c r="E171">
        <v>5</v>
      </c>
      <c r="F171">
        <v>45</v>
      </c>
      <c r="G171" s="3">
        <f>Inventory[[#This Row],[Daily Demand ]]*Inventory[[#This Row],[Lead Time (Days)]]+Inventory[[#This Row],[Safety Stock]]</f>
        <v>56.935483870967744</v>
      </c>
      <c r="H171" t="str" cm="1">
        <f t="array" ref="H17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72" spans="1:8">
      <c r="A172" t="s">
        <v>363</v>
      </c>
      <c r="B172">
        <v>5</v>
      </c>
      <c r="C172">
        <f>Inventory[[#This Row],[Stock on Hand Aug-01]]-SUMIF(Sales!$C$1571:$C$1801,Inventory[[#This Row],[SKU]],Sales!$H$1571:$H$1801)</f>
        <v>5</v>
      </c>
      <c r="D172" s="3">
        <f>SUMIF(Sales!$C$1571:$C$1801,'Inventory for Aug-31'!A172,Sales!$H$1571:$H$1801)/31</f>
        <v>0</v>
      </c>
      <c r="E172">
        <v>7</v>
      </c>
      <c r="F172">
        <v>28</v>
      </c>
      <c r="G172" s="3">
        <f>Inventory[[#This Row],[Daily Demand ]]*Inventory[[#This Row],[Lead Time (Days)]]+Inventory[[#This Row],[Safety Stock]]</f>
        <v>28</v>
      </c>
      <c r="H172" t="str" cm="1">
        <f t="array" ref="H17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73" spans="1:8">
      <c r="A173" t="s">
        <v>366</v>
      </c>
      <c r="B173">
        <v>41</v>
      </c>
      <c r="C173">
        <f>Inventory[[#This Row],[Stock on Hand Aug-01]]-SUMIF(Sales!$C$1571:$C$1801,Inventory[[#This Row],[SKU]],Sales!$H$1571:$H$1801)</f>
        <v>41</v>
      </c>
      <c r="D173" s="3">
        <f>SUMIF(Sales!$C$1571:$C$1801,'Inventory for Aug-31'!A173,Sales!$H$1571:$H$1801)/31</f>
        <v>0</v>
      </c>
      <c r="E173">
        <v>7</v>
      </c>
      <c r="F173">
        <v>21</v>
      </c>
      <c r="G173" s="3">
        <f>Inventory[[#This Row],[Daily Demand ]]*Inventory[[#This Row],[Lead Time (Days)]]+Inventory[[#This Row],[Safety Stock]]</f>
        <v>21</v>
      </c>
      <c r="H173" t="str" cm="1">
        <f t="array" ref="H17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74" spans="1:8">
      <c r="A174" t="s">
        <v>368</v>
      </c>
      <c r="B174">
        <v>61</v>
      </c>
      <c r="C174">
        <f>Inventory[[#This Row],[Stock on Hand Aug-01]]-SUMIF(Sales!$C$1571:$C$1801,Inventory[[#This Row],[SKU]],Sales!$H$1571:$H$1801)</f>
        <v>15</v>
      </c>
      <c r="D174" s="3">
        <f>SUMIF(Sales!$C$1571:$C$1801,'Inventory for Aug-31'!A174,Sales!$H$1571:$H$1801)/31</f>
        <v>1.4838709677419355</v>
      </c>
      <c r="E174">
        <v>7</v>
      </c>
      <c r="F174">
        <v>25</v>
      </c>
      <c r="G174" s="3">
        <f>Inventory[[#This Row],[Daily Demand ]]*Inventory[[#This Row],[Lead Time (Days)]]+Inventory[[#This Row],[Safety Stock]]</f>
        <v>35.387096774193552</v>
      </c>
      <c r="H174" t="str" cm="1">
        <f t="array" ref="H17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75" spans="1:8">
      <c r="A175" t="s">
        <v>370</v>
      </c>
      <c r="B175">
        <v>14</v>
      </c>
      <c r="C175">
        <f>Inventory[[#This Row],[Stock on Hand Aug-01]]-SUMIF(Sales!$C$1571:$C$1801,Inventory[[#This Row],[SKU]],Sales!$H$1571:$H$1801)</f>
        <v>14</v>
      </c>
      <c r="D175" s="3">
        <f>SUMIF(Sales!$C$1571:$C$1801,'Inventory for Aug-31'!A175,Sales!$H$1571:$H$1801)/31</f>
        <v>0</v>
      </c>
      <c r="E175">
        <v>7</v>
      </c>
      <c r="F175">
        <v>18</v>
      </c>
      <c r="G175" s="3">
        <f>Inventory[[#This Row],[Daily Demand ]]*Inventory[[#This Row],[Lead Time (Days)]]+Inventory[[#This Row],[Safety Stock]]</f>
        <v>18</v>
      </c>
      <c r="H175" t="str" cm="1">
        <f t="array" ref="H17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76" spans="1:8">
      <c r="A176" t="s">
        <v>372</v>
      </c>
      <c r="B176">
        <v>77</v>
      </c>
      <c r="C176">
        <f>Inventory[[#This Row],[Stock on Hand Aug-01]]-SUMIF(Sales!$C$1571:$C$1801,Inventory[[#This Row],[SKU]],Sales!$H$1571:$H$1801)</f>
        <v>24</v>
      </c>
      <c r="D176" s="3">
        <f>SUMIF(Sales!$C$1571:$C$1801,'Inventory for Aug-31'!A176,Sales!$H$1571:$H$1801)/31</f>
        <v>1.7096774193548387</v>
      </c>
      <c r="E176">
        <v>7</v>
      </c>
      <c r="F176">
        <v>22</v>
      </c>
      <c r="G176" s="3">
        <f>Inventory[[#This Row],[Daily Demand ]]*Inventory[[#This Row],[Lead Time (Days)]]+Inventory[[#This Row],[Safety Stock]]</f>
        <v>33.967741935483872</v>
      </c>
      <c r="H176" t="str" cm="1">
        <f t="array" ref="H17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77" spans="1:8">
      <c r="A177" t="s">
        <v>374</v>
      </c>
      <c r="B177">
        <v>49</v>
      </c>
      <c r="C177">
        <f>Inventory[[#This Row],[Stock on Hand Aug-01]]-SUMIF(Sales!$C$1571:$C$1801,Inventory[[#This Row],[SKU]],Sales!$H$1571:$H$1801)</f>
        <v>49</v>
      </c>
      <c r="D177" s="3">
        <f>SUMIF(Sales!$C$1571:$C$1801,'Inventory for Aug-31'!A177,Sales!$H$1571:$H$1801)/31</f>
        <v>0</v>
      </c>
      <c r="E177">
        <v>7</v>
      </c>
      <c r="F177">
        <v>29</v>
      </c>
      <c r="G177" s="3">
        <f>Inventory[[#This Row],[Daily Demand ]]*Inventory[[#This Row],[Lead Time (Days)]]+Inventory[[#This Row],[Safety Stock]]</f>
        <v>29</v>
      </c>
      <c r="H177" t="str" cm="1">
        <f t="array" ref="H17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78" spans="1:8">
      <c r="A178" t="s">
        <v>376</v>
      </c>
      <c r="B178">
        <v>5</v>
      </c>
      <c r="C178">
        <f>Inventory[[#This Row],[Stock on Hand Aug-01]]-SUMIF(Sales!$C$1571:$C$1801,Inventory[[#This Row],[SKU]],Sales!$H$1571:$H$1801)</f>
        <v>5</v>
      </c>
      <c r="D178" s="3">
        <f>SUMIF(Sales!$C$1571:$C$1801,'Inventory for Aug-31'!A178,Sales!$H$1571:$H$1801)/31</f>
        <v>0</v>
      </c>
      <c r="E178">
        <v>7</v>
      </c>
      <c r="F178">
        <v>14</v>
      </c>
      <c r="G178" s="3">
        <f>Inventory[[#This Row],[Daily Demand ]]*Inventory[[#This Row],[Lead Time (Days)]]+Inventory[[#This Row],[Safety Stock]]</f>
        <v>14</v>
      </c>
      <c r="H178" t="str" cm="1">
        <f t="array" ref="H17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79" spans="1:8">
      <c r="A179" t="s">
        <v>378</v>
      </c>
      <c r="B179">
        <v>43</v>
      </c>
      <c r="C179">
        <f>Inventory[[#This Row],[Stock on Hand Aug-01]]-SUMIF(Sales!$C$1571:$C$1801,Inventory[[#This Row],[SKU]],Sales!$H$1571:$H$1801)</f>
        <v>0</v>
      </c>
      <c r="D179" s="3">
        <f>SUMIF(Sales!$C$1571:$C$1801,'Inventory for Aug-31'!A179,Sales!$H$1571:$H$1801)/31</f>
        <v>1.3870967741935485</v>
      </c>
      <c r="E179">
        <v>7</v>
      </c>
      <c r="F179">
        <v>20</v>
      </c>
      <c r="G179" s="3">
        <f>Inventory[[#This Row],[Daily Demand ]]*Inventory[[#This Row],[Lead Time (Days)]]+Inventory[[#This Row],[Safety Stock]]</f>
        <v>29.70967741935484</v>
      </c>
      <c r="H179" t="str" cm="1">
        <f t="array" ref="H17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80" spans="1:8">
      <c r="A180" t="s">
        <v>380</v>
      </c>
      <c r="B180">
        <v>119</v>
      </c>
      <c r="C180">
        <f>Inventory[[#This Row],[Stock on Hand Aug-01]]-SUMIF(Sales!$C$1571:$C$1801,Inventory[[#This Row],[SKU]],Sales!$H$1571:$H$1801)</f>
        <v>50</v>
      </c>
      <c r="D180" s="3">
        <f>SUMIF(Sales!$C$1571:$C$1801,'Inventory for Aug-31'!A180,Sales!$H$1571:$H$1801)/31</f>
        <v>2.225806451612903</v>
      </c>
      <c r="E180">
        <v>7</v>
      </c>
      <c r="F180">
        <v>26</v>
      </c>
      <c r="G180" s="3">
        <f>Inventory[[#This Row],[Daily Demand ]]*Inventory[[#This Row],[Lead Time (Days)]]+Inventory[[#This Row],[Safety Stock]]</f>
        <v>41.58064516129032</v>
      </c>
      <c r="H180" t="str" cm="1">
        <f t="array" ref="H18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81" spans="1:8">
      <c r="A181" t="s">
        <v>382</v>
      </c>
      <c r="B181">
        <v>14</v>
      </c>
      <c r="C181">
        <f>Inventory[[#This Row],[Stock on Hand Aug-01]]-SUMIF(Sales!$C$1571:$C$1801,Inventory[[#This Row],[SKU]],Sales!$H$1571:$H$1801)</f>
        <v>14</v>
      </c>
      <c r="D181" s="3">
        <f>SUMIF(Sales!$C$1571:$C$1801,'Inventory for Aug-31'!A181,Sales!$H$1571:$H$1801)/31</f>
        <v>0</v>
      </c>
      <c r="E181">
        <v>7</v>
      </c>
      <c r="F181">
        <v>15</v>
      </c>
      <c r="G181" s="3">
        <f>Inventory[[#This Row],[Daily Demand ]]*Inventory[[#This Row],[Lead Time (Days)]]+Inventory[[#This Row],[Safety Stock]]</f>
        <v>15</v>
      </c>
      <c r="H181" t="str" cm="1">
        <f t="array" ref="H18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82" spans="1:8">
      <c r="A182" t="s">
        <v>384</v>
      </c>
      <c r="B182">
        <v>12</v>
      </c>
      <c r="C182">
        <f>Inventory[[#This Row],[Stock on Hand Aug-01]]-SUMIF(Sales!$C$1571:$C$1801,Inventory[[#This Row],[SKU]],Sales!$H$1571:$H$1801)</f>
        <v>12</v>
      </c>
      <c r="D182" s="3">
        <f>SUMIF(Sales!$C$1571:$C$1801,'Inventory for Aug-31'!A182,Sales!$H$1571:$H$1801)/31</f>
        <v>0</v>
      </c>
      <c r="E182">
        <v>6</v>
      </c>
      <c r="F182">
        <v>60</v>
      </c>
      <c r="G182" s="3">
        <f>Inventory[[#This Row],[Daily Demand ]]*Inventory[[#This Row],[Lead Time (Days)]]+Inventory[[#This Row],[Safety Stock]]</f>
        <v>60</v>
      </c>
      <c r="H182" t="str" cm="1">
        <f t="array" ref="H18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83" spans="1:8">
      <c r="A183" t="s">
        <v>386</v>
      </c>
      <c r="B183">
        <v>164</v>
      </c>
      <c r="C183">
        <f>Inventory[[#This Row],[Stock on Hand Aug-01]]-SUMIF(Sales!$C$1571:$C$1801,Inventory[[#This Row],[SKU]],Sales!$H$1571:$H$1801)</f>
        <v>93</v>
      </c>
      <c r="D183" s="3">
        <f>SUMIF(Sales!$C$1571:$C$1801,'Inventory for Aug-31'!A183,Sales!$H$1571:$H$1801)/31</f>
        <v>2.2903225806451615</v>
      </c>
      <c r="E183">
        <v>6</v>
      </c>
      <c r="F183">
        <v>88</v>
      </c>
      <c r="G183" s="3">
        <f>Inventory[[#This Row],[Daily Demand ]]*Inventory[[#This Row],[Lead Time (Days)]]+Inventory[[#This Row],[Safety Stock]]</f>
        <v>101.74193548387098</v>
      </c>
      <c r="H183" t="str" cm="1">
        <f t="array" ref="H18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84" spans="1:8">
      <c r="A184" t="s">
        <v>388</v>
      </c>
      <c r="B184">
        <v>258</v>
      </c>
      <c r="C184">
        <f>Inventory[[#This Row],[Stock on Hand Aug-01]]-SUMIF(Sales!$C$1571:$C$1801,Inventory[[#This Row],[SKU]],Sales!$H$1571:$H$1801)</f>
        <v>101</v>
      </c>
      <c r="D184" s="3">
        <f>SUMIF(Sales!$C$1571:$C$1801,'Inventory for Aug-31'!A184,Sales!$H$1571:$H$1801)/31</f>
        <v>5.064516129032258</v>
      </c>
      <c r="E184">
        <v>6</v>
      </c>
      <c r="F184">
        <v>65</v>
      </c>
      <c r="G184" s="3">
        <f>Inventory[[#This Row],[Daily Demand ]]*Inventory[[#This Row],[Lead Time (Days)]]+Inventory[[#This Row],[Safety Stock]]</f>
        <v>95.387096774193552</v>
      </c>
      <c r="H184" t="str" cm="1">
        <f t="array" ref="H18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85" spans="1:8">
      <c r="A185" t="s">
        <v>390</v>
      </c>
      <c r="B185">
        <v>156</v>
      </c>
      <c r="C185">
        <f>Inventory[[#This Row],[Stock on Hand Aug-01]]-SUMIF(Sales!$C$1571:$C$1801,Inventory[[#This Row],[SKU]],Sales!$H$1571:$H$1801)</f>
        <v>92</v>
      </c>
      <c r="D185" s="3">
        <f>SUMIF(Sales!$C$1571:$C$1801,'Inventory for Aug-31'!A185,Sales!$H$1571:$H$1801)/31</f>
        <v>2.064516129032258</v>
      </c>
      <c r="E185">
        <v>6</v>
      </c>
      <c r="F185">
        <v>90</v>
      </c>
      <c r="G185" s="3">
        <f>Inventory[[#This Row],[Daily Demand ]]*Inventory[[#This Row],[Lead Time (Days)]]+Inventory[[#This Row],[Safety Stock]]</f>
        <v>102.38709677419355</v>
      </c>
      <c r="H185" t="str" cm="1">
        <f t="array" ref="H18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86" spans="1:8">
      <c r="A186" t="s">
        <v>392</v>
      </c>
      <c r="B186">
        <v>142</v>
      </c>
      <c r="C186">
        <f>Inventory[[#This Row],[Stock on Hand Aug-01]]-SUMIF(Sales!$C$1571:$C$1801,Inventory[[#This Row],[SKU]],Sales!$H$1571:$H$1801)</f>
        <v>76</v>
      </c>
      <c r="D186" s="3">
        <f>SUMIF(Sales!$C$1571:$C$1801,'Inventory for Aug-31'!A186,Sales!$H$1571:$H$1801)/31</f>
        <v>2.129032258064516</v>
      </c>
      <c r="E186">
        <v>6</v>
      </c>
      <c r="F186">
        <v>80</v>
      </c>
      <c r="G186" s="3">
        <f>Inventory[[#This Row],[Daily Demand ]]*Inventory[[#This Row],[Lead Time (Days)]]+Inventory[[#This Row],[Safety Stock]]</f>
        <v>92.774193548387103</v>
      </c>
      <c r="H186" t="str" cm="1">
        <f t="array" ref="H18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87" spans="1:8">
      <c r="A187" t="s">
        <v>394</v>
      </c>
      <c r="B187">
        <v>116</v>
      </c>
      <c r="C187">
        <f>Inventory[[#This Row],[Stock on Hand Aug-01]]-SUMIF(Sales!$C$1571:$C$1801,Inventory[[#This Row],[SKU]],Sales!$H$1571:$H$1801)</f>
        <v>57</v>
      </c>
      <c r="D187" s="3">
        <f>SUMIF(Sales!$C$1571:$C$1801,'Inventory for Aug-31'!A187,Sales!$H$1571:$H$1801)/31</f>
        <v>1.903225806451613</v>
      </c>
      <c r="E187">
        <v>6</v>
      </c>
      <c r="F187">
        <v>52</v>
      </c>
      <c r="G187" s="3">
        <f>Inventory[[#This Row],[Daily Demand ]]*Inventory[[#This Row],[Lead Time (Days)]]+Inventory[[#This Row],[Safety Stock]]</f>
        <v>63.41935483870968</v>
      </c>
      <c r="H187" t="str" cm="1">
        <f t="array" ref="H18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88" spans="1:8">
      <c r="A188" t="s">
        <v>396</v>
      </c>
      <c r="B188">
        <v>89</v>
      </c>
      <c r="C188">
        <f>Inventory[[#This Row],[Stock on Hand Aug-01]]-SUMIF(Sales!$C$1571:$C$1801,Inventory[[#This Row],[SKU]],Sales!$H$1571:$H$1801)</f>
        <v>89</v>
      </c>
      <c r="D188" s="3">
        <f>SUMIF(Sales!$C$1571:$C$1801,'Inventory for Aug-31'!A188,Sales!$H$1571:$H$1801)/31</f>
        <v>0</v>
      </c>
      <c r="E188">
        <v>6</v>
      </c>
      <c r="F188">
        <v>74</v>
      </c>
      <c r="G188" s="3">
        <f>Inventory[[#This Row],[Daily Demand ]]*Inventory[[#This Row],[Lead Time (Days)]]+Inventory[[#This Row],[Safety Stock]]</f>
        <v>74</v>
      </c>
      <c r="H188" t="str" cm="1">
        <f t="array" ref="H18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89" spans="1:8">
      <c r="A189" t="s">
        <v>398</v>
      </c>
      <c r="B189">
        <v>0</v>
      </c>
      <c r="C189">
        <f>Inventory[[#This Row],[Stock on Hand Aug-01]]-SUMIF(Sales!$C$1571:$C$1801,Inventory[[#This Row],[SKU]],Sales!$H$1571:$H$1801)</f>
        <v>0</v>
      </c>
      <c r="D189" s="3">
        <f>SUMIF(Sales!$C$1571:$C$1801,'Inventory for Aug-31'!A189,Sales!$H$1571:$H$1801)/31</f>
        <v>0</v>
      </c>
      <c r="E189">
        <v>6</v>
      </c>
      <c r="F189">
        <v>54</v>
      </c>
      <c r="G189" s="3">
        <f>Inventory[[#This Row],[Daily Demand ]]*Inventory[[#This Row],[Lead Time (Days)]]+Inventory[[#This Row],[Safety Stock]]</f>
        <v>54</v>
      </c>
      <c r="H189" t="str" cm="1">
        <f t="array" ref="H18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190" spans="1:8">
      <c r="A190" t="s">
        <v>400</v>
      </c>
      <c r="B190">
        <v>43</v>
      </c>
      <c r="C190">
        <f>Inventory[[#This Row],[Stock on Hand Aug-01]]-SUMIF(Sales!$C$1571:$C$1801,Inventory[[#This Row],[SKU]],Sales!$H$1571:$H$1801)</f>
        <v>43</v>
      </c>
      <c r="D190" s="3">
        <f>SUMIF(Sales!$C$1571:$C$1801,'Inventory for Aug-31'!A190,Sales!$H$1571:$H$1801)/31</f>
        <v>0</v>
      </c>
      <c r="E190">
        <v>6</v>
      </c>
      <c r="F190">
        <v>54</v>
      </c>
      <c r="G190" s="3">
        <f>Inventory[[#This Row],[Daily Demand ]]*Inventory[[#This Row],[Lead Time (Days)]]+Inventory[[#This Row],[Safety Stock]]</f>
        <v>54</v>
      </c>
      <c r="H190" t="str" cm="1">
        <f t="array" ref="H19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91" spans="1:8">
      <c r="A191" t="s">
        <v>402</v>
      </c>
      <c r="B191">
        <v>198</v>
      </c>
      <c r="C191">
        <f>Inventory[[#This Row],[Stock on Hand Aug-01]]-SUMIF(Sales!$C$1571:$C$1801,Inventory[[#This Row],[SKU]],Sales!$H$1571:$H$1801)</f>
        <v>102</v>
      </c>
      <c r="D191" s="3">
        <f>SUMIF(Sales!$C$1571:$C$1801,'Inventory for Aug-31'!A191,Sales!$H$1571:$H$1801)/31</f>
        <v>3.096774193548387</v>
      </c>
      <c r="E191">
        <v>6</v>
      </c>
      <c r="F191">
        <v>79</v>
      </c>
      <c r="G191" s="3">
        <f>Inventory[[#This Row],[Daily Demand ]]*Inventory[[#This Row],[Lead Time (Days)]]+Inventory[[#This Row],[Safety Stock]]</f>
        <v>97.58064516129032</v>
      </c>
      <c r="H191" t="str" cm="1">
        <f t="array" ref="H19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92" spans="1:8">
      <c r="A192" t="s">
        <v>404</v>
      </c>
      <c r="B192">
        <v>171</v>
      </c>
      <c r="C192">
        <f>Inventory[[#This Row],[Stock on Hand Aug-01]]-SUMIF(Sales!$C$1571:$C$1801,Inventory[[#This Row],[SKU]],Sales!$H$1571:$H$1801)</f>
        <v>46</v>
      </c>
      <c r="D192" s="3">
        <f>SUMIF(Sales!$C$1571:$C$1801,'Inventory for Aug-31'!A192,Sales!$H$1571:$H$1801)/31</f>
        <v>4.032258064516129</v>
      </c>
      <c r="E192">
        <v>7</v>
      </c>
      <c r="F192">
        <v>38</v>
      </c>
      <c r="G192" s="3">
        <f>Inventory[[#This Row],[Daily Demand ]]*Inventory[[#This Row],[Lead Time (Days)]]+Inventory[[#This Row],[Safety Stock]]</f>
        <v>66.225806451612897</v>
      </c>
      <c r="H192" t="str" cm="1">
        <f t="array" ref="H192">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93" spans="1:8">
      <c r="A193" t="s">
        <v>407</v>
      </c>
      <c r="B193">
        <v>11</v>
      </c>
      <c r="C193">
        <f>Inventory[[#This Row],[Stock on Hand Aug-01]]-SUMIF(Sales!$C$1571:$C$1801,Inventory[[#This Row],[SKU]],Sales!$H$1571:$H$1801)</f>
        <v>11</v>
      </c>
      <c r="D193" s="3">
        <f>SUMIF(Sales!$C$1571:$C$1801,'Inventory for Aug-31'!A193,Sales!$H$1571:$H$1801)/31</f>
        <v>0</v>
      </c>
      <c r="E193">
        <v>7</v>
      </c>
      <c r="F193">
        <v>28</v>
      </c>
      <c r="G193" s="3">
        <f>Inventory[[#This Row],[Daily Demand ]]*Inventory[[#This Row],[Lead Time (Days)]]+Inventory[[#This Row],[Safety Stock]]</f>
        <v>28</v>
      </c>
      <c r="H193" t="str" cm="1">
        <f t="array" ref="H193">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94" spans="1:8">
      <c r="A194" t="s">
        <v>409</v>
      </c>
      <c r="B194">
        <v>24</v>
      </c>
      <c r="C194">
        <f>Inventory[[#This Row],[Stock on Hand Aug-01]]-SUMIF(Sales!$C$1571:$C$1801,Inventory[[#This Row],[SKU]],Sales!$H$1571:$H$1801)</f>
        <v>24</v>
      </c>
      <c r="D194" s="3">
        <f>SUMIF(Sales!$C$1571:$C$1801,'Inventory for Aug-31'!A194,Sales!$H$1571:$H$1801)/31</f>
        <v>0</v>
      </c>
      <c r="E194">
        <v>7</v>
      </c>
      <c r="F194">
        <v>40</v>
      </c>
      <c r="G194" s="3">
        <f>Inventory[[#This Row],[Daily Demand ]]*Inventory[[#This Row],[Lead Time (Days)]]+Inventory[[#This Row],[Safety Stock]]</f>
        <v>40</v>
      </c>
      <c r="H194" t="str" cm="1">
        <f t="array" ref="H194">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95" spans="1:8">
      <c r="A195" t="s">
        <v>411</v>
      </c>
      <c r="B195">
        <v>64</v>
      </c>
      <c r="C195">
        <f>Inventory[[#This Row],[Stock on Hand Aug-01]]-SUMIF(Sales!$C$1571:$C$1801,Inventory[[#This Row],[SKU]],Sales!$H$1571:$H$1801)</f>
        <v>64</v>
      </c>
      <c r="D195" s="3">
        <f>SUMIF(Sales!$C$1571:$C$1801,'Inventory for Aug-31'!A195,Sales!$H$1571:$H$1801)/31</f>
        <v>0</v>
      </c>
      <c r="E195">
        <v>7</v>
      </c>
      <c r="F195">
        <v>54</v>
      </c>
      <c r="G195" s="3">
        <f>Inventory[[#This Row],[Daily Demand ]]*Inventory[[#This Row],[Lead Time (Days)]]+Inventory[[#This Row],[Safety Stock]]</f>
        <v>54</v>
      </c>
      <c r="H195" t="str" cm="1">
        <f t="array" ref="H195">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Safe</v>
      </c>
    </row>
    <row r="196" spans="1:8">
      <c r="A196" t="s">
        <v>413</v>
      </c>
      <c r="B196">
        <v>139</v>
      </c>
      <c r="C196">
        <f>Inventory[[#This Row],[Stock on Hand Aug-01]]-SUMIF(Sales!$C$1571:$C$1801,Inventory[[#This Row],[SKU]],Sales!$H$1571:$H$1801)</f>
        <v>34</v>
      </c>
      <c r="D196" s="3">
        <f>SUMIF(Sales!$C$1571:$C$1801,'Inventory for Aug-31'!A196,Sales!$H$1571:$H$1801)/31</f>
        <v>3.3870967741935485</v>
      </c>
      <c r="E196">
        <v>7</v>
      </c>
      <c r="F196">
        <v>36</v>
      </c>
      <c r="G196" s="3">
        <f>Inventory[[#This Row],[Daily Demand ]]*Inventory[[#This Row],[Lead Time (Days)]]+Inventory[[#This Row],[Safety Stock]]</f>
        <v>59.70967741935484</v>
      </c>
      <c r="H196" t="str" cm="1">
        <f t="array" ref="H196">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197" spans="1:8">
      <c r="A197" t="s">
        <v>415</v>
      </c>
      <c r="B197">
        <v>165</v>
      </c>
      <c r="C197">
        <f>Inventory[[#This Row],[Stock on Hand Aug-01]]-SUMIF(Sales!$C$1571:$C$1801,Inventory[[#This Row],[SKU]],Sales!$H$1571:$H$1801)</f>
        <v>50</v>
      </c>
      <c r="D197" s="3">
        <f>SUMIF(Sales!$C$1571:$C$1801,'Inventory for Aug-31'!A197,Sales!$H$1571:$H$1801)/31</f>
        <v>3.7096774193548385</v>
      </c>
      <c r="E197">
        <v>7</v>
      </c>
      <c r="F197">
        <v>46</v>
      </c>
      <c r="G197" s="3">
        <f>Inventory[[#This Row],[Daily Demand ]]*Inventory[[#This Row],[Lead Time (Days)]]+Inventory[[#This Row],[Safety Stock]]</f>
        <v>71.967741935483872</v>
      </c>
      <c r="H197" t="str" cm="1">
        <f t="array" ref="H197">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98" spans="1:8">
      <c r="A198" t="s">
        <v>417</v>
      </c>
      <c r="B198">
        <v>199</v>
      </c>
      <c r="C198">
        <f>Inventory[[#This Row],[Stock on Hand Aug-01]]-SUMIF(Sales!$C$1571:$C$1801,Inventory[[#This Row],[SKU]],Sales!$H$1571:$H$1801)</f>
        <v>51</v>
      </c>
      <c r="D198" s="3">
        <f>SUMIF(Sales!$C$1571:$C$1801,'Inventory for Aug-31'!A198,Sales!$H$1571:$H$1801)/31</f>
        <v>4.774193548387097</v>
      </c>
      <c r="E198">
        <v>7</v>
      </c>
      <c r="F198">
        <v>26</v>
      </c>
      <c r="G198" s="3">
        <f>Inventory[[#This Row],[Daily Demand ]]*Inventory[[#This Row],[Lead Time (Days)]]+Inventory[[#This Row],[Safety Stock]]</f>
        <v>59.41935483870968</v>
      </c>
      <c r="H198" t="str" cm="1">
        <f t="array" ref="H198">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Reorder</v>
      </c>
    </row>
    <row r="199" spans="1:8">
      <c r="A199" t="s">
        <v>419</v>
      </c>
      <c r="B199">
        <v>118</v>
      </c>
      <c r="C199">
        <f>Inventory[[#This Row],[Stock on Hand Aug-01]]-SUMIF(Sales!$C$1571:$C$1801,Inventory[[#This Row],[SKU]],Sales!$H$1571:$H$1801)</f>
        <v>0</v>
      </c>
      <c r="D199" s="3">
        <f>SUMIF(Sales!$C$1571:$C$1801,'Inventory for Aug-31'!A199,Sales!$H$1571:$H$1801)/31</f>
        <v>3.806451612903226</v>
      </c>
      <c r="E199">
        <v>7</v>
      </c>
      <c r="F199">
        <v>29</v>
      </c>
      <c r="G199" s="3">
        <f>Inventory[[#This Row],[Daily Demand ]]*Inventory[[#This Row],[Lead Time (Days)]]+Inventory[[#This Row],[Safety Stock]]</f>
        <v>55.645161290322584</v>
      </c>
      <c r="H199" t="str" cm="1">
        <f t="array" ref="H199">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Stockout</v>
      </c>
    </row>
    <row r="200" spans="1:8">
      <c r="A200" t="s">
        <v>421</v>
      </c>
      <c r="B200">
        <v>24</v>
      </c>
      <c r="C200">
        <f>Inventory[[#This Row],[Stock on Hand Aug-01]]-SUMIF(Sales!$C$1571:$C$1801,Inventory[[#This Row],[SKU]],Sales!$H$1571:$H$1801)</f>
        <v>24</v>
      </c>
      <c r="D200" s="3">
        <f>SUMIF(Sales!$C$1571:$C$1801,'Inventory for Aug-31'!A200,Sales!$H$1571:$H$1801)/31</f>
        <v>0</v>
      </c>
      <c r="E200">
        <v>7</v>
      </c>
      <c r="F200">
        <v>31</v>
      </c>
      <c r="G200" s="3">
        <f>Inventory[[#This Row],[Daily Demand ]]*Inventory[[#This Row],[Lead Time (Days)]]+Inventory[[#This Row],[Safety Stock]]</f>
        <v>31</v>
      </c>
      <c r="H200" t="str" cm="1">
        <f t="array" ref="H200">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row r="201" spans="1:8">
      <c r="A201" t="s">
        <v>423</v>
      </c>
      <c r="B201">
        <v>138</v>
      </c>
      <c r="C201">
        <f>Inventory[[#This Row],[Stock on Hand Aug-01]]-SUMIF(Sales!$C$1571:$C$1801,Inventory[[#This Row],[SKU]],Sales!$H$1571:$H$1801)</f>
        <v>49</v>
      </c>
      <c r="D201" s="3">
        <f>SUMIF(Sales!$C$1571:$C$1801,'Inventory for Aug-31'!A201,Sales!$H$1571:$H$1801)/31</f>
        <v>2.870967741935484</v>
      </c>
      <c r="E201">
        <v>7</v>
      </c>
      <c r="F201">
        <v>52</v>
      </c>
      <c r="G201" s="3">
        <f>Inventory[[#This Row],[Daily Demand ]]*Inventory[[#This Row],[Lead Time (Days)]]+Inventory[[#This Row],[Safety Stock]]</f>
        <v>72.096774193548384</v>
      </c>
      <c r="H201" t="str" cm="1">
        <f t="array" ref="H201">_xlfn.IFS(Inventory[[#This Row],[Stock on Hand Aug-31]]=0,"Stockout",Inventory[[#This Row],[Stock on Hand Aug-31]]&lt;Inventory[[#This Row],[Safety Stock]],"Critical",Inventory[[#This Row],[Stock on Hand Aug-31]]&lt;=Inventory[[#This Row],[Reorder Point ]],"Reorder",Inventory[[#This Row],[Stock on Hand Aug-31]]&gt;Inventory[[#This Row],[Reorder Point ]],"Safe")</f>
        <v>Critical</v>
      </c>
    </row>
  </sheetData>
  <conditionalFormatting sqref="H2:H201">
    <cfRule type="containsText" dxfId="15" priority="1" operator="containsText" text="Stockout">
      <formula>NOT(ISERROR(SEARCH("Stockout",H2)))</formula>
    </cfRule>
    <cfRule type="containsText" dxfId="14" priority="2" operator="containsText" text="Critical">
      <formula>NOT(ISERROR(SEARCH("Critical",H2)))</formula>
    </cfRule>
    <cfRule type="containsText" dxfId="13" priority="3" operator="containsText" text="Safe">
      <formula>NOT(ISERROR(SEARCH("Safe",H2)))</formula>
    </cfRule>
    <cfRule type="containsText" dxfId="12" priority="4" operator="containsText" text="Reorder">
      <formula>NOT(ISERROR(SEARCH("Reorder",H2)))</formula>
    </cfRule>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C17F-D210-41D9-9B31-F1BB60E870A9}">
  <dimension ref="A1:K152"/>
  <sheetViews>
    <sheetView tabSelected="1" workbookViewId="0">
      <pane ySplit="1" topLeftCell="A23" activePane="bottomLeft" state="frozen"/>
      <selection pane="bottomLeft" activeCell="L12" sqref="L12"/>
    </sheetView>
  </sheetViews>
  <sheetFormatPr defaultRowHeight="13.8"/>
  <cols>
    <col min="1" max="1" width="13.59765625" bestFit="1" customWidth="1"/>
    <col min="2" max="2" width="20.296875" bestFit="1" customWidth="1"/>
    <col min="3" max="3" width="13.69921875" style="3" bestFit="1" customWidth="1"/>
    <col min="4" max="4" width="16.296875" bestFit="1" customWidth="1"/>
    <col min="5" max="5" width="14.69921875" style="3" bestFit="1" customWidth="1"/>
    <col min="6" max="6" width="16.5" style="12" bestFit="1" customWidth="1"/>
    <col min="7" max="7" width="11.8984375" bestFit="1" customWidth="1"/>
    <col min="8" max="8" width="13.59765625" style="3" bestFit="1" customWidth="1"/>
    <col min="9" max="9" width="12.296875" bestFit="1" customWidth="1"/>
    <col min="10" max="10" width="10.09765625" bestFit="1" customWidth="1"/>
    <col min="11" max="11" width="18.5" bestFit="1" customWidth="1"/>
    <col min="12" max="12" width="12.09765625" bestFit="1" customWidth="1"/>
  </cols>
  <sheetData>
    <row r="1" spans="1:11">
      <c r="A1" s="10" t="s">
        <v>4</v>
      </c>
      <c r="B1" s="10" t="s">
        <v>2256</v>
      </c>
      <c r="C1" s="11" t="s">
        <v>2252</v>
      </c>
      <c r="D1" s="10" t="s">
        <v>2250</v>
      </c>
      <c r="E1" s="11" t="s">
        <v>2269</v>
      </c>
      <c r="F1" s="21" t="s">
        <v>2272</v>
      </c>
      <c r="G1" s="10" t="s">
        <v>2251</v>
      </c>
      <c r="H1" s="11" t="s">
        <v>2253</v>
      </c>
      <c r="I1" s="10" t="s">
        <v>2254</v>
      </c>
      <c r="J1" s="10" t="s">
        <v>2270</v>
      </c>
      <c r="K1" s="10" t="s">
        <v>2271</v>
      </c>
    </row>
    <row r="2" spans="1:11">
      <c r="A2" t="str" cm="1">
        <f t="array" ref="A2:A152">_xlfn._xlws.FILTER(Inventory[SKU],Inventory[[Stock Status ]]&lt;&gt;"Safe","")</f>
        <v>WEN-BUR-001</v>
      </c>
      <c r="B2" cm="1">
        <f t="array" ref="B2:B152">_xlfn.XLOOKUP(_xlfn.ANCHORARRAY(A2),Inventory[SKU],Inventory[Stock on Hand Aug-31])</f>
        <v>55</v>
      </c>
      <c r="C2" s="3" cm="1">
        <f t="array" ref="C2:C152">_xlfn.XLOOKUP(_xlfn.ANCHORARRAY(A2),Inventory[SKU],Inventory[[Daily Demand ]])</f>
        <v>2.935483870967742</v>
      </c>
      <c r="D2" cm="1">
        <f t="array" ref="D2:D152">_xlfn.XLOOKUP(_xlfn.ANCHORARRAY(A2),Inventory[SKU],Inventory[Lead Time (Days)])</f>
        <v>4</v>
      </c>
      <c r="E2" s="3" cm="1">
        <f t="array" ref="E2:E152">IFERROR(_xlfn.ANCHORARRAY(B2)/_xlfn.ANCHORARRAY(C2),"No Demand" )</f>
        <v>18.736263736263737</v>
      </c>
      <c r="F2" s="12" t="str" cm="1">
        <f t="array" ref="F2:F152">IF(_xlfn.ANCHORARRAY(I2)="Critical",(_xlfn.ANCHORARRAY(G2)-_xlfn.ANCHORARRAY(B2))/_xlfn.ANCHORARRAY(G2),"")</f>
        <v/>
      </c>
      <c r="G2" cm="1">
        <f t="array" ref="G2:G152">_xlfn.XLOOKUP(_xlfn.ANCHORARRAY(A2),Inventory[SKU],Inventory[Safety Stock])</f>
        <v>52</v>
      </c>
      <c r="H2" s="3" cm="1">
        <f t="array" ref="H2:H152">_xlfn.XLOOKUP(_xlfn.ANCHORARRAY(A2),Inventory[SKU],Inventory[[Reorder Point ]])</f>
        <v>63.741935483870968</v>
      </c>
      <c r="I2" s="13" t="str" cm="1">
        <f t="array" ref="I2:I152">_xlfn.XLOOKUP(_xlfn.ANCHORARRAY(A2),Inventory[SKU],Inventory[[Stock Status ]])</f>
        <v>Reorder</v>
      </c>
      <c r="J2" t="str" cm="1">
        <f t="array" ref="J2:J152">_xlfn.IFS(_xlfn.ANCHORARRAY(B2)=0,"Very High",(_xlfn.ANCHORARRAY(D2)&gt;=_xlfn.ANCHORARRAY(E2))*(_xlfn.ANCHORARRAY(I2)="Critical"),"High",(_xlfn.ANCHORARRAY(D2)&lt;_xlfn.ANCHORARRAY(E2))*(_xlfn.ANCHORARRAY(I2)="Critical")*(_xlfn.ANCHORARRAY(F2)&gt;30%),"High",(_xlfn.ANCHORARRAY(D2)&lt;_xlfn.ANCHORARRAY(E2))*(_xlfn.ANCHORARRAY(I2)="Critical")*(_xlfn.ANCHORARRAY(F2)&lt;=30%),"Medium",(_xlfn.ANCHORARRAY(D2)&lt;=_xlfn.ANCHORARRAY(E2))*(_xlfn.ANCHORARRAY(E2)&lt;=_xlfn.ANCHORARRAY(D2)+7)*(_xlfn.ANCHORARRAY(I2)="Reorder"),"Medium",(_xlfn.ANCHORARRAY(E2)&gt;_xlfn.ANCHORARRAY(D2)+7)*(_xlfn.ANCHORARRAY(I2)="Reorder"),"Low",(_xlfn.ANCHORARRAY(E2)&lt;=_xlfn.ANCHORARRAY(D2))*(_xlfn.ANCHORARRAY(I2)="Reorder"),"High")</f>
        <v>Low</v>
      </c>
      <c r="K2" t="str" cm="1">
        <f t="array" ref="K2:K152">_xlfn.IFS((_xlfn.ANCHORARRAY(I2)="Critical")*(_xlfn.ANCHORARRAY(J2)="High"),"High Priority",(_xlfn.ANCHORARRAY(I2)="Critical")*(_xlfn.ANCHORARRAY(J2)="Medium"),"Priority",_xlfn.ANCHORARRAY(I2)="Stockout","Urgent",(_xlfn.ANCHORARRAY(I2)="Reorder")*(_xlfn.ANCHORARRAY(J2)="Medium"),"Need Plan to Reorder",(_xlfn.ANCHORARRAY(I2)="Reorder")*(_xlfn.ANCHORARRAY(J2)="Low"),"Order Later",(_xlfn.ANCHORARRAY(I2)="Reorder")*(_xlfn.ANCHORARRAY(J2)="High"),"High Priority")</f>
        <v>Order Later</v>
      </c>
    </row>
    <row r="3" spans="1:11">
      <c r="A3" t="str">
        <v>WEN-BUR-003</v>
      </c>
      <c r="B3">
        <v>73</v>
      </c>
      <c r="C3" s="3">
        <v>1.4516129032258065</v>
      </c>
      <c r="D3">
        <v>4</v>
      </c>
      <c r="E3" s="3">
        <v>50.288888888888884</v>
      </c>
      <c r="F3" s="12" t="str">
        <v/>
      </c>
      <c r="G3">
        <v>69</v>
      </c>
      <c r="H3" s="3">
        <v>74.806451612903231</v>
      </c>
      <c r="I3" s="14" t="str">
        <v>Reorder</v>
      </c>
      <c r="J3" t="str">
        <v>Low</v>
      </c>
      <c r="K3" t="str">
        <v>Order Later</v>
      </c>
    </row>
    <row r="4" spans="1:11">
      <c r="A4" t="str">
        <v>WEN-BUR-004</v>
      </c>
      <c r="B4">
        <v>59</v>
      </c>
      <c r="C4" s="3">
        <v>2.903225806451613</v>
      </c>
      <c r="D4">
        <v>4</v>
      </c>
      <c r="E4" s="3">
        <v>20.322222222222223</v>
      </c>
      <c r="F4" s="12">
        <v>0.20270270270270271</v>
      </c>
      <c r="G4">
        <v>74</v>
      </c>
      <c r="H4" s="3">
        <v>85.612903225806448</v>
      </c>
      <c r="I4" s="13" t="str">
        <v>Critical</v>
      </c>
      <c r="J4" t="str">
        <v>Medium</v>
      </c>
      <c r="K4" t="str">
        <v>Priority</v>
      </c>
    </row>
    <row r="5" spans="1:11">
      <c r="A5" t="str">
        <v>WEN-BUR-005</v>
      </c>
      <c r="B5">
        <v>69</v>
      </c>
      <c r="C5" s="3">
        <v>1.967741935483871</v>
      </c>
      <c r="D5">
        <v>4</v>
      </c>
      <c r="E5" s="3">
        <v>35.065573770491802</v>
      </c>
      <c r="F5" s="12" t="str">
        <v/>
      </c>
      <c r="G5">
        <v>65</v>
      </c>
      <c r="H5" s="3">
        <v>72.870967741935488</v>
      </c>
      <c r="I5" s="14" t="str">
        <v>Reorder</v>
      </c>
      <c r="J5" t="str">
        <v>Low</v>
      </c>
      <c r="K5" t="str">
        <v>Order Later</v>
      </c>
    </row>
    <row r="6" spans="1:11">
      <c r="A6" t="str">
        <v>WEN-BUR-007</v>
      </c>
      <c r="B6">
        <v>18</v>
      </c>
      <c r="C6" s="3">
        <v>0</v>
      </c>
      <c r="D6">
        <v>4</v>
      </c>
      <c r="E6" s="3" t="str">
        <v>No Demand</v>
      </c>
      <c r="F6" s="12">
        <v>0.61702127659574468</v>
      </c>
      <c r="G6">
        <v>47</v>
      </c>
      <c r="H6" s="3">
        <v>47</v>
      </c>
      <c r="I6" s="13" t="str">
        <v>Critical</v>
      </c>
      <c r="J6" t="str">
        <v>High</v>
      </c>
      <c r="K6" t="str">
        <v>High Priority</v>
      </c>
    </row>
    <row r="7" spans="1:11">
      <c r="A7" t="str">
        <v>WEN-BUR-008</v>
      </c>
      <c r="B7">
        <v>0</v>
      </c>
      <c r="C7" s="3">
        <v>5.612903225806452</v>
      </c>
      <c r="D7">
        <v>4</v>
      </c>
      <c r="E7" s="3">
        <v>0</v>
      </c>
      <c r="F7" s="12" t="str">
        <v/>
      </c>
      <c r="G7">
        <v>68</v>
      </c>
      <c r="H7" s="3">
        <v>90.451612903225808</v>
      </c>
      <c r="I7" s="14" t="str">
        <v>Stockout</v>
      </c>
      <c r="J7" t="str">
        <v>Very High</v>
      </c>
      <c r="K7" t="str">
        <v>Urgent</v>
      </c>
    </row>
    <row r="8" spans="1:11">
      <c r="A8" t="str">
        <v>WEN-BUR-009</v>
      </c>
      <c r="B8">
        <v>50</v>
      </c>
      <c r="C8" s="3">
        <v>4.741935483870968</v>
      </c>
      <c r="D8">
        <v>4</v>
      </c>
      <c r="E8" s="3">
        <v>10.544217687074829</v>
      </c>
      <c r="F8" s="12" t="str">
        <v/>
      </c>
      <c r="G8">
        <v>37</v>
      </c>
      <c r="H8" s="3">
        <v>55.967741935483872</v>
      </c>
      <c r="I8" s="13" t="str">
        <v>Reorder</v>
      </c>
      <c r="J8" t="str">
        <v>Medium</v>
      </c>
      <c r="K8" t="str">
        <v>Need Plan to Reorder</v>
      </c>
    </row>
    <row r="9" spans="1:11">
      <c r="A9" t="str">
        <v>WEN-BUR-011</v>
      </c>
      <c r="B9">
        <v>82</v>
      </c>
      <c r="C9" s="3">
        <v>3.3870967741935485</v>
      </c>
      <c r="D9">
        <v>4</v>
      </c>
      <c r="E9" s="3">
        <v>24.209523809523809</v>
      </c>
      <c r="F9" s="12" t="str">
        <v/>
      </c>
      <c r="G9">
        <v>75</v>
      </c>
      <c r="H9" s="3">
        <v>88.548387096774192</v>
      </c>
      <c r="I9" s="14" t="str">
        <v>Reorder</v>
      </c>
      <c r="J9" t="str">
        <v>Low</v>
      </c>
      <c r="K9" t="str">
        <v>Order Later</v>
      </c>
    </row>
    <row r="10" spans="1:11">
      <c r="A10" t="str">
        <v>WEN-BUR-012</v>
      </c>
      <c r="B10">
        <v>19</v>
      </c>
      <c r="C10" s="3">
        <v>1.6774193548387097</v>
      </c>
      <c r="D10">
        <v>4</v>
      </c>
      <c r="E10" s="3">
        <v>11.326923076923077</v>
      </c>
      <c r="F10" s="12">
        <v>0.61224489795918369</v>
      </c>
      <c r="G10">
        <v>49</v>
      </c>
      <c r="H10" s="3">
        <v>55.70967741935484</v>
      </c>
      <c r="I10" s="13" t="str">
        <v>Critical</v>
      </c>
      <c r="J10" t="str">
        <v>High</v>
      </c>
      <c r="K10" t="str">
        <v>High Priority</v>
      </c>
    </row>
    <row r="11" spans="1:11">
      <c r="A11" t="str">
        <v>WEN-BUR-013</v>
      </c>
      <c r="B11">
        <v>52</v>
      </c>
      <c r="C11" s="3">
        <v>1.4838709677419355</v>
      </c>
      <c r="D11">
        <v>4</v>
      </c>
      <c r="E11" s="3">
        <v>35.043478260869563</v>
      </c>
      <c r="F11" s="12" t="str">
        <v/>
      </c>
      <c r="G11">
        <v>50</v>
      </c>
      <c r="H11" s="3">
        <v>55.935483870967744</v>
      </c>
      <c r="I11" s="14" t="str">
        <v>Reorder</v>
      </c>
      <c r="J11" t="str">
        <v>Low</v>
      </c>
      <c r="K11" t="str">
        <v>Order Later</v>
      </c>
    </row>
    <row r="12" spans="1:11">
      <c r="A12" t="str">
        <v>WEN-BUR-014</v>
      </c>
      <c r="B12">
        <v>32</v>
      </c>
      <c r="C12" s="3">
        <v>3.4516129032258065</v>
      </c>
      <c r="D12">
        <v>4</v>
      </c>
      <c r="E12" s="3">
        <v>9.2710280373831768</v>
      </c>
      <c r="F12" s="12">
        <v>0.21951219512195122</v>
      </c>
      <c r="G12">
        <v>41</v>
      </c>
      <c r="H12" s="3">
        <v>54.806451612903224</v>
      </c>
      <c r="I12" s="13" t="str">
        <v>Critical</v>
      </c>
      <c r="J12" t="str">
        <v>Medium</v>
      </c>
      <c r="K12" t="str">
        <v>Priority</v>
      </c>
    </row>
    <row r="13" spans="1:11">
      <c r="A13" t="str">
        <v>WEN-BUR-015</v>
      </c>
      <c r="B13">
        <v>83</v>
      </c>
      <c r="C13" s="3">
        <v>5.838709677419355</v>
      </c>
      <c r="D13">
        <v>4</v>
      </c>
      <c r="E13" s="3">
        <v>14.215469613259668</v>
      </c>
      <c r="F13" s="12" t="str">
        <v/>
      </c>
      <c r="G13">
        <v>66</v>
      </c>
      <c r="H13" s="3">
        <v>89.354838709677423</v>
      </c>
      <c r="I13" s="14" t="str">
        <v>Reorder</v>
      </c>
      <c r="J13" t="str">
        <v>Low</v>
      </c>
      <c r="K13" t="str">
        <v>Order Later</v>
      </c>
    </row>
    <row r="14" spans="1:11">
      <c r="A14" t="str">
        <v>WEN-BUR-017</v>
      </c>
      <c r="B14">
        <v>14</v>
      </c>
      <c r="C14" s="3">
        <v>0</v>
      </c>
      <c r="D14">
        <v>4</v>
      </c>
      <c r="E14" s="3" t="str">
        <v>No Demand</v>
      </c>
      <c r="F14" s="12">
        <v>0.6</v>
      </c>
      <c r="G14">
        <v>35</v>
      </c>
      <c r="H14" s="3">
        <v>35</v>
      </c>
      <c r="I14" s="13" t="str">
        <v>Critical</v>
      </c>
      <c r="J14" t="str">
        <v>High</v>
      </c>
      <c r="K14" t="str">
        <v>High Priority</v>
      </c>
    </row>
    <row r="15" spans="1:11">
      <c r="A15" t="str">
        <v>WEN-BUR-018</v>
      </c>
      <c r="B15">
        <v>0</v>
      </c>
      <c r="C15" s="3">
        <v>1.7741935483870968</v>
      </c>
      <c r="D15">
        <v>4</v>
      </c>
      <c r="E15" s="3">
        <v>0</v>
      </c>
      <c r="F15" s="12" t="str">
        <v/>
      </c>
      <c r="G15">
        <v>60</v>
      </c>
      <c r="H15" s="3">
        <v>67.096774193548384</v>
      </c>
      <c r="I15" s="14" t="str">
        <v>Stockout</v>
      </c>
      <c r="J15" t="str">
        <v>Very High</v>
      </c>
      <c r="K15" t="str">
        <v>Urgent</v>
      </c>
    </row>
    <row r="16" spans="1:11">
      <c r="A16" t="str">
        <v>WEN-BUR-019</v>
      </c>
      <c r="B16">
        <v>77</v>
      </c>
      <c r="C16" s="3">
        <v>3.6129032258064515</v>
      </c>
      <c r="D16">
        <v>4</v>
      </c>
      <c r="E16" s="3">
        <v>21.3125</v>
      </c>
      <c r="F16" s="12" t="str">
        <v/>
      </c>
      <c r="G16">
        <v>73</v>
      </c>
      <c r="H16" s="3">
        <v>87.451612903225808</v>
      </c>
      <c r="I16" s="13" t="str">
        <v>Reorder</v>
      </c>
      <c r="J16" t="str">
        <v>Low</v>
      </c>
      <c r="K16" t="str">
        <v>Order Later</v>
      </c>
    </row>
    <row r="17" spans="1:11">
      <c r="A17" t="str">
        <v>WEN-BUR-021</v>
      </c>
      <c r="B17">
        <v>14</v>
      </c>
      <c r="C17" s="3">
        <v>5.806451612903226</v>
      </c>
      <c r="D17">
        <v>4</v>
      </c>
      <c r="E17" s="3">
        <v>2.411111111111111</v>
      </c>
      <c r="F17" s="12">
        <v>0.80281690140845074</v>
      </c>
      <c r="G17">
        <v>71</v>
      </c>
      <c r="H17" s="3">
        <v>94.225806451612897</v>
      </c>
      <c r="I17" s="14" t="str">
        <v>Critical</v>
      </c>
      <c r="J17" t="str">
        <v>High</v>
      </c>
      <c r="K17" t="str">
        <v>High Priority</v>
      </c>
    </row>
    <row r="18" spans="1:11">
      <c r="A18" t="str">
        <v>WEN-BUR-022</v>
      </c>
      <c r="B18">
        <v>47</v>
      </c>
      <c r="C18" s="3">
        <v>1.6774193548387097</v>
      </c>
      <c r="D18">
        <v>4</v>
      </c>
      <c r="E18" s="3">
        <v>28.019230769230766</v>
      </c>
      <c r="F18" s="12" t="str">
        <v/>
      </c>
      <c r="G18">
        <v>45</v>
      </c>
      <c r="H18" s="3">
        <v>51.70967741935484</v>
      </c>
      <c r="I18" s="13" t="str">
        <v>Reorder</v>
      </c>
      <c r="J18" t="str">
        <v>Low</v>
      </c>
      <c r="K18" t="str">
        <v>Order Later</v>
      </c>
    </row>
    <row r="19" spans="1:11">
      <c r="A19" t="str">
        <v>WEN-BUR-023</v>
      </c>
      <c r="B19">
        <v>31</v>
      </c>
      <c r="C19" s="3">
        <v>1.7096774193548387</v>
      </c>
      <c r="D19">
        <v>4</v>
      </c>
      <c r="E19" s="3">
        <v>18.132075471698112</v>
      </c>
      <c r="F19" s="12">
        <v>0.41509433962264153</v>
      </c>
      <c r="G19">
        <v>53</v>
      </c>
      <c r="H19" s="3">
        <v>59.838709677419352</v>
      </c>
      <c r="I19" s="14" t="str">
        <v>Critical</v>
      </c>
      <c r="J19" t="str">
        <v>High</v>
      </c>
      <c r="K19" t="str">
        <v>High Priority</v>
      </c>
    </row>
    <row r="20" spans="1:11">
      <c r="A20" t="str">
        <v>WEN-BUR-024</v>
      </c>
      <c r="B20">
        <v>53</v>
      </c>
      <c r="C20" s="3">
        <v>3.6451612903225805</v>
      </c>
      <c r="D20">
        <v>4</v>
      </c>
      <c r="E20" s="3">
        <v>14.539823008849558</v>
      </c>
      <c r="F20" s="12" t="str">
        <v/>
      </c>
      <c r="G20">
        <v>43</v>
      </c>
      <c r="H20" s="3">
        <v>57.58064516129032</v>
      </c>
      <c r="I20" s="13" t="str">
        <v>Reorder</v>
      </c>
      <c r="J20" t="str">
        <v>Low</v>
      </c>
      <c r="K20" t="str">
        <v>Order Later</v>
      </c>
    </row>
    <row r="21" spans="1:11">
      <c r="A21" t="str">
        <v>WEN-BUR-026</v>
      </c>
      <c r="B21">
        <v>10</v>
      </c>
      <c r="C21" s="3">
        <v>0</v>
      </c>
      <c r="D21">
        <v>4</v>
      </c>
      <c r="E21" s="3" t="str">
        <v>No Demand</v>
      </c>
      <c r="F21" s="12">
        <v>0.81481481481481477</v>
      </c>
      <c r="G21">
        <v>54</v>
      </c>
      <c r="H21" s="3">
        <v>54</v>
      </c>
      <c r="I21" s="14" t="str">
        <v>Critical</v>
      </c>
      <c r="J21" t="str">
        <v>High</v>
      </c>
      <c r="K21" t="str">
        <v>High Priority</v>
      </c>
    </row>
    <row r="22" spans="1:11">
      <c r="A22" t="str">
        <v>WEN-BUR-028</v>
      </c>
      <c r="B22">
        <v>0</v>
      </c>
      <c r="C22" s="3">
        <v>0</v>
      </c>
      <c r="D22">
        <v>4</v>
      </c>
      <c r="E22" s="3" t="str">
        <v>No Demand</v>
      </c>
      <c r="F22" s="12" t="str">
        <v/>
      </c>
      <c r="G22">
        <v>58</v>
      </c>
      <c r="H22" s="3">
        <v>58</v>
      </c>
      <c r="I22" s="13" t="str">
        <v>Stockout</v>
      </c>
      <c r="J22" t="str">
        <v>Very High</v>
      </c>
      <c r="K22" t="str">
        <v>Urgent</v>
      </c>
    </row>
    <row r="23" spans="1:11">
      <c r="A23" t="str">
        <v>WEN-BUR-029</v>
      </c>
      <c r="B23">
        <v>51</v>
      </c>
      <c r="C23" s="3">
        <v>0</v>
      </c>
      <c r="D23">
        <v>4</v>
      </c>
      <c r="E23" s="3" t="str">
        <v>No Demand</v>
      </c>
      <c r="F23" s="12">
        <v>0.203125</v>
      </c>
      <c r="G23">
        <v>64</v>
      </c>
      <c r="H23" s="3">
        <v>64</v>
      </c>
      <c r="I23" s="14" t="str">
        <v>Critical</v>
      </c>
      <c r="J23" t="str">
        <v>Medium</v>
      </c>
      <c r="K23" t="str">
        <v>Priority</v>
      </c>
    </row>
    <row r="24" spans="1:11">
      <c r="A24" t="str">
        <v>WEN-CHK-001</v>
      </c>
      <c r="B24">
        <v>32</v>
      </c>
      <c r="C24" s="3">
        <v>2</v>
      </c>
      <c r="D24">
        <v>4</v>
      </c>
      <c r="E24" s="3">
        <v>16</v>
      </c>
      <c r="F24" s="12" t="str">
        <v/>
      </c>
      <c r="G24">
        <v>30</v>
      </c>
      <c r="H24" s="3">
        <v>38</v>
      </c>
      <c r="I24" s="13" t="str">
        <v>Reorder</v>
      </c>
      <c r="J24" t="str">
        <v>Low</v>
      </c>
      <c r="K24" t="str">
        <v>Order Later</v>
      </c>
    </row>
    <row r="25" spans="1:11">
      <c r="A25" t="str">
        <v>WEN-CHK-002</v>
      </c>
      <c r="B25">
        <v>25</v>
      </c>
      <c r="C25" s="3">
        <v>4.258064516129032</v>
      </c>
      <c r="D25">
        <v>4</v>
      </c>
      <c r="E25" s="3">
        <v>5.8712121212121211</v>
      </c>
      <c r="F25" s="12">
        <v>0.60317460317460314</v>
      </c>
      <c r="G25">
        <v>63</v>
      </c>
      <c r="H25" s="3">
        <v>80.032258064516128</v>
      </c>
      <c r="I25" s="14" t="str">
        <v>Critical</v>
      </c>
      <c r="J25" t="str">
        <v>High</v>
      </c>
      <c r="K25" t="str">
        <v>High Priority</v>
      </c>
    </row>
    <row r="26" spans="1:11">
      <c r="A26" t="str">
        <v>WEN-CHK-003</v>
      </c>
      <c r="B26">
        <v>64</v>
      </c>
      <c r="C26" s="3">
        <v>2.967741935483871</v>
      </c>
      <c r="D26">
        <v>4</v>
      </c>
      <c r="E26" s="3">
        <v>21.565217391304348</v>
      </c>
      <c r="F26" s="12" t="str">
        <v/>
      </c>
      <c r="G26">
        <v>56</v>
      </c>
      <c r="H26" s="3">
        <v>67.870967741935488</v>
      </c>
      <c r="I26" s="13" t="str">
        <v>Reorder</v>
      </c>
      <c r="J26" t="str">
        <v>Low</v>
      </c>
      <c r="K26" t="str">
        <v>Order Later</v>
      </c>
    </row>
    <row r="27" spans="1:11">
      <c r="A27" t="str">
        <v>WEN-CHK-004</v>
      </c>
      <c r="B27">
        <v>36</v>
      </c>
      <c r="C27" s="3">
        <v>2.6129032258064515</v>
      </c>
      <c r="D27">
        <v>4</v>
      </c>
      <c r="E27" s="3">
        <v>13.777777777777779</v>
      </c>
      <c r="F27" s="12">
        <v>0.2</v>
      </c>
      <c r="G27">
        <v>45</v>
      </c>
      <c r="H27" s="3">
        <v>55.451612903225808</v>
      </c>
      <c r="I27" s="14" t="str">
        <v>Critical</v>
      </c>
      <c r="J27" t="str">
        <v>Medium</v>
      </c>
      <c r="K27" t="str">
        <v>Priority</v>
      </c>
    </row>
    <row r="28" spans="1:11">
      <c r="A28" t="str">
        <v>WEN-CHK-006</v>
      </c>
      <c r="B28">
        <v>40</v>
      </c>
      <c r="C28" s="3">
        <v>2.903225806451613</v>
      </c>
      <c r="D28">
        <v>4</v>
      </c>
      <c r="E28" s="3">
        <v>13.777777777777777</v>
      </c>
      <c r="F28" s="12" t="str">
        <v/>
      </c>
      <c r="G28">
        <v>32</v>
      </c>
      <c r="H28" s="3">
        <v>43.612903225806448</v>
      </c>
      <c r="I28" s="13" t="str">
        <v>Reorder</v>
      </c>
      <c r="J28" t="str">
        <v>Low</v>
      </c>
      <c r="K28" t="str">
        <v>Order Later</v>
      </c>
    </row>
    <row r="29" spans="1:11">
      <c r="A29" t="str">
        <v>WEN-CHK-007</v>
      </c>
      <c r="B29">
        <v>22</v>
      </c>
      <c r="C29" s="3">
        <v>3.5161290322580645</v>
      </c>
      <c r="D29">
        <v>4</v>
      </c>
      <c r="E29" s="3">
        <v>6.2568807339449544</v>
      </c>
      <c r="F29" s="12">
        <v>0.61403508771929827</v>
      </c>
      <c r="G29">
        <v>57</v>
      </c>
      <c r="H29" s="3">
        <v>71.064516129032256</v>
      </c>
      <c r="I29" s="14" t="str">
        <v>Critical</v>
      </c>
      <c r="J29" t="str">
        <v>High</v>
      </c>
      <c r="K29" t="str">
        <v>High Priority</v>
      </c>
    </row>
    <row r="30" spans="1:11">
      <c r="A30" t="str">
        <v>WEN-CHK-008</v>
      </c>
      <c r="B30">
        <v>0</v>
      </c>
      <c r="C30" s="3">
        <v>0</v>
      </c>
      <c r="D30">
        <v>4</v>
      </c>
      <c r="E30" s="3" t="str">
        <v>No Demand</v>
      </c>
      <c r="F30" s="12" t="str">
        <v/>
      </c>
      <c r="G30">
        <v>37</v>
      </c>
      <c r="H30" s="3">
        <v>37</v>
      </c>
      <c r="I30" s="13" t="str">
        <v>Stockout</v>
      </c>
      <c r="J30" t="str">
        <v>Very High</v>
      </c>
      <c r="K30" t="str">
        <v>Urgent</v>
      </c>
    </row>
    <row r="31" spans="1:11">
      <c r="A31" t="str">
        <v>WEN-CHK-009</v>
      </c>
      <c r="B31">
        <v>68</v>
      </c>
      <c r="C31" s="3">
        <v>2.161290322580645</v>
      </c>
      <c r="D31">
        <v>4</v>
      </c>
      <c r="E31" s="3">
        <v>31.46268656716418</v>
      </c>
      <c r="F31" s="12" t="str">
        <v/>
      </c>
      <c r="G31">
        <v>62</v>
      </c>
      <c r="H31" s="3">
        <v>70.645161290322577</v>
      </c>
      <c r="I31" s="14" t="str">
        <v>Reorder</v>
      </c>
      <c r="J31" t="str">
        <v>Low</v>
      </c>
      <c r="K31" t="str">
        <v>Order Later</v>
      </c>
    </row>
    <row r="32" spans="1:11">
      <c r="A32" t="str">
        <v>WEN-CHK-011</v>
      </c>
      <c r="B32">
        <v>67</v>
      </c>
      <c r="C32" s="3">
        <v>5.935483870967742</v>
      </c>
      <c r="D32">
        <v>4</v>
      </c>
      <c r="E32" s="3">
        <v>11.288043478260869</v>
      </c>
      <c r="F32" s="12" t="str">
        <v/>
      </c>
      <c r="G32">
        <v>55</v>
      </c>
      <c r="H32" s="3">
        <v>78.741935483870975</v>
      </c>
      <c r="I32" s="13" t="str">
        <v>Reorder</v>
      </c>
      <c r="J32" t="str">
        <v>Low</v>
      </c>
      <c r="K32" t="str">
        <v>Order Later</v>
      </c>
    </row>
    <row r="33" spans="1:11">
      <c r="A33" t="str">
        <v>WEN-CHK-012</v>
      </c>
      <c r="B33">
        <v>24</v>
      </c>
      <c r="C33" s="3">
        <v>5.129032258064516</v>
      </c>
      <c r="D33">
        <v>4</v>
      </c>
      <c r="E33" s="3">
        <v>4.6792452830188678</v>
      </c>
      <c r="F33" s="12">
        <v>0.6</v>
      </c>
      <c r="G33">
        <v>60</v>
      </c>
      <c r="H33" s="3">
        <v>80.516129032258064</v>
      </c>
      <c r="I33" s="14" t="str">
        <v>Critical</v>
      </c>
      <c r="J33" t="str">
        <v>High</v>
      </c>
      <c r="K33" t="str">
        <v>High Priority</v>
      </c>
    </row>
    <row r="34" spans="1:11">
      <c r="A34" t="str">
        <v>WEN-CHK-013</v>
      </c>
      <c r="B34">
        <v>47</v>
      </c>
      <c r="C34" s="3">
        <v>8.7096774193548381</v>
      </c>
      <c r="D34">
        <v>4</v>
      </c>
      <c r="E34" s="3">
        <v>5.3962962962962964</v>
      </c>
      <c r="F34" s="12" t="str">
        <v/>
      </c>
      <c r="G34">
        <v>38</v>
      </c>
      <c r="H34" s="3">
        <v>72.838709677419359</v>
      </c>
      <c r="I34" s="13" t="str">
        <v>Reorder</v>
      </c>
      <c r="J34" t="str">
        <v>Medium</v>
      </c>
      <c r="K34" t="str">
        <v>Need Plan to Reorder</v>
      </c>
    </row>
    <row r="35" spans="1:11">
      <c r="A35" t="str">
        <v>WEN-CHK-014</v>
      </c>
      <c r="B35">
        <v>44</v>
      </c>
      <c r="C35" s="3">
        <v>0</v>
      </c>
      <c r="D35">
        <v>4</v>
      </c>
      <c r="E35" s="3" t="str">
        <v>No Demand</v>
      </c>
      <c r="F35" s="12">
        <v>0.2</v>
      </c>
      <c r="G35">
        <v>55</v>
      </c>
      <c r="H35" s="3">
        <v>55</v>
      </c>
      <c r="I35" s="14" t="str">
        <v>Critical</v>
      </c>
      <c r="J35" t="str">
        <v>Medium</v>
      </c>
      <c r="K35" t="str">
        <v>Priority</v>
      </c>
    </row>
    <row r="36" spans="1:11">
      <c r="A36" t="str">
        <v>WEN-CHK-016</v>
      </c>
      <c r="B36">
        <v>34</v>
      </c>
      <c r="C36" s="3">
        <v>3.967741935483871</v>
      </c>
      <c r="D36">
        <v>4</v>
      </c>
      <c r="E36" s="3">
        <v>8.5691056910569099</v>
      </c>
      <c r="F36" s="12" t="str">
        <v/>
      </c>
      <c r="G36">
        <v>30</v>
      </c>
      <c r="H36" s="3">
        <v>45.870967741935488</v>
      </c>
      <c r="I36" s="13" t="str">
        <v>Reorder</v>
      </c>
      <c r="J36" t="str">
        <v>Medium</v>
      </c>
      <c r="K36" t="str">
        <v>Need Plan to Reorder</v>
      </c>
    </row>
    <row r="37" spans="1:11">
      <c r="A37" t="str">
        <v>WEN-CHK-017</v>
      </c>
      <c r="B37">
        <v>15</v>
      </c>
      <c r="C37" s="3">
        <v>0</v>
      </c>
      <c r="D37">
        <v>4</v>
      </c>
      <c r="E37" s="3" t="str">
        <v>No Demand</v>
      </c>
      <c r="F37" s="12">
        <v>0.60526315789473684</v>
      </c>
      <c r="G37">
        <v>38</v>
      </c>
      <c r="H37" s="3">
        <v>38</v>
      </c>
      <c r="I37" s="14" t="str">
        <v>Critical</v>
      </c>
      <c r="J37" t="str">
        <v>High</v>
      </c>
      <c r="K37" t="str">
        <v>High Priority</v>
      </c>
    </row>
    <row r="38" spans="1:11">
      <c r="A38" t="str">
        <v>WEN-CHK-018</v>
      </c>
      <c r="B38">
        <v>0</v>
      </c>
      <c r="C38" s="3">
        <v>1.5806451612903225</v>
      </c>
      <c r="D38">
        <v>4</v>
      </c>
      <c r="E38" s="3">
        <v>0</v>
      </c>
      <c r="F38" s="12" t="str">
        <v/>
      </c>
      <c r="G38">
        <v>34</v>
      </c>
      <c r="H38" s="3">
        <v>40.322580645161288</v>
      </c>
      <c r="I38" s="13" t="str">
        <v>Stockout</v>
      </c>
      <c r="J38" t="str">
        <v>Very High</v>
      </c>
      <c r="K38" t="str">
        <v>Urgent</v>
      </c>
    </row>
    <row r="39" spans="1:11">
      <c r="A39" t="str">
        <v>WEN-CHK-020</v>
      </c>
      <c r="B39">
        <v>51</v>
      </c>
      <c r="C39" s="3">
        <v>0</v>
      </c>
      <c r="D39">
        <v>4</v>
      </c>
      <c r="E39" s="3" t="str">
        <v>No Demand</v>
      </c>
      <c r="F39" s="12">
        <v>5.5555555555555552E-2</v>
      </c>
      <c r="G39">
        <v>54</v>
      </c>
      <c r="H39" s="3">
        <v>54</v>
      </c>
      <c r="I39" s="14" t="str">
        <v>Critical</v>
      </c>
      <c r="J39" t="str">
        <v>Medium</v>
      </c>
      <c r="K39" t="str">
        <v>Priority</v>
      </c>
    </row>
    <row r="40" spans="1:11">
      <c r="A40" t="str">
        <v>WEN-CHK-021</v>
      </c>
      <c r="B40">
        <v>60</v>
      </c>
      <c r="C40" s="3">
        <v>2.161290322580645</v>
      </c>
      <c r="D40">
        <v>4</v>
      </c>
      <c r="E40" s="3">
        <v>27.761194029850749</v>
      </c>
      <c r="F40" s="12" t="str">
        <v/>
      </c>
      <c r="G40">
        <v>54</v>
      </c>
      <c r="H40" s="3">
        <v>62.645161290322577</v>
      </c>
      <c r="I40" s="13" t="str">
        <v>Reorder</v>
      </c>
      <c r="J40" t="str">
        <v>Low</v>
      </c>
      <c r="K40" t="str">
        <v>Order Later</v>
      </c>
    </row>
    <row r="41" spans="1:11">
      <c r="A41" t="str">
        <v>WEN-CHK-023</v>
      </c>
      <c r="B41">
        <v>21</v>
      </c>
      <c r="C41" s="3">
        <v>0</v>
      </c>
      <c r="D41">
        <v>4</v>
      </c>
      <c r="E41" s="3" t="str">
        <v>No Demand</v>
      </c>
      <c r="F41" s="12">
        <v>0.4</v>
      </c>
      <c r="G41">
        <v>35</v>
      </c>
      <c r="H41" s="3">
        <v>35</v>
      </c>
      <c r="I41" s="14" t="str">
        <v>Critical</v>
      </c>
      <c r="J41" t="str">
        <v>High</v>
      </c>
      <c r="K41" t="str">
        <v>High Priority</v>
      </c>
    </row>
    <row r="42" spans="1:11">
      <c r="A42" t="str">
        <v>WEN-CHK-024</v>
      </c>
      <c r="B42">
        <v>51</v>
      </c>
      <c r="C42" s="3">
        <v>2.3548387096774195</v>
      </c>
      <c r="D42">
        <v>4</v>
      </c>
      <c r="E42" s="3">
        <v>21.657534246575342</v>
      </c>
      <c r="F42" s="12" t="str">
        <v/>
      </c>
      <c r="G42">
        <v>44</v>
      </c>
      <c r="H42" s="3">
        <v>53.41935483870968</v>
      </c>
      <c r="I42" s="13" t="str">
        <v>Reorder</v>
      </c>
      <c r="J42" t="str">
        <v>Low</v>
      </c>
      <c r="K42" t="str">
        <v>Order Later</v>
      </c>
    </row>
    <row r="43" spans="1:11">
      <c r="A43" t="str">
        <v>WEN-CHK-025</v>
      </c>
      <c r="B43">
        <v>57</v>
      </c>
      <c r="C43" s="3">
        <v>0</v>
      </c>
      <c r="D43">
        <v>4</v>
      </c>
      <c r="E43" s="3" t="str">
        <v>No Demand</v>
      </c>
      <c r="F43" s="12">
        <v>0.05</v>
      </c>
      <c r="G43">
        <v>60</v>
      </c>
      <c r="H43" s="3">
        <v>60</v>
      </c>
      <c r="I43" s="14" t="str">
        <v>Critical</v>
      </c>
      <c r="J43" t="str">
        <v>Medium</v>
      </c>
      <c r="K43" t="str">
        <v>Priority</v>
      </c>
    </row>
    <row r="44" spans="1:11">
      <c r="A44" t="str">
        <v>WEN-BRK-002</v>
      </c>
      <c r="B44">
        <v>14</v>
      </c>
      <c r="C44" s="3">
        <v>1.096774193548387</v>
      </c>
      <c r="D44">
        <v>5</v>
      </c>
      <c r="E44" s="3">
        <v>12.764705882352942</v>
      </c>
      <c r="F44" s="12">
        <v>0.61111111111111116</v>
      </c>
      <c r="G44">
        <v>36</v>
      </c>
      <c r="H44" s="3">
        <v>41.483870967741936</v>
      </c>
      <c r="I44" s="13" t="str">
        <v>Critical</v>
      </c>
      <c r="J44" t="str">
        <v>High</v>
      </c>
      <c r="K44" t="str">
        <v>High Priority</v>
      </c>
    </row>
    <row r="45" spans="1:11">
      <c r="A45" t="str">
        <v>WEN-BRK-003</v>
      </c>
      <c r="B45">
        <v>0</v>
      </c>
      <c r="C45" s="3">
        <v>0</v>
      </c>
      <c r="D45">
        <v>5</v>
      </c>
      <c r="E45" s="3" t="str">
        <v>No Demand</v>
      </c>
      <c r="F45" s="12" t="str">
        <v/>
      </c>
      <c r="G45">
        <v>20</v>
      </c>
      <c r="H45" s="3">
        <v>20</v>
      </c>
      <c r="I45" s="14" t="str">
        <v>Stockout</v>
      </c>
      <c r="J45" t="str">
        <v>Very High</v>
      </c>
      <c r="K45" t="str">
        <v>Urgent</v>
      </c>
    </row>
    <row r="46" spans="1:11">
      <c r="A46" t="str">
        <v>WEN-BRK-004</v>
      </c>
      <c r="B46">
        <v>39</v>
      </c>
      <c r="C46" s="3">
        <v>1.8064516129032258</v>
      </c>
      <c r="D46">
        <v>5</v>
      </c>
      <c r="E46" s="3">
        <v>21.589285714285715</v>
      </c>
      <c r="F46" s="12" t="str">
        <v/>
      </c>
      <c r="G46">
        <v>35</v>
      </c>
      <c r="H46" s="3">
        <v>44.032258064516128</v>
      </c>
      <c r="I46" s="13" t="str">
        <v>Reorder</v>
      </c>
      <c r="J46" t="str">
        <v>Low</v>
      </c>
      <c r="K46" t="str">
        <v>Order Later</v>
      </c>
    </row>
    <row r="47" spans="1:11">
      <c r="A47" t="str">
        <v>WEN-BRK-006</v>
      </c>
      <c r="B47">
        <v>5</v>
      </c>
      <c r="C47" s="3">
        <v>0</v>
      </c>
      <c r="D47">
        <v>5</v>
      </c>
      <c r="E47" s="3" t="str">
        <v>No Demand</v>
      </c>
      <c r="F47" s="12">
        <v>0.8</v>
      </c>
      <c r="G47">
        <v>25</v>
      </c>
      <c r="H47" s="3">
        <v>25</v>
      </c>
      <c r="I47" s="14" t="str">
        <v>Critical</v>
      </c>
      <c r="J47" t="str">
        <v>High</v>
      </c>
      <c r="K47" t="str">
        <v>High Priority</v>
      </c>
    </row>
    <row r="48" spans="1:11">
      <c r="A48" t="str">
        <v>WEN-BRK-007</v>
      </c>
      <c r="B48">
        <v>10</v>
      </c>
      <c r="C48" s="3">
        <v>2.064516129032258</v>
      </c>
      <c r="D48">
        <v>5</v>
      </c>
      <c r="E48" s="3">
        <v>4.84375</v>
      </c>
      <c r="F48" s="12">
        <v>0.61538461538461542</v>
      </c>
      <c r="G48">
        <v>26</v>
      </c>
      <c r="H48" s="3">
        <v>36.322580645161288</v>
      </c>
      <c r="I48" s="13" t="str">
        <v>Critical</v>
      </c>
      <c r="J48" t="str">
        <v>High</v>
      </c>
      <c r="K48" t="str">
        <v>High Priority</v>
      </c>
    </row>
    <row r="49" spans="1:11">
      <c r="A49" t="str">
        <v>WEN-BRK-009</v>
      </c>
      <c r="B49">
        <v>20</v>
      </c>
      <c r="C49" s="3">
        <v>2</v>
      </c>
      <c r="D49">
        <v>5</v>
      </c>
      <c r="E49" s="3">
        <v>10</v>
      </c>
      <c r="F49" s="12">
        <v>0.23076923076923078</v>
      </c>
      <c r="G49">
        <v>26</v>
      </c>
      <c r="H49" s="3">
        <v>36</v>
      </c>
      <c r="I49" s="14" t="str">
        <v>Critical</v>
      </c>
      <c r="J49" t="str">
        <v>Medium</v>
      </c>
      <c r="K49" t="str">
        <v>Priority</v>
      </c>
    </row>
    <row r="50" spans="1:11">
      <c r="A50" t="str">
        <v>WEN-BRK-010</v>
      </c>
      <c r="B50">
        <v>44</v>
      </c>
      <c r="C50" s="3">
        <v>4.032258064516129</v>
      </c>
      <c r="D50">
        <v>5</v>
      </c>
      <c r="E50" s="3">
        <v>10.912000000000001</v>
      </c>
      <c r="F50" s="12" t="str">
        <v/>
      </c>
      <c r="G50">
        <v>36</v>
      </c>
      <c r="H50" s="3">
        <v>56.161290322580641</v>
      </c>
      <c r="I50" s="13" t="str">
        <v>Reorder</v>
      </c>
      <c r="J50" t="str">
        <v>Medium</v>
      </c>
      <c r="K50" t="str">
        <v>Need Plan to Reorder</v>
      </c>
    </row>
    <row r="51" spans="1:11">
      <c r="A51" t="str">
        <v>WEN-BRK-012</v>
      </c>
      <c r="B51">
        <v>40</v>
      </c>
      <c r="C51" s="3">
        <v>3.935483870967742</v>
      </c>
      <c r="D51">
        <v>5</v>
      </c>
      <c r="E51" s="3">
        <v>10.163934426229508</v>
      </c>
      <c r="F51" s="12" t="str">
        <v/>
      </c>
      <c r="G51">
        <v>36</v>
      </c>
      <c r="H51" s="3">
        <v>55.677419354838712</v>
      </c>
      <c r="I51" s="14" t="str">
        <v>Reorder</v>
      </c>
      <c r="J51" t="str">
        <v>Medium</v>
      </c>
      <c r="K51" t="str">
        <v>Need Plan to Reorder</v>
      </c>
    </row>
    <row r="52" spans="1:11">
      <c r="A52" t="str">
        <v>WEN-BRK-013</v>
      </c>
      <c r="B52">
        <v>0</v>
      </c>
      <c r="C52" s="3">
        <v>0</v>
      </c>
      <c r="D52">
        <v>5</v>
      </c>
      <c r="E52" s="3" t="str">
        <v>No Demand</v>
      </c>
      <c r="F52" s="12" t="str">
        <v/>
      </c>
      <c r="G52">
        <v>35</v>
      </c>
      <c r="H52" s="3">
        <v>35</v>
      </c>
      <c r="I52" s="13" t="str">
        <v>Stockout</v>
      </c>
      <c r="J52" t="str">
        <v>Very High</v>
      </c>
      <c r="K52" t="str">
        <v>Urgent</v>
      </c>
    </row>
    <row r="53" spans="1:11">
      <c r="A53" t="str">
        <v>WEN-BRK-014</v>
      </c>
      <c r="B53">
        <v>16</v>
      </c>
      <c r="C53" s="3">
        <v>2.870967741935484</v>
      </c>
      <c r="D53">
        <v>5</v>
      </c>
      <c r="E53" s="3">
        <v>5.5730337078651679</v>
      </c>
      <c r="F53" s="12">
        <v>0.23809523809523808</v>
      </c>
      <c r="G53">
        <v>21</v>
      </c>
      <c r="H53" s="3">
        <v>35.354838709677423</v>
      </c>
      <c r="I53" s="14" t="str">
        <v>Critical</v>
      </c>
      <c r="J53" t="str">
        <v>Medium</v>
      </c>
      <c r="K53" t="str">
        <v>Priority</v>
      </c>
    </row>
    <row r="54" spans="1:11">
      <c r="A54" t="str">
        <v>WEN-BRK-015</v>
      </c>
      <c r="B54">
        <v>51</v>
      </c>
      <c r="C54" s="3">
        <v>3.225806451612903</v>
      </c>
      <c r="D54">
        <v>5</v>
      </c>
      <c r="E54" s="3">
        <v>15.81</v>
      </c>
      <c r="F54" s="12" t="str">
        <v/>
      </c>
      <c r="G54">
        <v>48</v>
      </c>
      <c r="H54" s="3">
        <v>64.129032258064512</v>
      </c>
      <c r="I54" s="13" t="str">
        <v>Reorder</v>
      </c>
      <c r="J54" t="str">
        <v>Low</v>
      </c>
      <c r="K54" t="str">
        <v>Order Later</v>
      </c>
    </row>
    <row r="55" spans="1:11">
      <c r="A55" t="str">
        <v>WEN-BRK-017</v>
      </c>
      <c r="B55">
        <v>34</v>
      </c>
      <c r="C55" s="3">
        <v>2.064516129032258</v>
      </c>
      <c r="D55">
        <v>5</v>
      </c>
      <c r="E55" s="3">
        <v>16.46875</v>
      </c>
      <c r="F55" s="12" t="str">
        <v/>
      </c>
      <c r="G55">
        <v>28</v>
      </c>
      <c r="H55" s="3">
        <v>38.322580645161288</v>
      </c>
      <c r="I55" s="14" t="str">
        <v>Reorder</v>
      </c>
      <c r="J55" t="str">
        <v>Low</v>
      </c>
      <c r="K55" t="str">
        <v>Order Later</v>
      </c>
    </row>
    <row r="56" spans="1:11">
      <c r="A56" t="str">
        <v>WEN-BRK-018</v>
      </c>
      <c r="B56">
        <v>21</v>
      </c>
      <c r="C56" s="3">
        <v>0</v>
      </c>
      <c r="D56">
        <v>5</v>
      </c>
      <c r="E56" s="3" t="str">
        <v>No Demand</v>
      </c>
      <c r="F56" s="12">
        <v>0.41666666666666669</v>
      </c>
      <c r="G56">
        <v>36</v>
      </c>
      <c r="H56" s="3">
        <v>36</v>
      </c>
      <c r="I56" s="13" t="str">
        <v>Critical</v>
      </c>
      <c r="J56" t="str">
        <v>High</v>
      </c>
      <c r="K56" t="str">
        <v>High Priority</v>
      </c>
    </row>
    <row r="57" spans="1:11">
      <c r="A57" t="str">
        <v>WEN-BRK-019</v>
      </c>
      <c r="B57">
        <v>24</v>
      </c>
      <c r="C57" s="3">
        <v>8.9677419354838701</v>
      </c>
      <c r="D57">
        <v>5</v>
      </c>
      <c r="E57" s="3">
        <v>2.6762589928057556</v>
      </c>
      <c r="F57" s="12">
        <v>0.22580645161290322</v>
      </c>
      <c r="G57">
        <v>31</v>
      </c>
      <c r="H57" s="3">
        <v>75.838709677419359</v>
      </c>
      <c r="I57" s="14" t="str">
        <v>Critical</v>
      </c>
      <c r="J57" t="str">
        <v>High</v>
      </c>
      <c r="K57" t="str">
        <v>High Priority</v>
      </c>
    </row>
    <row r="58" spans="1:11">
      <c r="A58" t="str">
        <v>WEN-BRK-020</v>
      </c>
      <c r="B58">
        <v>30</v>
      </c>
      <c r="C58" s="3">
        <v>1.5161290322580645</v>
      </c>
      <c r="D58">
        <v>5</v>
      </c>
      <c r="E58" s="3">
        <v>19.787234042553191</v>
      </c>
      <c r="F58" s="12" t="str">
        <v/>
      </c>
      <c r="G58">
        <v>26</v>
      </c>
      <c r="H58" s="3">
        <v>33.58064516129032</v>
      </c>
      <c r="I58" s="13" t="str">
        <v>Reorder</v>
      </c>
      <c r="J58" t="str">
        <v>Low</v>
      </c>
      <c r="K58" t="str">
        <v>Order Later</v>
      </c>
    </row>
    <row r="59" spans="1:11">
      <c r="A59" t="str">
        <v>WEN-BRK-022</v>
      </c>
      <c r="B59">
        <v>13</v>
      </c>
      <c r="C59" s="3">
        <v>0</v>
      </c>
      <c r="D59">
        <v>5</v>
      </c>
      <c r="E59" s="3" t="str">
        <v>No Demand</v>
      </c>
      <c r="F59" s="12">
        <v>0.61764705882352944</v>
      </c>
      <c r="G59">
        <v>34</v>
      </c>
      <c r="H59" s="3">
        <v>34</v>
      </c>
      <c r="I59" s="14" t="str">
        <v>Critical</v>
      </c>
      <c r="J59" t="str">
        <v>High</v>
      </c>
      <c r="K59" t="str">
        <v>High Priority</v>
      </c>
    </row>
    <row r="60" spans="1:11">
      <c r="A60" t="str">
        <v>WEN-BRK-023</v>
      </c>
      <c r="B60">
        <v>0</v>
      </c>
      <c r="C60" s="3">
        <v>0</v>
      </c>
      <c r="D60">
        <v>5</v>
      </c>
      <c r="E60" s="3" t="str">
        <v>No Demand</v>
      </c>
      <c r="F60" s="12" t="str">
        <v/>
      </c>
      <c r="G60">
        <v>27</v>
      </c>
      <c r="H60" s="3">
        <v>27</v>
      </c>
      <c r="I60" s="13" t="str">
        <v>Stockout</v>
      </c>
      <c r="J60" t="str">
        <v>Very High</v>
      </c>
      <c r="K60" t="str">
        <v>Urgent</v>
      </c>
    </row>
    <row r="61" spans="1:11">
      <c r="A61" t="str">
        <v>WEN-BRK-025</v>
      </c>
      <c r="B61">
        <v>19</v>
      </c>
      <c r="C61" s="3">
        <v>0</v>
      </c>
      <c r="D61">
        <v>5</v>
      </c>
      <c r="E61" s="3" t="str">
        <v>No Demand</v>
      </c>
      <c r="F61" s="12">
        <v>9.5238095238095233E-2</v>
      </c>
      <c r="G61">
        <v>21</v>
      </c>
      <c r="H61" s="3">
        <v>21</v>
      </c>
      <c r="I61" s="14" t="str">
        <v>Critical</v>
      </c>
      <c r="J61" t="str">
        <v>Medium</v>
      </c>
      <c r="K61" t="str">
        <v>Priority</v>
      </c>
    </row>
    <row r="62" spans="1:11">
      <c r="A62" t="str">
        <v>WEN-SID-001</v>
      </c>
      <c r="B62">
        <v>54</v>
      </c>
      <c r="C62" s="3">
        <v>2.6451612903225805</v>
      </c>
      <c r="D62">
        <v>6</v>
      </c>
      <c r="E62" s="3">
        <v>20.414634146341463</v>
      </c>
      <c r="F62" s="12" t="str">
        <v/>
      </c>
      <c r="G62">
        <v>47</v>
      </c>
      <c r="H62" s="3">
        <v>62.870967741935488</v>
      </c>
      <c r="I62" s="13" t="str">
        <v>Reorder</v>
      </c>
      <c r="J62" t="str">
        <v>Low</v>
      </c>
      <c r="K62" t="str">
        <v>Order Later</v>
      </c>
    </row>
    <row r="63" spans="1:11">
      <c r="A63" t="str">
        <v>WEN-SID-002</v>
      </c>
      <c r="B63">
        <v>22</v>
      </c>
      <c r="C63" s="3">
        <v>4.32258064516129</v>
      </c>
      <c r="D63">
        <v>6</v>
      </c>
      <c r="E63" s="3">
        <v>5.0895522388059709</v>
      </c>
      <c r="F63" s="12">
        <v>0.6071428571428571</v>
      </c>
      <c r="G63">
        <v>56</v>
      </c>
      <c r="H63" s="3">
        <v>81.935483870967744</v>
      </c>
      <c r="I63" s="14" t="str">
        <v>Critical</v>
      </c>
      <c r="J63" t="str">
        <v>High</v>
      </c>
      <c r="K63" t="str">
        <v>High Priority</v>
      </c>
    </row>
    <row r="64" spans="1:11">
      <c r="A64" t="str">
        <v>WEN-SID-003</v>
      </c>
      <c r="B64">
        <v>52</v>
      </c>
      <c r="C64" s="3">
        <v>2.5806451612903225</v>
      </c>
      <c r="D64">
        <v>6</v>
      </c>
      <c r="E64" s="3">
        <v>20.150000000000002</v>
      </c>
      <c r="F64" s="12" t="str">
        <v/>
      </c>
      <c r="G64">
        <v>47</v>
      </c>
      <c r="H64" s="3">
        <v>62.483870967741936</v>
      </c>
      <c r="I64" s="13" t="str">
        <v>Reorder</v>
      </c>
      <c r="J64" t="str">
        <v>Low</v>
      </c>
      <c r="K64" t="str">
        <v>Order Later</v>
      </c>
    </row>
    <row r="65" spans="1:11">
      <c r="A65" t="str">
        <v>WEN-SID-005</v>
      </c>
      <c r="B65">
        <v>38</v>
      </c>
      <c r="C65" s="3">
        <v>3.225806451612903</v>
      </c>
      <c r="D65">
        <v>6</v>
      </c>
      <c r="E65" s="3">
        <v>11.780000000000001</v>
      </c>
      <c r="F65" s="12">
        <v>0.05</v>
      </c>
      <c r="G65">
        <v>40</v>
      </c>
      <c r="H65" s="3">
        <v>59.354838709677416</v>
      </c>
      <c r="I65" s="14" t="str">
        <v>Critical</v>
      </c>
      <c r="J65" t="str">
        <v>Medium</v>
      </c>
      <c r="K65" t="str">
        <v>Priority</v>
      </c>
    </row>
    <row r="66" spans="1:11">
      <c r="A66" t="str">
        <v>WEN-SID-006</v>
      </c>
      <c r="B66">
        <v>73</v>
      </c>
      <c r="C66" s="3">
        <v>1.3225806451612903</v>
      </c>
      <c r="D66">
        <v>6</v>
      </c>
      <c r="E66" s="3">
        <v>55.195121951219512</v>
      </c>
      <c r="F66" s="12" t="str">
        <v/>
      </c>
      <c r="G66">
        <v>70</v>
      </c>
      <c r="H66" s="3">
        <v>77.935483870967744</v>
      </c>
      <c r="I66" s="13" t="str">
        <v>Reorder</v>
      </c>
      <c r="J66" t="str">
        <v>Low</v>
      </c>
      <c r="K66" t="str">
        <v>Order Later</v>
      </c>
    </row>
    <row r="67" spans="1:11">
      <c r="A67" t="str">
        <v>WEN-SID-008</v>
      </c>
      <c r="B67">
        <v>0</v>
      </c>
      <c r="C67" s="3">
        <v>0</v>
      </c>
      <c r="D67">
        <v>6</v>
      </c>
      <c r="E67" s="3" t="str">
        <v>No Demand</v>
      </c>
      <c r="F67" s="12" t="str">
        <v/>
      </c>
      <c r="G67">
        <v>47</v>
      </c>
      <c r="H67" s="3">
        <v>47</v>
      </c>
      <c r="I67" s="14" t="str">
        <v>Stockout</v>
      </c>
      <c r="J67" t="str">
        <v>Very High</v>
      </c>
      <c r="K67" t="str">
        <v>Urgent</v>
      </c>
    </row>
    <row r="68" spans="1:11">
      <c r="A68" t="str">
        <v>WEN-SID-009</v>
      </c>
      <c r="B68">
        <v>41</v>
      </c>
      <c r="C68" s="3">
        <v>3.838709677419355</v>
      </c>
      <c r="D68">
        <v>6</v>
      </c>
      <c r="E68" s="3">
        <v>10.680672268907562</v>
      </c>
      <c r="F68" s="12">
        <v>0.21153846153846154</v>
      </c>
      <c r="G68">
        <v>52</v>
      </c>
      <c r="H68" s="3">
        <v>75.032258064516128</v>
      </c>
      <c r="I68" s="13" t="str">
        <v>Critical</v>
      </c>
      <c r="J68" t="str">
        <v>Medium</v>
      </c>
      <c r="K68" t="str">
        <v>Priority</v>
      </c>
    </row>
    <row r="69" spans="1:11">
      <c r="A69" t="str">
        <v>WEN-SID-010</v>
      </c>
      <c r="B69">
        <v>91</v>
      </c>
      <c r="C69" s="3">
        <v>3.4516129032258065</v>
      </c>
      <c r="D69">
        <v>6</v>
      </c>
      <c r="E69" s="3">
        <v>26.364485981308412</v>
      </c>
      <c r="F69" s="12" t="str">
        <v/>
      </c>
      <c r="G69">
        <v>81</v>
      </c>
      <c r="H69" s="3">
        <v>101.70967741935485</v>
      </c>
      <c r="I69" s="14" t="str">
        <v>Reorder</v>
      </c>
      <c r="J69" t="str">
        <v>Low</v>
      </c>
      <c r="K69" t="str">
        <v>Order Later</v>
      </c>
    </row>
    <row r="70" spans="1:11">
      <c r="A70" t="str">
        <v>WEN-SID-012</v>
      </c>
      <c r="B70">
        <v>20</v>
      </c>
      <c r="C70" s="3">
        <v>0</v>
      </c>
      <c r="D70">
        <v>6</v>
      </c>
      <c r="E70" s="3" t="str">
        <v>No Demand</v>
      </c>
      <c r="F70" s="12">
        <v>0.6</v>
      </c>
      <c r="G70">
        <v>50</v>
      </c>
      <c r="H70" s="3">
        <v>50</v>
      </c>
      <c r="I70" s="13" t="str">
        <v>Critical</v>
      </c>
      <c r="J70" t="str">
        <v>High</v>
      </c>
      <c r="K70" t="str">
        <v>High Priority</v>
      </c>
    </row>
    <row r="71" spans="1:11">
      <c r="A71" t="str">
        <v>WEN-SID-013</v>
      </c>
      <c r="B71">
        <v>25</v>
      </c>
      <c r="C71" s="3">
        <v>2.3870967741935485</v>
      </c>
      <c r="D71">
        <v>6</v>
      </c>
      <c r="E71" s="3">
        <v>10.472972972972972</v>
      </c>
      <c r="F71" s="12">
        <v>0.40476190476190477</v>
      </c>
      <c r="G71">
        <v>42</v>
      </c>
      <c r="H71" s="3">
        <v>56.322580645161295</v>
      </c>
      <c r="I71" s="14" t="str">
        <v>Critical</v>
      </c>
      <c r="J71" t="str">
        <v>High</v>
      </c>
      <c r="K71" t="str">
        <v>High Priority</v>
      </c>
    </row>
    <row r="72" spans="1:11">
      <c r="A72" t="str">
        <v>WEN-SID-014</v>
      </c>
      <c r="B72">
        <v>87</v>
      </c>
      <c r="C72" s="3">
        <v>6.612903225806452</v>
      </c>
      <c r="D72">
        <v>6</v>
      </c>
      <c r="E72" s="3">
        <v>13.15609756097561</v>
      </c>
      <c r="F72" s="12" t="str">
        <v/>
      </c>
      <c r="G72">
        <v>80</v>
      </c>
      <c r="H72" s="3">
        <v>119.67741935483872</v>
      </c>
      <c r="I72" s="13" t="str">
        <v>Reorder</v>
      </c>
      <c r="J72" t="str">
        <v>Low</v>
      </c>
      <c r="K72" t="str">
        <v>Order Later</v>
      </c>
    </row>
    <row r="73" spans="1:11">
      <c r="A73" t="str">
        <v>WEN-SID-016</v>
      </c>
      <c r="B73">
        <v>16</v>
      </c>
      <c r="C73" s="3">
        <v>0</v>
      </c>
      <c r="D73">
        <v>6</v>
      </c>
      <c r="E73" s="3" t="str">
        <v>No Demand</v>
      </c>
      <c r="F73" s="12">
        <v>0.80487804878048785</v>
      </c>
      <c r="G73">
        <v>82</v>
      </c>
      <c r="H73" s="3">
        <v>82</v>
      </c>
      <c r="I73" s="14" t="str">
        <v>Critical</v>
      </c>
      <c r="J73" t="str">
        <v>High</v>
      </c>
      <c r="K73" t="str">
        <v>High Priority</v>
      </c>
    </row>
    <row r="74" spans="1:11">
      <c r="A74" t="str">
        <v>WEN-SID-017</v>
      </c>
      <c r="B74">
        <v>120</v>
      </c>
      <c r="C74" s="3">
        <v>7.5483870967741939</v>
      </c>
      <c r="D74">
        <v>6</v>
      </c>
      <c r="E74" s="3">
        <v>15.897435897435896</v>
      </c>
      <c r="F74" s="12" t="str">
        <v/>
      </c>
      <c r="G74">
        <v>84</v>
      </c>
      <c r="H74" s="3">
        <v>129.29032258064518</v>
      </c>
      <c r="I74" s="13" t="str">
        <v>Reorder</v>
      </c>
      <c r="J74" t="str">
        <v>Low</v>
      </c>
      <c r="K74" t="str">
        <v>Order Later</v>
      </c>
    </row>
    <row r="75" spans="1:11">
      <c r="A75" t="str">
        <v>WEN-SID-018</v>
      </c>
      <c r="B75">
        <v>0</v>
      </c>
      <c r="C75" s="3">
        <v>0</v>
      </c>
      <c r="D75">
        <v>6</v>
      </c>
      <c r="E75" s="3" t="str">
        <v>No Demand</v>
      </c>
      <c r="F75" s="12" t="str">
        <v/>
      </c>
      <c r="G75">
        <v>68</v>
      </c>
      <c r="H75" s="3">
        <v>68</v>
      </c>
      <c r="I75" s="14" t="str">
        <v>Stockout</v>
      </c>
      <c r="J75" t="str">
        <v>Very High</v>
      </c>
      <c r="K75" t="str">
        <v>Urgent</v>
      </c>
    </row>
    <row r="76" spans="1:11">
      <c r="A76" t="str">
        <v>WEN-SID-019</v>
      </c>
      <c r="B76">
        <v>57</v>
      </c>
      <c r="C76" s="3">
        <v>1.8387096774193548</v>
      </c>
      <c r="D76">
        <v>6</v>
      </c>
      <c r="E76" s="3">
        <v>31</v>
      </c>
      <c r="F76" s="12" t="str">
        <v/>
      </c>
      <c r="G76">
        <v>52</v>
      </c>
      <c r="H76" s="3">
        <v>63.032258064516128</v>
      </c>
      <c r="I76" s="13" t="str">
        <v>Reorder</v>
      </c>
      <c r="J76" t="str">
        <v>Low</v>
      </c>
      <c r="K76" t="str">
        <v>Order Later</v>
      </c>
    </row>
    <row r="77" spans="1:11">
      <c r="A77" t="str">
        <v>WEN-SID-020</v>
      </c>
      <c r="B77">
        <v>72</v>
      </c>
      <c r="C77" s="3">
        <v>1.1612903225806452</v>
      </c>
      <c r="D77">
        <v>6</v>
      </c>
      <c r="E77" s="3">
        <v>61.999999999999993</v>
      </c>
      <c r="F77" s="12">
        <v>5.2631578947368418E-2</v>
      </c>
      <c r="G77">
        <v>76</v>
      </c>
      <c r="H77" s="3">
        <v>82.967741935483872</v>
      </c>
      <c r="I77" s="14" t="str">
        <v>Critical</v>
      </c>
      <c r="J77" t="str">
        <v>Medium</v>
      </c>
      <c r="K77" t="str">
        <v>Priority</v>
      </c>
    </row>
    <row r="78" spans="1:11">
      <c r="A78" t="str">
        <v>WEN-SAL-001</v>
      </c>
      <c r="B78">
        <v>38</v>
      </c>
      <c r="C78" s="3">
        <v>2.193548387096774</v>
      </c>
      <c r="D78">
        <v>2</v>
      </c>
      <c r="E78" s="3">
        <v>17.323529411764707</v>
      </c>
      <c r="F78" s="12" t="str">
        <v/>
      </c>
      <c r="G78">
        <v>34</v>
      </c>
      <c r="H78" s="3">
        <v>38.387096774193552</v>
      </c>
      <c r="I78" s="13" t="str">
        <v>Reorder</v>
      </c>
      <c r="J78" t="str">
        <v>Low</v>
      </c>
      <c r="K78" t="str">
        <v>Order Later</v>
      </c>
    </row>
    <row r="79" spans="1:11">
      <c r="A79" t="str">
        <v>WEN-SAL-002</v>
      </c>
      <c r="B79">
        <v>12</v>
      </c>
      <c r="C79" s="3">
        <v>1.2903225806451613</v>
      </c>
      <c r="D79">
        <v>2</v>
      </c>
      <c r="E79" s="3">
        <v>9.3000000000000007</v>
      </c>
      <c r="F79" s="12">
        <v>0.61290322580645162</v>
      </c>
      <c r="G79">
        <v>31</v>
      </c>
      <c r="H79" s="3">
        <v>33.58064516129032</v>
      </c>
      <c r="I79" s="14" t="str">
        <v>Critical</v>
      </c>
      <c r="J79" t="str">
        <v>High</v>
      </c>
      <c r="K79" t="str">
        <v>High Priority</v>
      </c>
    </row>
    <row r="80" spans="1:11">
      <c r="A80" t="str">
        <v>WEN-SAL-003</v>
      </c>
      <c r="B80">
        <v>26</v>
      </c>
      <c r="C80" s="3">
        <v>1.7096774193548387</v>
      </c>
      <c r="D80">
        <v>2</v>
      </c>
      <c r="E80" s="3">
        <v>15.20754716981132</v>
      </c>
      <c r="F80" s="12" t="str">
        <v/>
      </c>
      <c r="G80">
        <v>24</v>
      </c>
      <c r="H80" s="3">
        <v>27.419354838709676</v>
      </c>
      <c r="I80" s="13" t="str">
        <v>Reorder</v>
      </c>
      <c r="J80" t="str">
        <v>Low</v>
      </c>
      <c r="K80" t="str">
        <v>Order Later</v>
      </c>
    </row>
    <row r="81" spans="1:11">
      <c r="A81" t="str">
        <v>WEN-SAL-005</v>
      </c>
      <c r="B81">
        <v>21</v>
      </c>
      <c r="C81" s="3">
        <v>3.5806451612903225</v>
      </c>
      <c r="D81">
        <v>2</v>
      </c>
      <c r="E81" s="3">
        <v>5.8648648648648649</v>
      </c>
      <c r="F81" s="12">
        <v>8.6956521739130432E-2</v>
      </c>
      <c r="G81">
        <v>23</v>
      </c>
      <c r="H81" s="3">
        <v>30.161290322580644</v>
      </c>
      <c r="I81" s="14" t="str">
        <v>Critical</v>
      </c>
      <c r="J81" t="str">
        <v>Medium</v>
      </c>
      <c r="K81" t="str">
        <v>Priority</v>
      </c>
    </row>
    <row r="82" spans="1:11">
      <c r="A82" t="str">
        <v>WEN-SAL-007</v>
      </c>
      <c r="B82">
        <v>10</v>
      </c>
      <c r="C82" s="3">
        <v>0</v>
      </c>
      <c r="D82">
        <v>2</v>
      </c>
      <c r="E82" s="3" t="str">
        <v>No Demand</v>
      </c>
      <c r="F82" s="12">
        <v>0.6</v>
      </c>
      <c r="G82">
        <v>25</v>
      </c>
      <c r="H82" s="3">
        <v>25</v>
      </c>
      <c r="I82" s="13" t="str">
        <v>Critical</v>
      </c>
      <c r="J82" t="str">
        <v>High</v>
      </c>
      <c r="K82" t="str">
        <v>High Priority</v>
      </c>
    </row>
    <row r="83" spans="1:11">
      <c r="A83" t="str">
        <v>WEN-SAL-008</v>
      </c>
      <c r="B83">
        <v>0</v>
      </c>
      <c r="C83" s="3">
        <v>0</v>
      </c>
      <c r="D83">
        <v>2</v>
      </c>
      <c r="E83" s="3" t="str">
        <v>No Demand</v>
      </c>
      <c r="F83" s="12" t="str">
        <v/>
      </c>
      <c r="G83">
        <v>22</v>
      </c>
      <c r="H83" s="3">
        <v>22</v>
      </c>
      <c r="I83" s="14" t="str">
        <v>Stockout</v>
      </c>
      <c r="J83" t="str">
        <v>Very High</v>
      </c>
      <c r="K83" t="str">
        <v>Urgent</v>
      </c>
    </row>
    <row r="84" spans="1:11">
      <c r="A84" t="str">
        <v>WEN-SAL-010</v>
      </c>
      <c r="B84">
        <v>32</v>
      </c>
      <c r="C84" s="3">
        <v>0</v>
      </c>
      <c r="D84">
        <v>2</v>
      </c>
      <c r="E84" s="3" t="str">
        <v>No Demand</v>
      </c>
      <c r="F84" s="12">
        <v>5.8823529411764705E-2</v>
      </c>
      <c r="G84">
        <v>34</v>
      </c>
      <c r="H84" s="3">
        <v>34</v>
      </c>
      <c r="I84" s="13" t="str">
        <v>Critical</v>
      </c>
      <c r="J84" t="str">
        <v>Medium</v>
      </c>
      <c r="K84" t="str">
        <v>Priority</v>
      </c>
    </row>
    <row r="85" spans="1:11">
      <c r="A85" t="str">
        <v>WEN-SAL-012</v>
      </c>
      <c r="B85">
        <v>6</v>
      </c>
      <c r="C85" s="3">
        <v>2.4193548387096775</v>
      </c>
      <c r="D85">
        <v>2</v>
      </c>
      <c r="E85" s="3">
        <v>2.48</v>
      </c>
      <c r="F85" s="12">
        <v>0.6</v>
      </c>
      <c r="G85">
        <v>15</v>
      </c>
      <c r="H85" s="3">
        <v>19.838709677419356</v>
      </c>
      <c r="I85" s="14" t="str">
        <v>Critical</v>
      </c>
      <c r="J85" t="str">
        <v>High</v>
      </c>
      <c r="K85" t="str">
        <v>High Priority</v>
      </c>
    </row>
    <row r="86" spans="1:11">
      <c r="A86" t="str">
        <v>WEN-SAL-013</v>
      </c>
      <c r="B86">
        <v>31</v>
      </c>
      <c r="C86" s="3">
        <v>2.225806451612903</v>
      </c>
      <c r="D86">
        <v>2</v>
      </c>
      <c r="E86" s="3">
        <v>13.927536231884059</v>
      </c>
      <c r="F86" s="12" t="str">
        <v/>
      </c>
      <c r="G86">
        <v>27</v>
      </c>
      <c r="H86" s="3">
        <v>31.451612903225808</v>
      </c>
      <c r="I86" s="13" t="str">
        <v>Reorder</v>
      </c>
      <c r="J86" t="str">
        <v>Low</v>
      </c>
      <c r="K86" t="str">
        <v>Order Later</v>
      </c>
    </row>
    <row r="87" spans="1:11">
      <c r="A87" t="str">
        <v>WEN-SAL-015</v>
      </c>
      <c r="B87">
        <v>25</v>
      </c>
      <c r="C87" s="3">
        <v>0</v>
      </c>
      <c r="D87">
        <v>2</v>
      </c>
      <c r="E87" s="3" t="str">
        <v>No Demand</v>
      </c>
      <c r="F87" s="12">
        <v>7.407407407407407E-2</v>
      </c>
      <c r="G87">
        <v>27</v>
      </c>
      <c r="H87" s="3">
        <v>27</v>
      </c>
      <c r="I87" s="14" t="str">
        <v>Critical</v>
      </c>
      <c r="J87" t="str">
        <v>Medium</v>
      </c>
      <c r="K87" t="str">
        <v>Priority</v>
      </c>
    </row>
    <row r="88" spans="1:11">
      <c r="A88" t="str">
        <v>WEN-BEV-001</v>
      </c>
      <c r="B88">
        <v>67</v>
      </c>
      <c r="C88" s="3">
        <v>1.4838709677419355</v>
      </c>
      <c r="D88">
        <v>4</v>
      </c>
      <c r="E88" s="3">
        <v>45.152173913043477</v>
      </c>
      <c r="F88" s="12" t="str">
        <v/>
      </c>
      <c r="G88">
        <v>64</v>
      </c>
      <c r="H88" s="3">
        <v>69.935483870967744</v>
      </c>
      <c r="I88" s="13" t="str">
        <v>Reorder</v>
      </c>
      <c r="J88" t="str">
        <v>Low</v>
      </c>
      <c r="K88" t="str">
        <v>Order Later</v>
      </c>
    </row>
    <row r="89" spans="1:11">
      <c r="A89" t="str">
        <v>WEN-BEV-003</v>
      </c>
      <c r="B89">
        <v>0</v>
      </c>
      <c r="C89" s="3">
        <v>1.903225806451613</v>
      </c>
      <c r="D89">
        <v>4</v>
      </c>
      <c r="E89" s="3">
        <v>0</v>
      </c>
      <c r="F89" s="12" t="str">
        <v/>
      </c>
      <c r="G89">
        <v>92</v>
      </c>
      <c r="H89" s="3">
        <v>99.612903225806448</v>
      </c>
      <c r="I89" s="14" t="str">
        <v>Stockout</v>
      </c>
      <c r="J89" t="str">
        <v>Very High</v>
      </c>
      <c r="K89" t="str">
        <v>Urgent</v>
      </c>
    </row>
    <row r="90" spans="1:11">
      <c r="A90" t="str">
        <v>WEN-BEV-004</v>
      </c>
      <c r="B90">
        <v>83</v>
      </c>
      <c r="C90" s="3">
        <v>7.67741935483871</v>
      </c>
      <c r="D90">
        <v>4</v>
      </c>
      <c r="E90" s="3">
        <v>10.810924369747898</v>
      </c>
      <c r="F90" s="12" t="str">
        <v/>
      </c>
      <c r="G90">
        <v>68</v>
      </c>
      <c r="H90" s="3">
        <v>98.709677419354847</v>
      </c>
      <c r="I90" s="13" t="str">
        <v>Reorder</v>
      </c>
      <c r="J90" t="str">
        <v>Medium</v>
      </c>
      <c r="K90" t="str">
        <v>Need Plan to Reorder</v>
      </c>
    </row>
    <row r="91" spans="1:11">
      <c r="A91" t="str">
        <v>WEN-BEV-005</v>
      </c>
      <c r="B91">
        <v>93</v>
      </c>
      <c r="C91" s="3">
        <v>0</v>
      </c>
      <c r="D91">
        <v>4</v>
      </c>
      <c r="E91" s="3" t="str">
        <v>No Demand</v>
      </c>
      <c r="F91" s="12">
        <v>5.1020408163265307E-2</v>
      </c>
      <c r="G91">
        <v>98</v>
      </c>
      <c r="H91" s="3">
        <v>98</v>
      </c>
      <c r="I91" s="14" t="str">
        <v>Critical</v>
      </c>
      <c r="J91" t="str">
        <v>Medium</v>
      </c>
      <c r="K91" t="str">
        <v>Priority</v>
      </c>
    </row>
    <row r="92" spans="1:11">
      <c r="A92" t="str">
        <v>WEN-BEV-006</v>
      </c>
      <c r="B92">
        <v>19</v>
      </c>
      <c r="C92" s="3">
        <v>7.161290322580645</v>
      </c>
      <c r="D92">
        <v>4</v>
      </c>
      <c r="E92" s="3">
        <v>2.6531531531531534</v>
      </c>
      <c r="F92" s="12">
        <v>0.80412371134020622</v>
      </c>
      <c r="G92">
        <v>97</v>
      </c>
      <c r="H92" s="3">
        <v>125.64516129032258</v>
      </c>
      <c r="I92" s="13" t="str">
        <v>Critical</v>
      </c>
      <c r="J92" t="str">
        <v>High</v>
      </c>
      <c r="K92" t="str">
        <v>High Priority</v>
      </c>
    </row>
    <row r="93" spans="1:11">
      <c r="A93" t="str">
        <v>WEN-BEV-008</v>
      </c>
      <c r="B93">
        <v>108</v>
      </c>
      <c r="C93" s="3">
        <v>4.387096774193548</v>
      </c>
      <c r="D93">
        <v>4</v>
      </c>
      <c r="E93" s="3">
        <v>24.617647058823533</v>
      </c>
      <c r="F93" s="12" t="str">
        <v/>
      </c>
      <c r="G93">
        <v>95</v>
      </c>
      <c r="H93" s="3">
        <v>112.54838709677419</v>
      </c>
      <c r="I93" s="14" t="str">
        <v>Reorder</v>
      </c>
      <c r="J93" t="str">
        <v>Low</v>
      </c>
      <c r="K93" t="str">
        <v>Order Later</v>
      </c>
    </row>
    <row r="94" spans="1:11">
      <c r="A94" t="str">
        <v>WEN-BEV-009</v>
      </c>
      <c r="B94">
        <v>74</v>
      </c>
      <c r="C94" s="3">
        <v>1.4838709677419355</v>
      </c>
      <c r="D94">
        <v>4</v>
      </c>
      <c r="E94" s="3">
        <v>49.869565217391305</v>
      </c>
      <c r="F94" s="12">
        <v>0.20430107526881722</v>
      </c>
      <c r="G94">
        <v>93</v>
      </c>
      <c r="H94" s="3">
        <v>98.935483870967744</v>
      </c>
      <c r="I94" s="13" t="str">
        <v>Critical</v>
      </c>
      <c r="J94" t="str">
        <v>Medium</v>
      </c>
      <c r="K94" t="str">
        <v>Priority</v>
      </c>
    </row>
    <row r="95" spans="1:11">
      <c r="A95" t="str">
        <v>WEN-BEV-010</v>
      </c>
      <c r="B95">
        <v>104</v>
      </c>
      <c r="C95" s="3">
        <v>3.4193548387096775</v>
      </c>
      <c r="D95">
        <v>4</v>
      </c>
      <c r="E95" s="3">
        <v>30.415094339622641</v>
      </c>
      <c r="F95" s="12" t="str">
        <v/>
      </c>
      <c r="G95">
        <v>97</v>
      </c>
      <c r="H95" s="3">
        <v>110.6774193548387</v>
      </c>
      <c r="I95" s="14" t="str">
        <v>Reorder</v>
      </c>
      <c r="J95" t="str">
        <v>Low</v>
      </c>
      <c r="K95" t="str">
        <v>Order Later</v>
      </c>
    </row>
    <row r="96" spans="1:11">
      <c r="A96" t="str">
        <v>WEN-BEV-012</v>
      </c>
      <c r="B96">
        <v>68</v>
      </c>
      <c r="C96" s="3">
        <v>4.709677419354839</v>
      </c>
      <c r="D96">
        <v>4</v>
      </c>
      <c r="E96" s="3">
        <v>14.438356164383562</v>
      </c>
      <c r="F96" s="12" t="str">
        <v/>
      </c>
      <c r="G96">
        <v>63</v>
      </c>
      <c r="H96" s="3">
        <v>81.838709677419359</v>
      </c>
      <c r="I96" s="13" t="str">
        <v>Reorder</v>
      </c>
      <c r="J96" t="str">
        <v>Low</v>
      </c>
      <c r="K96" t="str">
        <v>Order Later</v>
      </c>
    </row>
    <row r="97" spans="1:11">
      <c r="A97" t="str">
        <v>WEN-BEV-013</v>
      </c>
      <c r="B97">
        <v>0</v>
      </c>
      <c r="C97" s="3">
        <v>1.2903225806451613</v>
      </c>
      <c r="D97">
        <v>4</v>
      </c>
      <c r="E97" s="3">
        <v>0</v>
      </c>
      <c r="F97" s="12" t="str">
        <v/>
      </c>
      <c r="G97">
        <v>82</v>
      </c>
      <c r="H97" s="3">
        <v>87.161290322580641</v>
      </c>
      <c r="I97" s="14" t="str">
        <v>Stockout</v>
      </c>
      <c r="J97" t="str">
        <v>Very High</v>
      </c>
      <c r="K97" t="str">
        <v>Urgent</v>
      </c>
    </row>
    <row r="98" spans="1:11">
      <c r="A98" t="str">
        <v>WEN-BEV-014</v>
      </c>
      <c r="B98">
        <v>52</v>
      </c>
      <c r="C98" s="3">
        <v>2.193548387096774</v>
      </c>
      <c r="D98">
        <v>4</v>
      </c>
      <c r="E98" s="3">
        <v>23.705882352941178</v>
      </c>
      <c r="F98" s="12">
        <v>0.21212121212121213</v>
      </c>
      <c r="G98">
        <v>66</v>
      </c>
      <c r="H98" s="3">
        <v>74.774193548387103</v>
      </c>
      <c r="I98" s="13" t="str">
        <v>Critical</v>
      </c>
      <c r="J98" t="str">
        <v>Medium</v>
      </c>
      <c r="K98" t="str">
        <v>Priority</v>
      </c>
    </row>
    <row r="99" spans="1:11">
      <c r="A99" t="str">
        <v>WEN-BEV-016</v>
      </c>
      <c r="B99">
        <v>99</v>
      </c>
      <c r="C99" s="3">
        <v>7.387096774193548</v>
      </c>
      <c r="D99">
        <v>4</v>
      </c>
      <c r="E99" s="3">
        <v>13.401746724890831</v>
      </c>
      <c r="F99" s="12" t="str">
        <v/>
      </c>
      <c r="G99">
        <v>84</v>
      </c>
      <c r="H99" s="3">
        <v>113.54838709677419</v>
      </c>
      <c r="I99" s="14" t="str">
        <v>Reorder</v>
      </c>
      <c r="J99" t="str">
        <v>Low</v>
      </c>
      <c r="K99" t="str">
        <v>Order Later</v>
      </c>
    </row>
    <row r="100" spans="1:11">
      <c r="A100" t="str">
        <v>WEN-BEV-017</v>
      </c>
      <c r="B100">
        <v>22</v>
      </c>
      <c r="C100" s="3">
        <v>0</v>
      </c>
      <c r="D100">
        <v>4</v>
      </c>
      <c r="E100" s="3" t="str">
        <v>No Demand</v>
      </c>
      <c r="F100" s="12">
        <v>0.6071428571428571</v>
      </c>
      <c r="G100">
        <v>56</v>
      </c>
      <c r="H100" s="3">
        <v>56</v>
      </c>
      <c r="I100" s="13" t="str">
        <v>Critical</v>
      </c>
      <c r="J100" t="str">
        <v>High</v>
      </c>
      <c r="K100" t="str">
        <v>High Priority</v>
      </c>
    </row>
    <row r="101" spans="1:11">
      <c r="A101" t="str">
        <v>WEN-BEV-018</v>
      </c>
      <c r="B101">
        <v>57</v>
      </c>
      <c r="C101" s="3">
        <v>5.806451612903226</v>
      </c>
      <c r="D101">
        <v>4</v>
      </c>
      <c r="E101" s="3">
        <v>9.8166666666666664</v>
      </c>
      <c r="F101" s="12">
        <v>0.40625</v>
      </c>
      <c r="G101">
        <v>96</v>
      </c>
      <c r="H101" s="3">
        <v>119.2258064516129</v>
      </c>
      <c r="I101" s="14" t="str">
        <v>Critical</v>
      </c>
      <c r="J101" t="str">
        <v>High</v>
      </c>
      <c r="K101" t="str">
        <v>High Priority</v>
      </c>
    </row>
    <row r="102" spans="1:11">
      <c r="A102" t="str">
        <v>WEN-BEV-020</v>
      </c>
      <c r="B102">
        <v>78</v>
      </c>
      <c r="C102" s="3">
        <v>1.903225806451613</v>
      </c>
      <c r="D102">
        <v>4</v>
      </c>
      <c r="E102" s="3">
        <v>40.983050847457626</v>
      </c>
      <c r="F102" s="12" t="str">
        <v/>
      </c>
      <c r="G102">
        <v>73</v>
      </c>
      <c r="H102" s="3">
        <v>80.612903225806448</v>
      </c>
      <c r="I102" s="13" t="str">
        <v>Reorder</v>
      </c>
      <c r="J102" t="str">
        <v>Low</v>
      </c>
      <c r="K102" t="str">
        <v>Order Later</v>
      </c>
    </row>
    <row r="103" spans="1:11">
      <c r="A103" t="str">
        <v>WEN-BEV-021</v>
      </c>
      <c r="B103">
        <v>19</v>
      </c>
      <c r="C103" s="3">
        <v>3.193548387096774</v>
      </c>
      <c r="D103">
        <v>4</v>
      </c>
      <c r="E103" s="3">
        <v>5.9494949494949498</v>
      </c>
      <c r="F103" s="12">
        <v>0.80208333333333337</v>
      </c>
      <c r="G103">
        <v>96</v>
      </c>
      <c r="H103" s="3">
        <v>108.7741935483871</v>
      </c>
      <c r="I103" s="14" t="str">
        <v>Critical</v>
      </c>
      <c r="J103" t="str">
        <v>High</v>
      </c>
      <c r="K103" t="str">
        <v>High Priority</v>
      </c>
    </row>
    <row r="104" spans="1:11">
      <c r="A104" t="str">
        <v>WEN-BEV-022</v>
      </c>
      <c r="B104">
        <v>67</v>
      </c>
      <c r="C104" s="3">
        <v>1.3548387096774193</v>
      </c>
      <c r="D104">
        <v>4</v>
      </c>
      <c r="E104" s="3">
        <v>49.452380952380956</v>
      </c>
      <c r="F104" s="12" t="str">
        <v/>
      </c>
      <c r="G104">
        <v>64</v>
      </c>
      <c r="H104" s="3">
        <v>69.41935483870968</v>
      </c>
      <c r="I104" s="13" t="str">
        <v>Reorder</v>
      </c>
      <c r="J104" t="str">
        <v>Low</v>
      </c>
      <c r="K104" t="str">
        <v>Order Later</v>
      </c>
    </row>
    <row r="105" spans="1:11">
      <c r="A105" t="str">
        <v>WEN-BEV-023</v>
      </c>
      <c r="B105">
        <v>0</v>
      </c>
      <c r="C105" s="3">
        <v>2.967741935483871</v>
      </c>
      <c r="D105">
        <v>4</v>
      </c>
      <c r="E105" s="3">
        <v>0</v>
      </c>
      <c r="F105" s="12" t="str">
        <v/>
      </c>
      <c r="G105">
        <v>60</v>
      </c>
      <c r="H105" s="3">
        <v>71.870967741935488</v>
      </c>
      <c r="I105" s="14" t="str">
        <v>Stockout</v>
      </c>
      <c r="J105" t="str">
        <v>Very High</v>
      </c>
      <c r="K105" t="str">
        <v>Urgent</v>
      </c>
    </row>
    <row r="106" spans="1:11">
      <c r="A106" t="str">
        <v>WEN-BEV-025</v>
      </c>
      <c r="B106">
        <v>80</v>
      </c>
      <c r="C106" s="3">
        <v>5.4838709677419351</v>
      </c>
      <c r="D106">
        <v>4</v>
      </c>
      <c r="E106" s="3">
        <v>14.588235294117649</v>
      </c>
      <c r="F106" s="12">
        <v>5.8823529411764705E-2</v>
      </c>
      <c r="G106">
        <v>85</v>
      </c>
      <c r="H106" s="3">
        <v>106.93548387096774</v>
      </c>
      <c r="I106" s="13" t="str">
        <v>Critical</v>
      </c>
      <c r="J106" t="str">
        <v>Medium</v>
      </c>
      <c r="K106" t="str">
        <v>Priority</v>
      </c>
    </row>
    <row r="107" spans="1:11">
      <c r="A107" t="str">
        <v>WEN-BEV-026</v>
      </c>
      <c r="B107">
        <v>63</v>
      </c>
      <c r="C107" s="3">
        <v>1.5483870967741935</v>
      </c>
      <c r="D107">
        <v>4</v>
      </c>
      <c r="E107" s="3">
        <v>40.6875</v>
      </c>
      <c r="F107" s="12" t="str">
        <v/>
      </c>
      <c r="G107">
        <v>59</v>
      </c>
      <c r="H107" s="3">
        <v>65.193548387096769</v>
      </c>
      <c r="I107" s="14" t="str">
        <v>Reorder</v>
      </c>
      <c r="J107" t="str">
        <v>Low</v>
      </c>
      <c r="K107" t="str">
        <v>Order Later</v>
      </c>
    </row>
    <row r="108" spans="1:11">
      <c r="A108" t="str">
        <v>WEN-BEV-027</v>
      </c>
      <c r="B108">
        <v>32</v>
      </c>
      <c r="C108" s="3">
        <v>3.5806451612903225</v>
      </c>
      <c r="D108">
        <v>4</v>
      </c>
      <c r="E108" s="3">
        <v>8.9369369369369362</v>
      </c>
      <c r="F108" s="12">
        <v>0.6097560975609756</v>
      </c>
      <c r="G108">
        <v>82</v>
      </c>
      <c r="H108" s="3">
        <v>96.322580645161295</v>
      </c>
      <c r="I108" s="13" t="str">
        <v>Critical</v>
      </c>
      <c r="J108" t="str">
        <v>High</v>
      </c>
      <c r="K108" t="str">
        <v>High Priority</v>
      </c>
    </row>
    <row r="109" spans="1:11">
      <c r="A109" t="str">
        <v>WEN-BEV-028</v>
      </c>
      <c r="B109">
        <v>90</v>
      </c>
      <c r="C109" s="3">
        <v>2.032258064516129</v>
      </c>
      <c r="D109">
        <v>4</v>
      </c>
      <c r="E109" s="3">
        <v>44.285714285714285</v>
      </c>
      <c r="F109" s="12" t="str">
        <v/>
      </c>
      <c r="G109">
        <v>86</v>
      </c>
      <c r="H109" s="3">
        <v>94.129032258064512</v>
      </c>
      <c r="I109" s="14" t="str">
        <v>Reorder</v>
      </c>
      <c r="J109" t="str">
        <v>Low</v>
      </c>
      <c r="K109" t="str">
        <v>Order Later</v>
      </c>
    </row>
    <row r="110" spans="1:11">
      <c r="A110" t="str">
        <v>WEN-BEV-030</v>
      </c>
      <c r="B110">
        <v>84</v>
      </c>
      <c r="C110" s="3">
        <v>3.161290322580645</v>
      </c>
      <c r="D110">
        <v>4</v>
      </c>
      <c r="E110" s="3">
        <v>26.571428571428573</v>
      </c>
      <c r="F110" s="12" t="str">
        <v/>
      </c>
      <c r="G110">
        <v>81</v>
      </c>
      <c r="H110" s="3">
        <v>93.645161290322577</v>
      </c>
      <c r="I110" s="13" t="str">
        <v>Reorder</v>
      </c>
      <c r="J110" t="str">
        <v>Low</v>
      </c>
      <c r="K110" t="str">
        <v>Order Later</v>
      </c>
    </row>
    <row r="111" spans="1:11">
      <c r="A111" t="str">
        <v>WEN-BEV-031</v>
      </c>
      <c r="B111">
        <v>18</v>
      </c>
      <c r="C111" s="3">
        <v>3.6129032258064515</v>
      </c>
      <c r="D111">
        <v>4</v>
      </c>
      <c r="E111" s="3">
        <v>4.9821428571428577</v>
      </c>
      <c r="F111" s="12">
        <v>0.80219780219780223</v>
      </c>
      <c r="G111">
        <v>91</v>
      </c>
      <c r="H111" s="3">
        <v>105.45161290322581</v>
      </c>
      <c r="I111" s="14" t="str">
        <v>Critical</v>
      </c>
      <c r="J111" t="str">
        <v>High</v>
      </c>
      <c r="K111" t="str">
        <v>High Priority</v>
      </c>
    </row>
    <row r="112" spans="1:11">
      <c r="A112" t="str">
        <v>WEN-BEV-032</v>
      </c>
      <c r="B112">
        <v>96</v>
      </c>
      <c r="C112" s="3">
        <v>1.6774193548387097</v>
      </c>
      <c r="D112">
        <v>4</v>
      </c>
      <c r="E112" s="3">
        <v>57.230769230769226</v>
      </c>
      <c r="F112" s="12" t="str">
        <v/>
      </c>
      <c r="G112">
        <v>92</v>
      </c>
      <c r="H112" s="3">
        <v>98.709677419354833</v>
      </c>
      <c r="I112" s="13" t="str">
        <v>Reorder</v>
      </c>
      <c r="J112" t="str">
        <v>Low</v>
      </c>
      <c r="K112" t="str">
        <v>Order Later</v>
      </c>
    </row>
    <row r="113" spans="1:11">
      <c r="A113" t="str">
        <v>WEN-BEV-033</v>
      </c>
      <c r="B113">
        <v>0</v>
      </c>
      <c r="C113" s="3">
        <v>2.3548387096774195</v>
      </c>
      <c r="D113">
        <v>4</v>
      </c>
      <c r="E113" s="3">
        <v>0</v>
      </c>
      <c r="F113" s="12" t="str">
        <v/>
      </c>
      <c r="G113">
        <v>79</v>
      </c>
      <c r="H113" s="3">
        <v>88.41935483870968</v>
      </c>
      <c r="I113" s="14" t="str">
        <v>Stockout</v>
      </c>
      <c r="J113" t="str">
        <v>Very High</v>
      </c>
      <c r="K113" t="str">
        <v>Urgent</v>
      </c>
    </row>
    <row r="114" spans="1:11">
      <c r="A114" t="str">
        <v>WEN-BEV-035</v>
      </c>
      <c r="B114">
        <v>97</v>
      </c>
      <c r="C114" s="3">
        <v>1.8709677419354838</v>
      </c>
      <c r="D114">
        <v>4</v>
      </c>
      <c r="E114" s="3">
        <v>51.844827586206897</v>
      </c>
      <c r="F114" s="12" t="str">
        <v/>
      </c>
      <c r="G114">
        <v>92</v>
      </c>
      <c r="H114" s="3">
        <v>99.483870967741936</v>
      </c>
      <c r="I114" s="13" t="str">
        <v>Reorder</v>
      </c>
      <c r="J114" t="str">
        <v>Low</v>
      </c>
      <c r="K114" t="str">
        <v>Order Later</v>
      </c>
    </row>
    <row r="115" spans="1:11">
      <c r="A115" t="str">
        <v>WEN-DES-001</v>
      </c>
      <c r="B115">
        <v>5</v>
      </c>
      <c r="C115" s="3">
        <v>1.8064516129032258</v>
      </c>
      <c r="D115">
        <v>5</v>
      </c>
      <c r="E115" s="3">
        <v>2.7678571428571428</v>
      </c>
      <c r="F115" s="12">
        <v>0.8214285714285714</v>
      </c>
      <c r="G115">
        <v>28</v>
      </c>
      <c r="H115" s="3">
        <v>37.032258064516128</v>
      </c>
      <c r="I115" s="14" t="str">
        <v>Critical</v>
      </c>
      <c r="J115" t="str">
        <v>High</v>
      </c>
      <c r="K115" t="str">
        <v>High Priority</v>
      </c>
    </row>
    <row r="116" spans="1:11">
      <c r="A116" t="str">
        <v>WEN-DES-002</v>
      </c>
      <c r="B116">
        <v>27</v>
      </c>
      <c r="C116" s="3">
        <v>1.2903225806451613</v>
      </c>
      <c r="D116">
        <v>5</v>
      </c>
      <c r="E116" s="3">
        <v>20.925000000000001</v>
      </c>
      <c r="F116" s="12" t="str">
        <v/>
      </c>
      <c r="G116">
        <v>24</v>
      </c>
      <c r="H116" s="3">
        <v>30.451612903225808</v>
      </c>
      <c r="I116" s="13" t="str">
        <v>Reorder</v>
      </c>
      <c r="J116" t="str">
        <v>Low</v>
      </c>
      <c r="K116" t="str">
        <v>Order Later</v>
      </c>
    </row>
    <row r="117" spans="1:11">
      <c r="A117" t="str">
        <v>WEN-DES-004</v>
      </c>
      <c r="B117">
        <v>47</v>
      </c>
      <c r="C117" s="3">
        <v>2.5483870967741935</v>
      </c>
      <c r="D117">
        <v>5</v>
      </c>
      <c r="E117" s="3">
        <v>18.443037974683545</v>
      </c>
      <c r="F117" s="12" t="str">
        <v/>
      </c>
      <c r="G117">
        <v>44</v>
      </c>
      <c r="H117" s="3">
        <v>56.741935483870968</v>
      </c>
      <c r="I117" s="14" t="str">
        <v>Reorder</v>
      </c>
      <c r="J117" t="str">
        <v>Low</v>
      </c>
      <c r="K117" t="str">
        <v>Order Later</v>
      </c>
    </row>
    <row r="118" spans="1:11">
      <c r="A118" t="str">
        <v>WEN-DES-005</v>
      </c>
      <c r="B118">
        <v>41</v>
      </c>
      <c r="C118" s="3">
        <v>2.5483870967741935</v>
      </c>
      <c r="D118">
        <v>5</v>
      </c>
      <c r="E118" s="3">
        <v>16.088607594936708</v>
      </c>
      <c r="F118" s="12">
        <v>6.8181818181818177E-2</v>
      </c>
      <c r="G118">
        <v>44</v>
      </c>
      <c r="H118" s="3">
        <v>56.741935483870968</v>
      </c>
      <c r="I118" s="13" t="str">
        <v>Critical</v>
      </c>
      <c r="J118" t="str">
        <v>Medium</v>
      </c>
      <c r="K118" t="str">
        <v>Priority</v>
      </c>
    </row>
    <row r="119" spans="1:11">
      <c r="A119" t="str">
        <v>WEN-DES-006</v>
      </c>
      <c r="B119">
        <v>6</v>
      </c>
      <c r="C119" s="3">
        <v>0</v>
      </c>
      <c r="D119">
        <v>5</v>
      </c>
      <c r="E119" s="3" t="str">
        <v>No Demand</v>
      </c>
      <c r="F119" s="12">
        <v>0.80645161290322576</v>
      </c>
      <c r="G119">
        <v>31</v>
      </c>
      <c r="H119" s="3">
        <v>31</v>
      </c>
      <c r="I119" s="14" t="str">
        <v>Critical</v>
      </c>
      <c r="J119" t="str">
        <v>High</v>
      </c>
      <c r="K119" t="str">
        <v>High Priority</v>
      </c>
    </row>
    <row r="120" spans="1:11">
      <c r="A120" t="str">
        <v>WEN-DES-008</v>
      </c>
      <c r="B120">
        <v>0</v>
      </c>
      <c r="C120" s="3">
        <v>2.4516129032258065</v>
      </c>
      <c r="D120">
        <v>5</v>
      </c>
      <c r="E120" s="3">
        <v>0</v>
      </c>
      <c r="F120" s="12" t="str">
        <v/>
      </c>
      <c r="G120">
        <v>43</v>
      </c>
      <c r="H120" s="3">
        <v>55.258064516129032</v>
      </c>
      <c r="I120" s="13" t="str">
        <v>Stockout</v>
      </c>
      <c r="J120" t="str">
        <v>Very High</v>
      </c>
      <c r="K120" t="str">
        <v>Urgent</v>
      </c>
    </row>
    <row r="121" spans="1:11">
      <c r="A121" t="str">
        <v>WEN-DES-009</v>
      </c>
      <c r="B121">
        <v>39</v>
      </c>
      <c r="C121" s="3">
        <v>1.064516129032258</v>
      </c>
      <c r="D121">
        <v>5</v>
      </c>
      <c r="E121" s="3">
        <v>36.63636363636364</v>
      </c>
      <c r="F121" s="12" t="str">
        <v/>
      </c>
      <c r="G121">
        <v>36</v>
      </c>
      <c r="H121" s="3">
        <v>41.322580645161288</v>
      </c>
      <c r="I121" s="14" t="str">
        <v>Reorder</v>
      </c>
      <c r="J121" t="str">
        <v>Low</v>
      </c>
      <c r="K121" t="str">
        <v>Order Later</v>
      </c>
    </row>
    <row r="122" spans="1:11">
      <c r="A122" t="str">
        <v>WEN-DES-010</v>
      </c>
      <c r="B122">
        <v>31</v>
      </c>
      <c r="C122" s="3">
        <v>1.903225806451613</v>
      </c>
      <c r="D122">
        <v>5</v>
      </c>
      <c r="E122" s="3">
        <v>16.288135593220339</v>
      </c>
      <c r="F122" s="12">
        <v>6.0606060606060608E-2</v>
      </c>
      <c r="G122">
        <v>33</v>
      </c>
      <c r="H122" s="3">
        <v>42.516129032258064</v>
      </c>
      <c r="I122" s="13" t="str">
        <v>Critical</v>
      </c>
      <c r="J122" t="str">
        <v>Medium</v>
      </c>
      <c r="K122" t="str">
        <v>Priority</v>
      </c>
    </row>
    <row r="123" spans="1:11">
      <c r="A123" t="str">
        <v>WEN-DES-012</v>
      </c>
      <c r="B123">
        <v>14</v>
      </c>
      <c r="C123" s="3">
        <v>0</v>
      </c>
      <c r="D123">
        <v>5</v>
      </c>
      <c r="E123" s="3" t="str">
        <v>No Demand</v>
      </c>
      <c r="F123" s="12">
        <v>0.61111111111111116</v>
      </c>
      <c r="G123">
        <v>36</v>
      </c>
      <c r="H123" s="3">
        <v>36</v>
      </c>
      <c r="I123" s="14" t="str">
        <v>Critical</v>
      </c>
      <c r="J123" t="str">
        <v>High</v>
      </c>
      <c r="K123" t="str">
        <v>High Priority</v>
      </c>
    </row>
    <row r="124" spans="1:11">
      <c r="A124" t="str">
        <v>WEN-DES-013</v>
      </c>
      <c r="B124">
        <v>33</v>
      </c>
      <c r="C124" s="3">
        <v>3.5161290322580645</v>
      </c>
      <c r="D124">
        <v>5</v>
      </c>
      <c r="E124" s="3">
        <v>9.385321100917432</v>
      </c>
      <c r="F124" s="12" t="str">
        <v/>
      </c>
      <c r="G124">
        <v>29</v>
      </c>
      <c r="H124" s="3">
        <v>46.58064516129032</v>
      </c>
      <c r="I124" s="13" t="str">
        <v>Reorder</v>
      </c>
      <c r="J124" t="str">
        <v>Medium</v>
      </c>
      <c r="K124" t="str">
        <v>Need Plan to Reorder</v>
      </c>
    </row>
    <row r="125" spans="1:11">
      <c r="A125" t="str">
        <v>WEN-DES-014</v>
      </c>
      <c r="B125">
        <v>28</v>
      </c>
      <c r="C125" s="3">
        <v>0</v>
      </c>
      <c r="D125">
        <v>5</v>
      </c>
      <c r="E125" s="3" t="str">
        <v>No Demand</v>
      </c>
      <c r="F125" s="12">
        <v>0.2</v>
      </c>
      <c r="G125">
        <v>35</v>
      </c>
      <c r="H125" s="3">
        <v>35</v>
      </c>
      <c r="I125" s="14" t="str">
        <v>Critical</v>
      </c>
      <c r="J125" t="str">
        <v>Medium</v>
      </c>
      <c r="K125" t="str">
        <v>Priority</v>
      </c>
    </row>
    <row r="126" spans="1:11">
      <c r="A126" t="str">
        <v>WEN-DES-016</v>
      </c>
      <c r="B126">
        <v>32</v>
      </c>
      <c r="C126" s="3">
        <v>1.3548387096774193</v>
      </c>
      <c r="D126">
        <v>5</v>
      </c>
      <c r="E126" s="3">
        <v>23.61904761904762</v>
      </c>
      <c r="F126" s="12" t="str">
        <v/>
      </c>
      <c r="G126">
        <v>30</v>
      </c>
      <c r="H126" s="3">
        <v>36.774193548387096</v>
      </c>
      <c r="I126" s="13" t="str">
        <v>Reorder</v>
      </c>
      <c r="J126" t="str">
        <v>Low</v>
      </c>
      <c r="K126" t="str">
        <v>Order Later</v>
      </c>
    </row>
    <row r="127" spans="1:11">
      <c r="A127" t="str">
        <v>WEN-DES-017</v>
      </c>
      <c r="B127">
        <v>9</v>
      </c>
      <c r="C127" s="3">
        <v>1.7096774193548387</v>
      </c>
      <c r="D127">
        <v>5</v>
      </c>
      <c r="E127" s="3">
        <v>5.2641509433962259</v>
      </c>
      <c r="F127" s="12">
        <v>0.60869565217391308</v>
      </c>
      <c r="G127">
        <v>23</v>
      </c>
      <c r="H127" s="3">
        <v>31.548387096774192</v>
      </c>
      <c r="I127" s="14" t="str">
        <v>Critical</v>
      </c>
      <c r="J127" t="str">
        <v>High</v>
      </c>
      <c r="K127" t="str">
        <v>High Priority</v>
      </c>
    </row>
    <row r="128" spans="1:11">
      <c r="A128" t="str">
        <v>WEN-DES-018</v>
      </c>
      <c r="B128">
        <v>0</v>
      </c>
      <c r="C128" s="3">
        <v>2.774193548387097</v>
      </c>
      <c r="D128">
        <v>5</v>
      </c>
      <c r="E128" s="3">
        <v>0</v>
      </c>
      <c r="F128" s="12" t="str">
        <v/>
      </c>
      <c r="G128">
        <v>28</v>
      </c>
      <c r="H128" s="3">
        <v>41.870967741935488</v>
      </c>
      <c r="I128" s="13" t="str">
        <v>Stockout</v>
      </c>
      <c r="J128" t="str">
        <v>Very High</v>
      </c>
      <c r="K128" t="str">
        <v>Urgent</v>
      </c>
    </row>
    <row r="129" spans="1:11">
      <c r="A129" t="str">
        <v>WEN-DES-020</v>
      </c>
      <c r="B129">
        <v>50</v>
      </c>
      <c r="C129" s="3">
        <v>2.3870967741935485</v>
      </c>
      <c r="D129">
        <v>5</v>
      </c>
      <c r="E129" s="3">
        <v>20.945945945945944</v>
      </c>
      <c r="F129" s="12" t="str">
        <v/>
      </c>
      <c r="G129">
        <v>45</v>
      </c>
      <c r="H129" s="3">
        <v>56.935483870967744</v>
      </c>
      <c r="I129" s="14" t="str">
        <v>Reorder</v>
      </c>
      <c r="J129" t="str">
        <v>Low</v>
      </c>
      <c r="K129" t="str">
        <v>Order Later</v>
      </c>
    </row>
    <row r="130" spans="1:11">
      <c r="A130" t="str">
        <v>WEN-KID-001</v>
      </c>
      <c r="B130">
        <v>5</v>
      </c>
      <c r="C130" s="3">
        <v>0</v>
      </c>
      <c r="D130">
        <v>7</v>
      </c>
      <c r="E130" s="3" t="str">
        <v>No Demand</v>
      </c>
      <c r="F130" s="12">
        <v>0.8214285714285714</v>
      </c>
      <c r="G130">
        <v>28</v>
      </c>
      <c r="H130" s="3">
        <v>28</v>
      </c>
      <c r="I130" t="str">
        <v>Critical</v>
      </c>
      <c r="J130" t="str">
        <v>High</v>
      </c>
      <c r="K130" t="str">
        <v>High Priority</v>
      </c>
    </row>
    <row r="131" spans="1:11">
      <c r="A131" t="str">
        <v>WEN-KID-003</v>
      </c>
      <c r="B131">
        <v>15</v>
      </c>
      <c r="C131" s="3">
        <v>1.4838709677419355</v>
      </c>
      <c r="D131">
        <v>7</v>
      </c>
      <c r="E131" s="3">
        <v>10.108695652173912</v>
      </c>
      <c r="F131" s="12">
        <v>0.4</v>
      </c>
      <c r="G131">
        <v>25</v>
      </c>
      <c r="H131" s="3">
        <v>35.387096774193552</v>
      </c>
      <c r="I131" t="str">
        <v>Critical</v>
      </c>
      <c r="J131" t="str">
        <v>High</v>
      </c>
      <c r="K131" t="str">
        <v>High Priority</v>
      </c>
    </row>
    <row r="132" spans="1:11">
      <c r="A132" t="str">
        <v>WEN-KID-004</v>
      </c>
      <c r="B132">
        <v>14</v>
      </c>
      <c r="C132" s="3">
        <v>0</v>
      </c>
      <c r="D132">
        <v>7</v>
      </c>
      <c r="E132" s="3" t="str">
        <v>No Demand</v>
      </c>
      <c r="F132" s="12">
        <v>0.22222222222222221</v>
      </c>
      <c r="G132">
        <v>18</v>
      </c>
      <c r="H132" s="3">
        <v>18</v>
      </c>
      <c r="I132" t="str">
        <v>Critical</v>
      </c>
      <c r="J132" t="str">
        <v>Medium</v>
      </c>
      <c r="K132" t="str">
        <v>Priority</v>
      </c>
    </row>
    <row r="133" spans="1:11">
      <c r="A133" t="str">
        <v>WEN-KID-005</v>
      </c>
      <c r="B133">
        <v>24</v>
      </c>
      <c r="C133" s="3">
        <v>1.7096774193548387</v>
      </c>
      <c r="D133">
        <v>7</v>
      </c>
      <c r="E133" s="3">
        <v>14.037735849056604</v>
      </c>
      <c r="F133" s="12" t="str">
        <v/>
      </c>
      <c r="G133">
        <v>22</v>
      </c>
      <c r="H133" s="3">
        <v>33.967741935483872</v>
      </c>
      <c r="I133" t="str">
        <v>Reorder</v>
      </c>
      <c r="J133" t="str">
        <v>Low</v>
      </c>
      <c r="K133" t="str">
        <v>Order Later</v>
      </c>
    </row>
    <row r="134" spans="1:11" ht="12.6" customHeight="1">
      <c r="A134" t="str">
        <v>WEN-KID-007</v>
      </c>
      <c r="B134">
        <v>5</v>
      </c>
      <c r="C134" s="3">
        <v>0</v>
      </c>
      <c r="D134">
        <v>7</v>
      </c>
      <c r="E134" s="3" t="str">
        <v>No Demand</v>
      </c>
      <c r="F134" s="12">
        <v>0.6428571428571429</v>
      </c>
      <c r="G134">
        <v>14</v>
      </c>
      <c r="H134" s="3">
        <v>14</v>
      </c>
      <c r="I134" t="str">
        <v>Critical</v>
      </c>
      <c r="J134" t="str">
        <v>High</v>
      </c>
      <c r="K134" t="str">
        <v>High Priority</v>
      </c>
    </row>
    <row r="135" spans="1:11">
      <c r="A135" t="str">
        <v>WEN-KID-008</v>
      </c>
      <c r="B135">
        <v>0</v>
      </c>
      <c r="C135" s="3">
        <v>1.3870967741935485</v>
      </c>
      <c r="D135">
        <v>7</v>
      </c>
      <c r="E135" s="3">
        <v>0</v>
      </c>
      <c r="F135" s="12" t="str">
        <v/>
      </c>
      <c r="G135">
        <v>20</v>
      </c>
      <c r="H135" s="3">
        <v>29.70967741935484</v>
      </c>
      <c r="I135" t="str">
        <v>Stockout</v>
      </c>
      <c r="J135" t="str">
        <v>Very High</v>
      </c>
      <c r="K135" t="str">
        <v>Urgent</v>
      </c>
    </row>
    <row r="136" spans="1:11">
      <c r="A136" t="str">
        <v>WEN-KID-010</v>
      </c>
      <c r="B136">
        <v>14</v>
      </c>
      <c r="C136" s="3">
        <v>0</v>
      </c>
      <c r="D136">
        <v>7</v>
      </c>
      <c r="E136" s="3" t="str">
        <v>No Demand</v>
      </c>
      <c r="F136" s="12">
        <v>6.6666666666666666E-2</v>
      </c>
      <c r="G136">
        <v>15</v>
      </c>
      <c r="H136" s="3">
        <v>15</v>
      </c>
      <c r="I136" t="str">
        <v>Critical</v>
      </c>
      <c r="J136" t="str">
        <v>Medium</v>
      </c>
      <c r="K136" t="str">
        <v>Priority</v>
      </c>
    </row>
    <row r="137" spans="1:11">
      <c r="A137" t="str">
        <v>WEN-SAU-001</v>
      </c>
      <c r="B137">
        <v>12</v>
      </c>
      <c r="C137" s="3">
        <v>0</v>
      </c>
      <c r="D137">
        <v>6</v>
      </c>
      <c r="E137" s="3" t="str">
        <v>No Demand</v>
      </c>
      <c r="F137" s="12">
        <v>0.8</v>
      </c>
      <c r="G137">
        <v>60</v>
      </c>
      <c r="H137" s="3">
        <v>60</v>
      </c>
      <c r="I137" t="str">
        <v>Critical</v>
      </c>
      <c r="J137" t="str">
        <v>High</v>
      </c>
      <c r="K137" t="str">
        <v>High Priority</v>
      </c>
    </row>
    <row r="138" spans="1:11">
      <c r="A138" t="str">
        <v>WEN-SAU-002</v>
      </c>
      <c r="B138">
        <v>93</v>
      </c>
      <c r="C138" s="3">
        <v>2.2903225806451615</v>
      </c>
      <c r="D138">
        <v>6</v>
      </c>
      <c r="E138" s="3">
        <v>40.605633802816897</v>
      </c>
      <c r="F138" s="12" t="str">
        <v/>
      </c>
      <c r="G138">
        <v>88</v>
      </c>
      <c r="H138" s="3">
        <v>101.74193548387098</v>
      </c>
      <c r="I138" t="str">
        <v>Reorder</v>
      </c>
      <c r="J138" t="str">
        <v>Low</v>
      </c>
      <c r="K138" t="str">
        <v>Order Later</v>
      </c>
    </row>
    <row r="139" spans="1:11">
      <c r="A139" t="str">
        <v>WEN-SAU-004</v>
      </c>
      <c r="B139">
        <v>92</v>
      </c>
      <c r="C139" s="3">
        <v>2.064516129032258</v>
      </c>
      <c r="D139">
        <v>6</v>
      </c>
      <c r="E139" s="3">
        <v>44.5625</v>
      </c>
      <c r="F139" s="12" t="str">
        <v/>
      </c>
      <c r="G139">
        <v>90</v>
      </c>
      <c r="H139" s="3">
        <v>102.38709677419355</v>
      </c>
      <c r="I139" t="str">
        <v>Reorder</v>
      </c>
      <c r="J139" t="str">
        <v>Low</v>
      </c>
      <c r="K139" t="str">
        <v>Order Later</v>
      </c>
    </row>
    <row r="140" spans="1:11">
      <c r="A140" t="str">
        <v>WEN-SAU-005</v>
      </c>
      <c r="B140">
        <v>76</v>
      </c>
      <c r="C140" s="3">
        <v>2.129032258064516</v>
      </c>
      <c r="D140">
        <v>6</v>
      </c>
      <c r="E140" s="3">
        <v>35.696969696969695</v>
      </c>
      <c r="F140" s="12">
        <v>0.05</v>
      </c>
      <c r="G140">
        <v>80</v>
      </c>
      <c r="H140" s="3">
        <v>92.774193548387103</v>
      </c>
      <c r="I140" t="str">
        <v>Critical</v>
      </c>
      <c r="J140" t="str">
        <v>Medium</v>
      </c>
      <c r="K140" t="str">
        <v>Priority</v>
      </c>
    </row>
    <row r="141" spans="1:11">
      <c r="A141" t="str">
        <v>WEN-SAU-006</v>
      </c>
      <c r="B141">
        <v>57</v>
      </c>
      <c r="C141" s="3">
        <v>1.903225806451613</v>
      </c>
      <c r="D141">
        <v>6</v>
      </c>
      <c r="E141" s="3">
        <v>29.949152542372879</v>
      </c>
      <c r="F141" s="12" t="str">
        <v/>
      </c>
      <c r="G141">
        <v>52</v>
      </c>
      <c r="H141" s="3">
        <v>63.41935483870968</v>
      </c>
      <c r="I141" t="str">
        <v>Reorder</v>
      </c>
      <c r="J141" t="str">
        <v>Low</v>
      </c>
      <c r="K141" t="str">
        <v>Order Later</v>
      </c>
    </row>
    <row r="142" spans="1:11">
      <c r="A142" t="str">
        <v>WEN-SAU-008</v>
      </c>
      <c r="B142">
        <v>0</v>
      </c>
      <c r="C142" s="3">
        <v>0</v>
      </c>
      <c r="D142">
        <v>6</v>
      </c>
      <c r="E142" s="3" t="str">
        <v>No Demand</v>
      </c>
      <c r="F142" s="12" t="str">
        <v/>
      </c>
      <c r="G142">
        <v>54</v>
      </c>
      <c r="H142" s="3">
        <v>54</v>
      </c>
      <c r="I142" t="str">
        <v>Stockout</v>
      </c>
      <c r="J142" t="str">
        <v>Very High</v>
      </c>
      <c r="K142" t="str">
        <v>Urgent</v>
      </c>
    </row>
    <row r="143" spans="1:11">
      <c r="A143" t="str">
        <v>WEN-SAU-009</v>
      </c>
      <c r="B143">
        <v>43</v>
      </c>
      <c r="C143" s="3">
        <v>0</v>
      </c>
      <c r="D143">
        <v>6</v>
      </c>
      <c r="E143" s="3" t="str">
        <v>No Demand</v>
      </c>
      <c r="F143" s="12">
        <v>0.20370370370370369</v>
      </c>
      <c r="G143">
        <v>54</v>
      </c>
      <c r="H143" s="3">
        <v>54</v>
      </c>
      <c r="I143" t="str">
        <v>Critical</v>
      </c>
      <c r="J143" t="str">
        <v>Medium</v>
      </c>
      <c r="K143" t="str">
        <v>Priority</v>
      </c>
    </row>
    <row r="144" spans="1:11">
      <c r="A144" t="str">
        <v>WEN-COM-001</v>
      </c>
      <c r="B144">
        <v>46</v>
      </c>
      <c r="C144" s="3">
        <v>4.032258064516129</v>
      </c>
      <c r="D144">
        <v>7</v>
      </c>
      <c r="E144" s="3">
        <v>11.407999999999999</v>
      </c>
      <c r="F144" s="12" t="str">
        <v/>
      </c>
      <c r="G144">
        <v>38</v>
      </c>
      <c r="H144" s="3">
        <v>66.225806451612897</v>
      </c>
      <c r="I144" t="str">
        <v>Reorder</v>
      </c>
      <c r="J144" t="str">
        <v>Medium</v>
      </c>
      <c r="K144" t="str">
        <v>Need Plan to Reorder</v>
      </c>
    </row>
    <row r="145" spans="1:11">
      <c r="A145" t="str">
        <v>WEN-COM-002</v>
      </c>
      <c r="B145">
        <v>11</v>
      </c>
      <c r="C145" s="3">
        <v>0</v>
      </c>
      <c r="D145">
        <v>7</v>
      </c>
      <c r="E145" s="3" t="str">
        <v>No Demand</v>
      </c>
      <c r="F145" s="12">
        <v>0.6071428571428571</v>
      </c>
      <c r="G145">
        <v>28</v>
      </c>
      <c r="H145" s="3">
        <v>28</v>
      </c>
      <c r="I145" t="str">
        <v>Critical</v>
      </c>
      <c r="J145" t="str">
        <v>High</v>
      </c>
      <c r="K145" t="str">
        <v>High Priority</v>
      </c>
    </row>
    <row r="146" spans="1:11">
      <c r="A146" t="str">
        <v>WEN-COM-003</v>
      </c>
      <c r="B146">
        <v>24</v>
      </c>
      <c r="C146" s="3">
        <v>0</v>
      </c>
      <c r="D146">
        <v>7</v>
      </c>
      <c r="E146" s="3" t="str">
        <v>No Demand</v>
      </c>
      <c r="F146" s="12">
        <v>0.4</v>
      </c>
      <c r="G146">
        <v>40</v>
      </c>
      <c r="H146" s="3">
        <v>40</v>
      </c>
      <c r="I146" t="str">
        <v>Critical</v>
      </c>
      <c r="J146" t="str">
        <v>High</v>
      </c>
      <c r="K146" t="str">
        <v>High Priority</v>
      </c>
    </row>
    <row r="147" spans="1:11">
      <c r="A147" t="str">
        <v>WEN-COM-005</v>
      </c>
      <c r="B147">
        <v>34</v>
      </c>
      <c r="C147" s="3">
        <v>3.3870967741935485</v>
      </c>
      <c r="D147">
        <v>7</v>
      </c>
      <c r="E147" s="3">
        <v>10.038095238095238</v>
      </c>
      <c r="F147" s="12">
        <v>5.5555555555555552E-2</v>
      </c>
      <c r="G147">
        <v>36</v>
      </c>
      <c r="H147" s="3">
        <v>59.70967741935484</v>
      </c>
      <c r="I147" t="str">
        <v>Critical</v>
      </c>
      <c r="J147" t="str">
        <v>Medium</v>
      </c>
      <c r="K147" t="str">
        <v>Priority</v>
      </c>
    </row>
    <row r="148" spans="1:11">
      <c r="A148" t="str">
        <v>WEN-COM-006</v>
      </c>
      <c r="B148">
        <v>50</v>
      </c>
      <c r="C148" s="3">
        <v>3.7096774193548385</v>
      </c>
      <c r="D148">
        <v>7</v>
      </c>
      <c r="E148" s="3">
        <v>13.478260869565219</v>
      </c>
      <c r="F148" s="12" t="str">
        <v/>
      </c>
      <c r="G148">
        <v>46</v>
      </c>
      <c r="H148" s="3">
        <v>71.967741935483872</v>
      </c>
      <c r="I148" t="str">
        <v>Reorder</v>
      </c>
      <c r="J148" t="str">
        <v>Medium</v>
      </c>
      <c r="K148" t="str">
        <v>Need Plan to Reorder</v>
      </c>
    </row>
    <row r="149" spans="1:11">
      <c r="A149" t="str">
        <v>WEN-COM-007</v>
      </c>
      <c r="B149">
        <v>51</v>
      </c>
      <c r="C149" s="3">
        <v>4.774193548387097</v>
      </c>
      <c r="D149">
        <v>7</v>
      </c>
      <c r="E149" s="3">
        <v>10.682432432432432</v>
      </c>
      <c r="F149" s="12" t="str">
        <v/>
      </c>
      <c r="G149">
        <v>26</v>
      </c>
      <c r="H149" s="3">
        <v>59.41935483870968</v>
      </c>
      <c r="I149" t="str">
        <v>Reorder</v>
      </c>
      <c r="J149" t="str">
        <v>Medium</v>
      </c>
      <c r="K149" t="str">
        <v>Need Plan to Reorder</v>
      </c>
    </row>
    <row r="150" spans="1:11">
      <c r="A150" t="str">
        <v>WEN-COM-008</v>
      </c>
      <c r="B150">
        <v>0</v>
      </c>
      <c r="C150" s="3">
        <v>3.806451612903226</v>
      </c>
      <c r="D150">
        <v>7</v>
      </c>
      <c r="E150" s="3">
        <v>0</v>
      </c>
      <c r="F150" s="12" t="str">
        <v/>
      </c>
      <c r="G150">
        <v>29</v>
      </c>
      <c r="H150" s="3">
        <v>55.645161290322584</v>
      </c>
      <c r="I150" t="str">
        <v>Stockout</v>
      </c>
      <c r="J150" t="str">
        <v>Very High</v>
      </c>
      <c r="K150" t="str">
        <v>Urgent</v>
      </c>
    </row>
    <row r="151" spans="1:11">
      <c r="A151" t="str">
        <v>WEN-COM-009</v>
      </c>
      <c r="B151">
        <v>24</v>
      </c>
      <c r="C151" s="3">
        <v>0</v>
      </c>
      <c r="D151">
        <v>7</v>
      </c>
      <c r="E151" s="3" t="str">
        <v>No Demand</v>
      </c>
      <c r="F151" s="12">
        <v>0.22580645161290322</v>
      </c>
      <c r="G151">
        <v>31</v>
      </c>
      <c r="H151" s="3">
        <v>31</v>
      </c>
      <c r="I151" t="str">
        <v>Critical</v>
      </c>
      <c r="J151" t="str">
        <v>Medium</v>
      </c>
      <c r="K151" t="str">
        <v>Priority</v>
      </c>
    </row>
    <row r="152" spans="1:11">
      <c r="A152" t="str">
        <v>WEN-COM-010</v>
      </c>
      <c r="B152">
        <v>49</v>
      </c>
      <c r="C152" s="3">
        <v>2.870967741935484</v>
      </c>
      <c r="D152">
        <v>7</v>
      </c>
      <c r="E152" s="3">
        <v>17.067415730337078</v>
      </c>
      <c r="F152" s="12">
        <v>5.7692307692307696E-2</v>
      </c>
      <c r="G152">
        <v>52</v>
      </c>
      <c r="H152" s="3">
        <v>72.096774193548384</v>
      </c>
      <c r="I152" t="str">
        <v>Critical</v>
      </c>
      <c r="J152" t="str">
        <v>Medium</v>
      </c>
      <c r="K152" t="str">
        <v>Priority</v>
      </c>
    </row>
  </sheetData>
  <conditionalFormatting sqref="I2:I129">
    <cfRule type="containsText" dxfId="11" priority="22" operator="containsText" text="Stockout">
      <formula>NOT(ISERROR(SEARCH("Stockout",I2)))</formula>
    </cfRule>
    <cfRule type="containsText" dxfId="10" priority="23" operator="containsText" text="Critical">
      <formula>NOT(ISERROR(SEARCH("Critical",I2)))</formula>
    </cfRule>
    <cfRule type="containsText" dxfId="9" priority="24" operator="containsText" text="Safe">
      <formula>NOT(ISERROR(SEARCH("Safe",I2)))</formula>
    </cfRule>
    <cfRule type="containsText" dxfId="8" priority="25" operator="containsText" text="Reorder">
      <formula>NOT(ISERROR(SEARCH("Reorder",I2)))</formula>
    </cfRule>
  </conditionalFormatting>
  <conditionalFormatting sqref="K2:K212">
    <cfRule type="expression" dxfId="7" priority="1">
      <formula>$K2="Need Plan to Reorder"</formula>
    </cfRule>
    <cfRule type="expression" dxfId="6" priority="2">
      <formula>$K2="Order Later"</formula>
    </cfRule>
    <cfRule type="expression" dxfId="5" priority="3">
      <formula>$K2="Priority"</formula>
    </cfRule>
    <cfRule type="expression" dxfId="4" priority="5">
      <formula>$K2="Urgent"</formula>
    </cfRule>
    <cfRule type="expression" dxfId="3" priority="6">
      <formula>$K2="High Priority"</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0633-9AFE-4E6B-AA32-28FAA13884DC}">
  <dimension ref="A1:C80"/>
  <sheetViews>
    <sheetView zoomScaleNormal="100" workbookViewId="0">
      <pane ySplit="1" topLeftCell="A2" activePane="bottomLeft" state="frozen"/>
      <selection pane="bottomLeft" activeCell="C2" sqref="C2"/>
    </sheetView>
  </sheetViews>
  <sheetFormatPr defaultRowHeight="13.8"/>
  <cols>
    <col min="1" max="1" width="13.59765625" customWidth="1"/>
    <col min="2" max="2" width="27.59765625" bestFit="1" customWidth="1"/>
    <col min="3" max="3" width="30.296875" bestFit="1" customWidth="1"/>
    <col min="4" max="4" width="13.19921875" bestFit="1" customWidth="1"/>
  </cols>
  <sheetData>
    <row r="1" spans="1:3">
      <c r="A1" s="9" t="s">
        <v>4</v>
      </c>
      <c r="B1" s="9" t="s">
        <v>435</v>
      </c>
      <c r="C1" s="9" t="s">
        <v>2273</v>
      </c>
    </row>
    <row r="2" spans="1:3">
      <c r="A2" t="str" cm="1">
        <f t="array" ref="A2:A61">_xlfn._xlws.FILTER(_xlfn.ANCHORARRAY('Inventory Risk'!A2),(_xlfn.ANCHORARRAY('Inventory Risk'!K2)="High Priority")+(_xlfn.ANCHORARRAY('Inventory Risk'!K2)="Urgent"),"")</f>
        <v>WEN-BUR-007</v>
      </c>
      <c r="B2" t="str" cm="1">
        <f t="array" ref="B2:B61">_xlfn.XLOOKUP(_xlfn.ANCHORARRAY(A2),Products[SKU],Products[Supplier])</f>
        <v>Maple Prairie Foods</v>
      </c>
      <c r="C2" s="3" cm="1">
        <f t="array" ref="C2:C61">_xlfn.XLOOKUP(_xlfn.ANCHORARRAY(A2),_xlfn.ANCHORARRAY('Inventory Risk'!A2),_xlfn.ANCHORARRAY('Inventory Risk'!H2))-_xlfn.XLOOKUP(_xlfn.ANCHORARRAY('Order First'!A2),_xlfn.ANCHORARRAY('Inventory Risk'!A2),_xlfn.ANCHORARRAY('Inventory Risk'!B2))</f>
        <v>29</v>
      </c>
    </row>
    <row r="3" spans="1:3">
      <c r="A3" t="str">
        <v>WEN-BUR-008</v>
      </c>
      <c r="B3" t="str">
        <v>Maple Prairie Foods</v>
      </c>
      <c r="C3" s="3">
        <v>90.451612903225808</v>
      </c>
    </row>
    <row r="4" spans="1:3">
      <c r="A4" t="str">
        <v>WEN-BUR-012</v>
      </c>
      <c r="B4" t="str">
        <v>Maple Prairie Foods</v>
      </c>
      <c r="C4" s="3">
        <v>36.70967741935484</v>
      </c>
    </row>
    <row r="5" spans="1:3">
      <c r="A5" t="str">
        <v>WEN-BUR-017</v>
      </c>
      <c r="B5" t="str">
        <v>Maple Prairie Foods</v>
      </c>
      <c r="C5" s="3">
        <v>21</v>
      </c>
    </row>
    <row r="6" spans="1:3">
      <c r="A6" t="str">
        <v>WEN-BUR-018</v>
      </c>
      <c r="B6" t="str">
        <v>Maple Prairie Foods</v>
      </c>
      <c r="C6" s="3">
        <v>67.096774193548384</v>
      </c>
    </row>
    <row r="7" spans="1:3">
      <c r="A7" t="str">
        <v>WEN-BUR-021</v>
      </c>
      <c r="B7" t="str">
        <v>Maple Prairie Foods</v>
      </c>
      <c r="C7" s="3">
        <v>80.225806451612897</v>
      </c>
    </row>
    <row r="8" spans="1:3">
      <c r="A8" t="str">
        <v>WEN-BUR-023</v>
      </c>
      <c r="B8" t="str">
        <v>Maple Prairie Foods</v>
      </c>
      <c r="C8" s="3">
        <v>28.838709677419352</v>
      </c>
    </row>
    <row r="9" spans="1:3">
      <c r="A9" t="str">
        <v>WEN-BUR-026</v>
      </c>
      <c r="B9" t="str">
        <v>Maple Prairie Foods</v>
      </c>
      <c r="C9" s="3">
        <v>44</v>
      </c>
    </row>
    <row r="10" spans="1:3">
      <c r="A10" t="str">
        <v>WEN-BUR-028</v>
      </c>
      <c r="B10" t="str">
        <v>Maple Prairie Foods</v>
      </c>
      <c r="C10" s="3">
        <v>58</v>
      </c>
    </row>
    <row r="11" spans="1:3">
      <c r="A11" t="str">
        <v>WEN-CHK-002</v>
      </c>
      <c r="B11" t="str">
        <v>Maple Prairie Foods</v>
      </c>
      <c r="C11" s="3">
        <v>55.032258064516128</v>
      </c>
    </row>
    <row r="12" spans="1:3">
      <c r="A12" t="str">
        <v>WEN-CHK-007</v>
      </c>
      <c r="B12" t="str">
        <v>Maple Prairie Foods</v>
      </c>
      <c r="C12" s="3">
        <v>49.064516129032256</v>
      </c>
    </row>
    <row r="13" spans="1:3">
      <c r="A13" t="str">
        <v>WEN-CHK-008</v>
      </c>
      <c r="B13" t="str">
        <v>Maple Prairie Foods</v>
      </c>
      <c r="C13" s="3">
        <v>37</v>
      </c>
    </row>
    <row r="14" spans="1:3">
      <c r="A14" t="str">
        <v>WEN-CHK-012</v>
      </c>
      <c r="B14" t="str">
        <v>Maple Prairie Foods</v>
      </c>
      <c r="C14" s="3">
        <v>56.516129032258064</v>
      </c>
    </row>
    <row r="15" spans="1:3">
      <c r="A15" t="str">
        <v>WEN-CHK-017</v>
      </c>
      <c r="B15" t="str">
        <v>Maple Prairie Foods</v>
      </c>
      <c r="C15" s="3">
        <v>23</v>
      </c>
    </row>
    <row r="16" spans="1:3">
      <c r="A16" t="str">
        <v>WEN-CHK-018</v>
      </c>
      <c r="B16" t="str">
        <v>Maple Prairie Foods</v>
      </c>
      <c r="C16" s="3">
        <v>40.322580645161288</v>
      </c>
    </row>
    <row r="17" spans="1:3">
      <c r="A17" t="str">
        <v>WEN-CHK-023</v>
      </c>
      <c r="B17" t="str">
        <v>Maple Prairie Foods</v>
      </c>
      <c r="C17" s="3">
        <v>14</v>
      </c>
    </row>
    <row r="18" spans="1:3">
      <c r="A18" t="str">
        <v>WEN-BRK-002</v>
      </c>
      <c r="B18" t="str">
        <v>MorningStar Foodservice</v>
      </c>
      <c r="C18" s="3">
        <v>27.483870967741936</v>
      </c>
    </row>
    <row r="19" spans="1:3">
      <c r="A19" t="str">
        <v>WEN-BRK-003</v>
      </c>
      <c r="B19" t="str">
        <v>MorningStar Foodservice</v>
      </c>
      <c r="C19" s="3">
        <v>20</v>
      </c>
    </row>
    <row r="20" spans="1:3">
      <c r="A20" t="str">
        <v>WEN-BRK-006</v>
      </c>
      <c r="B20" t="str">
        <v>MorningStar Foodservice</v>
      </c>
      <c r="C20" s="3">
        <v>20</v>
      </c>
    </row>
    <row r="21" spans="1:3">
      <c r="A21" t="str">
        <v>WEN-BRK-007</v>
      </c>
      <c r="B21" t="str">
        <v>MorningStar Foodservice</v>
      </c>
      <c r="C21" s="3">
        <v>26.322580645161288</v>
      </c>
    </row>
    <row r="22" spans="1:3">
      <c r="A22" t="str">
        <v>WEN-BRK-013</v>
      </c>
      <c r="B22" t="str">
        <v>MorningStar Foodservice</v>
      </c>
      <c r="C22" s="3">
        <v>35</v>
      </c>
    </row>
    <row r="23" spans="1:3">
      <c r="A23" t="str">
        <v>WEN-BRK-018</v>
      </c>
      <c r="B23" t="str">
        <v>MorningStar Foodservice</v>
      </c>
      <c r="C23" s="3">
        <v>15</v>
      </c>
    </row>
    <row r="24" spans="1:3">
      <c r="A24" t="str">
        <v>WEN-BRK-019</v>
      </c>
      <c r="B24" t="str">
        <v>MorningStar Foodservice</v>
      </c>
      <c r="C24" s="3">
        <v>51.838709677419359</v>
      </c>
    </row>
    <row r="25" spans="1:3">
      <c r="A25" t="str">
        <v>WEN-BRK-022</v>
      </c>
      <c r="B25" t="str">
        <v>MorningStar Foodservice</v>
      </c>
      <c r="C25" s="3">
        <v>21</v>
      </c>
    </row>
    <row r="26" spans="1:3">
      <c r="A26" t="str">
        <v>WEN-BRK-023</v>
      </c>
      <c r="B26" t="str">
        <v>MorningStar Foodservice</v>
      </c>
      <c r="C26" s="3">
        <v>27</v>
      </c>
    </row>
    <row r="27" spans="1:3">
      <c r="A27" t="str">
        <v>WEN-SID-002</v>
      </c>
      <c r="B27" t="str">
        <v>NorthStar Frozen Foods</v>
      </c>
      <c r="C27" s="3">
        <v>59.935483870967744</v>
      </c>
    </row>
    <row r="28" spans="1:3">
      <c r="A28" t="str">
        <v>WEN-SID-008</v>
      </c>
      <c r="B28" t="str">
        <v>NorthStar Frozen Foods</v>
      </c>
      <c r="C28" s="3">
        <v>47</v>
      </c>
    </row>
    <row r="29" spans="1:3">
      <c r="A29" t="str">
        <v>WEN-SID-012</v>
      </c>
      <c r="B29" t="str">
        <v>NorthStar Frozen Foods</v>
      </c>
      <c r="C29" s="3">
        <v>30</v>
      </c>
    </row>
    <row r="30" spans="1:3">
      <c r="A30" t="str">
        <v>WEN-SID-013</v>
      </c>
      <c r="B30" t="str">
        <v>NorthStar Frozen Foods</v>
      </c>
      <c r="C30" s="3">
        <v>31.322580645161295</v>
      </c>
    </row>
    <row r="31" spans="1:3">
      <c r="A31" t="str">
        <v>WEN-SID-016</v>
      </c>
      <c r="B31" t="str">
        <v>NorthStar Frozen Foods</v>
      </c>
      <c r="C31" s="3">
        <v>66</v>
      </c>
    </row>
    <row r="32" spans="1:3">
      <c r="A32" t="str">
        <v>WEN-SID-018</v>
      </c>
      <c r="B32" t="str">
        <v>NorthStar Frozen Foods</v>
      </c>
      <c r="C32" s="3">
        <v>68</v>
      </c>
    </row>
    <row r="33" spans="1:3">
      <c r="A33" t="str">
        <v>WEN-SAL-002</v>
      </c>
      <c r="B33" t="str">
        <v>Fraser Fresh Produce</v>
      </c>
      <c r="C33" s="3">
        <v>21.58064516129032</v>
      </c>
    </row>
    <row r="34" spans="1:3">
      <c r="A34" t="str">
        <v>WEN-SAL-007</v>
      </c>
      <c r="B34" t="str">
        <v>Fraser Fresh Produce</v>
      </c>
      <c r="C34" s="3">
        <v>15</v>
      </c>
    </row>
    <row r="35" spans="1:3">
      <c r="A35" t="str">
        <v>WEN-SAL-008</v>
      </c>
      <c r="B35" t="str">
        <v>Fraser Fresh Produce</v>
      </c>
      <c r="C35" s="3">
        <v>22</v>
      </c>
    </row>
    <row r="36" spans="1:3">
      <c r="A36" t="str">
        <v>WEN-SAL-012</v>
      </c>
      <c r="B36" t="str">
        <v>Fraser Fresh Produce</v>
      </c>
      <c r="C36" s="3">
        <v>13.838709677419356</v>
      </c>
    </row>
    <row r="37" spans="1:3">
      <c r="A37" t="str">
        <v>WEN-BEV-003</v>
      </c>
      <c r="B37" t="str">
        <v>Pacific Beverage Partners</v>
      </c>
      <c r="C37" s="3">
        <v>99.612903225806448</v>
      </c>
    </row>
    <row r="38" spans="1:3">
      <c r="A38" t="str">
        <v>WEN-BEV-006</v>
      </c>
      <c r="B38" t="str">
        <v>Pacific Beverage Partners</v>
      </c>
      <c r="C38" s="3">
        <v>106.64516129032258</v>
      </c>
    </row>
    <row r="39" spans="1:3">
      <c r="A39" t="str">
        <v>WEN-BEV-013</v>
      </c>
      <c r="B39" t="str">
        <v>Pacific Beverage Partners</v>
      </c>
      <c r="C39" s="3">
        <v>87.161290322580641</v>
      </c>
    </row>
    <row r="40" spans="1:3">
      <c r="A40" t="str">
        <v>WEN-BEV-017</v>
      </c>
      <c r="B40" t="str">
        <v>Pacific Beverage Partners</v>
      </c>
      <c r="C40" s="3">
        <v>34</v>
      </c>
    </row>
    <row r="41" spans="1:3">
      <c r="A41" t="str">
        <v>WEN-BEV-018</v>
      </c>
      <c r="B41" t="str">
        <v>Pacific Beverage Partners</v>
      </c>
      <c r="C41" s="3">
        <v>62.225806451612897</v>
      </c>
    </row>
    <row r="42" spans="1:3">
      <c r="A42" t="str">
        <v>WEN-BEV-021</v>
      </c>
      <c r="B42" t="str">
        <v>Pacific Beverage Partners</v>
      </c>
      <c r="C42" s="3">
        <v>89.774193548387103</v>
      </c>
    </row>
    <row r="43" spans="1:3">
      <c r="A43" t="str">
        <v>WEN-BEV-023</v>
      </c>
      <c r="B43" t="str">
        <v>Pacific Beverage Partners</v>
      </c>
      <c r="C43" s="3">
        <v>71.870967741935488</v>
      </c>
    </row>
    <row r="44" spans="1:3">
      <c r="A44" t="str">
        <v>WEN-BEV-027</v>
      </c>
      <c r="B44" t="str">
        <v>Pacific Beverage Partners</v>
      </c>
      <c r="C44" s="3">
        <v>64.322580645161295</v>
      </c>
    </row>
    <row r="45" spans="1:3">
      <c r="A45" t="str">
        <v>WEN-BEV-031</v>
      </c>
      <c r="B45" t="str">
        <v>Pacific Beverage Partners</v>
      </c>
      <c r="C45" s="3">
        <v>87.451612903225808</v>
      </c>
    </row>
    <row r="46" spans="1:3">
      <c r="A46" t="str">
        <v>WEN-BEV-033</v>
      </c>
      <c r="B46" t="str">
        <v>Pacific Beverage Partners</v>
      </c>
      <c r="C46" s="3">
        <v>88.41935483870968</v>
      </c>
    </row>
    <row r="47" spans="1:3">
      <c r="A47" t="str">
        <v>WEN-DES-001</v>
      </c>
      <c r="B47" t="str">
        <v>SweetPeak Desserts</v>
      </c>
      <c r="C47" s="3">
        <v>32.032258064516128</v>
      </c>
    </row>
    <row r="48" spans="1:3">
      <c r="A48" t="str">
        <v>WEN-DES-006</v>
      </c>
      <c r="B48" t="str">
        <v>SweetPeak Desserts</v>
      </c>
      <c r="C48" s="3">
        <v>25</v>
      </c>
    </row>
    <row r="49" spans="1:3">
      <c r="A49" t="str">
        <v>WEN-DES-008</v>
      </c>
      <c r="B49" t="str">
        <v>SweetPeak Desserts</v>
      </c>
      <c r="C49" s="3">
        <v>55.258064516129032</v>
      </c>
    </row>
    <row r="50" spans="1:3">
      <c r="A50" t="str">
        <v>WEN-DES-012</v>
      </c>
      <c r="B50" t="str">
        <v>SweetPeak Desserts</v>
      </c>
      <c r="C50" s="3">
        <v>22</v>
      </c>
    </row>
    <row r="51" spans="1:3">
      <c r="A51" t="str">
        <v>WEN-DES-017</v>
      </c>
      <c r="B51" t="str">
        <v>SweetPeak Desserts</v>
      </c>
      <c r="C51" s="3">
        <v>22.548387096774192</v>
      </c>
    </row>
    <row r="52" spans="1:3">
      <c r="A52" t="str">
        <v>WEN-DES-018</v>
      </c>
      <c r="B52" t="str">
        <v>SweetPeak Desserts</v>
      </c>
      <c r="C52" s="3">
        <v>41.870967741935488</v>
      </c>
    </row>
    <row r="53" spans="1:3">
      <c r="A53" t="str">
        <v>WEN-KID-001</v>
      </c>
      <c r="B53" t="str">
        <v>Canada QuickServe Distribution</v>
      </c>
      <c r="C53" s="3">
        <v>23</v>
      </c>
    </row>
    <row r="54" spans="1:3">
      <c r="A54" t="str">
        <v>WEN-KID-003</v>
      </c>
      <c r="B54" t="str">
        <v>Canada QuickServe Distribution</v>
      </c>
      <c r="C54" s="3">
        <v>20.387096774193552</v>
      </c>
    </row>
    <row r="55" spans="1:3">
      <c r="A55" t="str">
        <v>WEN-KID-007</v>
      </c>
      <c r="B55" t="str">
        <v>Canada QuickServe Distribution</v>
      </c>
      <c r="C55" s="3">
        <v>9</v>
      </c>
    </row>
    <row r="56" spans="1:3">
      <c r="A56" t="str">
        <v>WEN-KID-008</v>
      </c>
      <c r="B56" t="str">
        <v>Canada QuickServe Distribution</v>
      </c>
      <c r="C56" s="3">
        <v>29.70967741935484</v>
      </c>
    </row>
    <row r="57" spans="1:3">
      <c r="A57" t="str">
        <v>WEN-SAU-001</v>
      </c>
      <c r="B57" t="str">
        <v>TrueNorth Sauces &amp; Seasonings</v>
      </c>
      <c r="C57" s="3">
        <v>48</v>
      </c>
    </row>
    <row r="58" spans="1:3">
      <c r="A58" t="str">
        <v>WEN-SAU-008</v>
      </c>
      <c r="B58" t="str">
        <v>TrueNorth Sauces &amp; Seasonings</v>
      </c>
      <c r="C58" s="3">
        <v>54</v>
      </c>
    </row>
    <row r="59" spans="1:3">
      <c r="A59" t="str">
        <v>WEN-COM-002</v>
      </c>
      <c r="B59" t="str">
        <v>Canada QuickServe Distribution</v>
      </c>
      <c r="C59" s="3">
        <v>17</v>
      </c>
    </row>
    <row r="60" spans="1:3">
      <c r="A60" t="str">
        <v>WEN-COM-003</v>
      </c>
      <c r="B60" t="str">
        <v>Canada QuickServe Distribution</v>
      </c>
      <c r="C60" s="3">
        <v>16</v>
      </c>
    </row>
    <row r="61" spans="1:3">
      <c r="A61" t="str">
        <v>WEN-COM-008</v>
      </c>
      <c r="B61" t="str">
        <v>Canada QuickServe Distribution</v>
      </c>
      <c r="C61" s="3">
        <v>55.645161290322584</v>
      </c>
    </row>
    <row r="62" spans="1:3">
      <c r="C62" s="3"/>
    </row>
    <row r="63" spans="1:3">
      <c r="C63" s="3"/>
    </row>
    <row r="64" spans="1:3">
      <c r="C64" s="3"/>
    </row>
    <row r="65" spans="3:3">
      <c r="C65" s="3"/>
    </row>
    <row r="66" spans="3:3">
      <c r="C66" s="3"/>
    </row>
    <row r="67" spans="3:3">
      <c r="C67" s="3"/>
    </row>
    <row r="68" spans="3:3">
      <c r="C68" s="3"/>
    </row>
    <row r="69" spans="3:3">
      <c r="C69" s="3"/>
    </row>
    <row r="70" spans="3:3">
      <c r="C70" s="3"/>
    </row>
    <row r="71" spans="3:3">
      <c r="C71" s="3"/>
    </row>
    <row r="72" spans="3:3">
      <c r="C72" s="3"/>
    </row>
    <row r="73" spans="3:3">
      <c r="C73" s="3"/>
    </row>
    <row r="74" spans="3:3">
      <c r="C74" s="3"/>
    </row>
    <row r="75" spans="3:3">
      <c r="C75" s="3"/>
    </row>
    <row r="76" spans="3:3">
      <c r="C76" s="3"/>
    </row>
    <row r="77" spans="3:3">
      <c r="C77" s="3"/>
    </row>
    <row r="78" spans="3:3">
      <c r="C78" s="3"/>
    </row>
    <row r="79" spans="3:3">
      <c r="C79" s="3"/>
    </row>
    <row r="80" spans="3:3">
      <c r="C80" s="3"/>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58E7-883B-4794-8663-5FEB78D92469}">
  <dimension ref="A1:E235"/>
  <sheetViews>
    <sheetView workbookViewId="0">
      <pane ySplit="1" topLeftCell="A5" activePane="bottomLeft" state="frozen"/>
      <selection pane="bottomLeft" activeCell="I18" sqref="I18"/>
    </sheetView>
  </sheetViews>
  <sheetFormatPr defaultRowHeight="13.8"/>
  <cols>
    <col min="1" max="1" width="13.59765625" style="3" customWidth="1"/>
    <col min="2" max="2" width="18.5" style="3" bestFit="1" customWidth="1"/>
    <col min="3" max="3" width="20.296875" style="3" bestFit="1" customWidth="1"/>
    <col min="4" max="4" width="11.8984375" style="3" bestFit="1" customWidth="1"/>
    <col min="5" max="5" width="13.59765625" style="3" bestFit="1" customWidth="1"/>
  </cols>
  <sheetData>
    <row r="1" spans="1:5">
      <c r="A1" s="20" t="s">
        <v>4</v>
      </c>
      <c r="B1" s="20" t="s">
        <v>2274</v>
      </c>
      <c r="C1" s="20" t="s">
        <v>2256</v>
      </c>
      <c r="D1" s="20" t="s">
        <v>2251</v>
      </c>
      <c r="E1" s="20" t="s">
        <v>2253</v>
      </c>
    </row>
    <row r="2" spans="1:5">
      <c r="A2" s="3" t="str" cm="1">
        <f t="array" ref="A2:A92">_xlfn._xlws.FILTER(_xlfn.ANCHORARRAY('Inventory Risk'!A2),(_xlfn.ANCHORARRAY('Inventory Risk'!K2)&lt;&gt;"High Priority")*(_xlfn.ANCHORARRAY('Inventory Risk'!K2)&lt;&gt;"Urgent"),"")</f>
        <v>WEN-BUR-001</v>
      </c>
      <c r="B2" t="str" cm="1">
        <f t="array" ref="B2:B92">_xlfn.XLOOKUP(_xlfn.ANCHORARRAY(A2),_xlfn.ANCHORARRAY('Inventory Risk'!A2),_xlfn.ANCHORARRAY('Inventory Risk'!K2))</f>
        <v>Order Later</v>
      </c>
      <c r="C2" s="3" cm="1">
        <f t="array" ref="C2:C92">_xlfn.XLOOKUP(_xlfn.ANCHORARRAY(A2),_xlfn.ANCHORARRAY('Inventory Risk'!A2),_xlfn.ANCHORARRAY('Inventory Risk'!B2))</f>
        <v>55</v>
      </c>
      <c r="D2" s="3" cm="1">
        <f t="array" ref="D2:D92">_xlfn.XLOOKUP(_xlfn.ANCHORARRAY(A2),_xlfn.ANCHORARRAY('Inventory Risk'!A2),_xlfn.ANCHORARRAY('Inventory Risk'!G2))</f>
        <v>52</v>
      </c>
      <c r="E2" s="3" cm="1">
        <f t="array" ref="E2:E92">_xlfn.XLOOKUP(_xlfn.ANCHORARRAY(A2),_xlfn.ANCHORARRAY('Inventory Risk'!A2),_xlfn.ANCHORARRAY('Inventory Risk'!H2))</f>
        <v>63.741935483870968</v>
      </c>
    </row>
    <row r="3" spans="1:5">
      <c r="A3" s="3" t="str">
        <v>WEN-BUR-003</v>
      </c>
      <c r="B3" t="str">
        <v>Order Later</v>
      </c>
      <c r="C3" s="3">
        <v>73</v>
      </c>
      <c r="D3" s="3">
        <v>69</v>
      </c>
      <c r="E3" s="3">
        <v>74.806451612903231</v>
      </c>
    </row>
    <row r="4" spans="1:5">
      <c r="A4" s="3" t="str">
        <v>WEN-BUR-004</v>
      </c>
      <c r="B4" t="str">
        <v>Priority</v>
      </c>
      <c r="C4" s="3">
        <v>59</v>
      </c>
      <c r="D4" s="3">
        <v>74</v>
      </c>
      <c r="E4" s="3">
        <v>85.612903225806448</v>
      </c>
    </row>
    <row r="5" spans="1:5">
      <c r="A5" s="3" t="str">
        <v>WEN-BUR-005</v>
      </c>
      <c r="B5" t="str">
        <v>Order Later</v>
      </c>
      <c r="C5" s="3">
        <v>69</v>
      </c>
      <c r="D5" s="3">
        <v>65</v>
      </c>
      <c r="E5" s="3">
        <v>72.870967741935488</v>
      </c>
    </row>
    <row r="6" spans="1:5">
      <c r="A6" s="3" t="str">
        <v>WEN-BUR-009</v>
      </c>
      <c r="B6" t="str">
        <v>Need Plan to Reorder</v>
      </c>
      <c r="C6" s="3">
        <v>50</v>
      </c>
      <c r="D6" s="3">
        <v>37</v>
      </c>
      <c r="E6" s="3">
        <v>55.967741935483872</v>
      </c>
    </row>
    <row r="7" spans="1:5">
      <c r="A7" s="3" t="str">
        <v>WEN-BUR-011</v>
      </c>
      <c r="B7" t="str">
        <v>Order Later</v>
      </c>
      <c r="C7" s="3">
        <v>82</v>
      </c>
      <c r="D7" s="3">
        <v>75</v>
      </c>
      <c r="E7" s="3">
        <v>88.548387096774192</v>
      </c>
    </row>
    <row r="8" spans="1:5">
      <c r="A8" s="3" t="str">
        <v>WEN-BUR-013</v>
      </c>
      <c r="B8" t="str">
        <v>Order Later</v>
      </c>
      <c r="C8" s="3">
        <v>52</v>
      </c>
      <c r="D8" s="3">
        <v>50</v>
      </c>
      <c r="E8" s="3">
        <v>55.935483870967744</v>
      </c>
    </row>
    <row r="9" spans="1:5">
      <c r="A9" s="3" t="str">
        <v>WEN-BUR-014</v>
      </c>
      <c r="B9" t="str">
        <v>Priority</v>
      </c>
      <c r="C9" s="3">
        <v>32</v>
      </c>
      <c r="D9" s="3">
        <v>41</v>
      </c>
      <c r="E9" s="3">
        <v>54.806451612903224</v>
      </c>
    </row>
    <row r="10" spans="1:5">
      <c r="A10" s="3" t="str">
        <v>WEN-BUR-015</v>
      </c>
      <c r="B10" t="str">
        <v>Order Later</v>
      </c>
      <c r="C10" s="3">
        <v>83</v>
      </c>
      <c r="D10" s="3">
        <v>66</v>
      </c>
      <c r="E10" s="3">
        <v>89.354838709677423</v>
      </c>
    </row>
    <row r="11" spans="1:5">
      <c r="A11" s="3" t="str">
        <v>WEN-BUR-019</v>
      </c>
      <c r="B11" t="str">
        <v>Order Later</v>
      </c>
      <c r="C11" s="3">
        <v>77</v>
      </c>
      <c r="D11" s="3">
        <v>73</v>
      </c>
      <c r="E11" s="3">
        <v>87.451612903225808</v>
      </c>
    </row>
    <row r="12" spans="1:5">
      <c r="A12" s="3" t="str">
        <v>WEN-BUR-022</v>
      </c>
      <c r="B12" t="str">
        <v>Order Later</v>
      </c>
      <c r="C12" s="3">
        <v>47</v>
      </c>
      <c r="D12" s="3">
        <v>45</v>
      </c>
      <c r="E12" s="3">
        <v>51.70967741935484</v>
      </c>
    </row>
    <row r="13" spans="1:5">
      <c r="A13" s="3" t="str">
        <v>WEN-BUR-024</v>
      </c>
      <c r="B13" t="str">
        <v>Order Later</v>
      </c>
      <c r="C13" s="3">
        <v>53</v>
      </c>
      <c r="D13" s="3">
        <v>43</v>
      </c>
      <c r="E13" s="3">
        <v>57.58064516129032</v>
      </c>
    </row>
    <row r="14" spans="1:5">
      <c r="A14" s="3" t="str">
        <v>WEN-BUR-029</v>
      </c>
      <c r="B14" t="str">
        <v>Priority</v>
      </c>
      <c r="C14" s="3">
        <v>51</v>
      </c>
      <c r="D14" s="3">
        <v>64</v>
      </c>
      <c r="E14" s="3">
        <v>64</v>
      </c>
    </row>
    <row r="15" spans="1:5">
      <c r="A15" s="3" t="str">
        <v>WEN-CHK-001</v>
      </c>
      <c r="B15" t="str">
        <v>Order Later</v>
      </c>
      <c r="C15" s="3">
        <v>32</v>
      </c>
      <c r="D15" s="3">
        <v>30</v>
      </c>
      <c r="E15" s="3">
        <v>38</v>
      </c>
    </row>
    <row r="16" spans="1:5">
      <c r="A16" s="3" t="str">
        <v>WEN-CHK-003</v>
      </c>
      <c r="B16" t="str">
        <v>Order Later</v>
      </c>
      <c r="C16" s="3">
        <v>64</v>
      </c>
      <c r="D16" s="3">
        <v>56</v>
      </c>
      <c r="E16" s="3">
        <v>67.870967741935488</v>
      </c>
    </row>
    <row r="17" spans="1:5">
      <c r="A17" s="3" t="str">
        <v>WEN-CHK-004</v>
      </c>
      <c r="B17" t="str">
        <v>Priority</v>
      </c>
      <c r="C17" s="3">
        <v>36</v>
      </c>
      <c r="D17" s="3">
        <v>45</v>
      </c>
      <c r="E17" s="3">
        <v>55.451612903225808</v>
      </c>
    </row>
    <row r="18" spans="1:5">
      <c r="A18" s="3" t="str">
        <v>WEN-CHK-006</v>
      </c>
      <c r="B18" t="str">
        <v>Order Later</v>
      </c>
      <c r="C18" s="3">
        <v>40</v>
      </c>
      <c r="D18" s="3">
        <v>32</v>
      </c>
      <c r="E18" s="3">
        <v>43.612903225806448</v>
      </c>
    </row>
    <row r="19" spans="1:5">
      <c r="A19" s="3" t="str">
        <v>WEN-CHK-009</v>
      </c>
      <c r="B19" t="str">
        <v>Order Later</v>
      </c>
      <c r="C19" s="3">
        <v>68</v>
      </c>
      <c r="D19" s="3">
        <v>62</v>
      </c>
      <c r="E19" s="3">
        <v>70.645161290322577</v>
      </c>
    </row>
    <row r="20" spans="1:5">
      <c r="A20" s="3" t="str">
        <v>WEN-CHK-011</v>
      </c>
      <c r="B20" t="str">
        <v>Order Later</v>
      </c>
      <c r="C20" s="3">
        <v>67</v>
      </c>
      <c r="D20" s="3">
        <v>55</v>
      </c>
      <c r="E20" s="3">
        <v>78.741935483870975</v>
      </c>
    </row>
    <row r="21" spans="1:5">
      <c r="A21" s="3" t="str">
        <v>WEN-CHK-013</v>
      </c>
      <c r="B21" t="str">
        <v>Need Plan to Reorder</v>
      </c>
      <c r="C21" s="3">
        <v>47</v>
      </c>
      <c r="D21" s="3">
        <v>38</v>
      </c>
      <c r="E21" s="3">
        <v>72.838709677419359</v>
      </c>
    </row>
    <row r="22" spans="1:5">
      <c r="A22" s="3" t="str">
        <v>WEN-CHK-014</v>
      </c>
      <c r="B22" t="str">
        <v>Priority</v>
      </c>
      <c r="C22" s="3">
        <v>44</v>
      </c>
      <c r="D22" s="3">
        <v>55</v>
      </c>
      <c r="E22" s="3">
        <v>55</v>
      </c>
    </row>
    <row r="23" spans="1:5">
      <c r="A23" s="3" t="str">
        <v>WEN-CHK-016</v>
      </c>
      <c r="B23" t="str">
        <v>Need Plan to Reorder</v>
      </c>
      <c r="C23" s="3">
        <v>34</v>
      </c>
      <c r="D23" s="3">
        <v>30</v>
      </c>
      <c r="E23" s="3">
        <v>45.870967741935488</v>
      </c>
    </row>
    <row r="24" spans="1:5">
      <c r="A24" s="3" t="str">
        <v>WEN-CHK-020</v>
      </c>
      <c r="B24" t="str">
        <v>Priority</v>
      </c>
      <c r="C24" s="3">
        <v>51</v>
      </c>
      <c r="D24" s="3">
        <v>54</v>
      </c>
      <c r="E24" s="3">
        <v>54</v>
      </c>
    </row>
    <row r="25" spans="1:5">
      <c r="A25" s="3" t="str">
        <v>WEN-CHK-021</v>
      </c>
      <c r="B25" t="str">
        <v>Order Later</v>
      </c>
      <c r="C25" s="3">
        <v>60</v>
      </c>
      <c r="D25" s="3">
        <v>54</v>
      </c>
      <c r="E25" s="3">
        <v>62.645161290322577</v>
      </c>
    </row>
    <row r="26" spans="1:5">
      <c r="A26" s="3" t="str">
        <v>WEN-CHK-024</v>
      </c>
      <c r="B26" t="str">
        <v>Order Later</v>
      </c>
      <c r="C26" s="3">
        <v>51</v>
      </c>
      <c r="D26" s="3">
        <v>44</v>
      </c>
      <c r="E26" s="3">
        <v>53.41935483870968</v>
      </c>
    </row>
    <row r="27" spans="1:5">
      <c r="A27" s="3" t="str">
        <v>WEN-CHK-025</v>
      </c>
      <c r="B27" t="str">
        <v>Priority</v>
      </c>
      <c r="C27" s="3">
        <v>57</v>
      </c>
      <c r="D27" s="3">
        <v>60</v>
      </c>
      <c r="E27" s="3">
        <v>60</v>
      </c>
    </row>
    <row r="28" spans="1:5">
      <c r="A28" s="3" t="str">
        <v>WEN-BRK-004</v>
      </c>
      <c r="B28" t="str">
        <v>Order Later</v>
      </c>
      <c r="C28" s="3">
        <v>39</v>
      </c>
      <c r="D28" s="3">
        <v>35</v>
      </c>
      <c r="E28" s="3">
        <v>44.032258064516128</v>
      </c>
    </row>
    <row r="29" spans="1:5">
      <c r="A29" s="3" t="str">
        <v>WEN-BRK-009</v>
      </c>
      <c r="B29" t="str">
        <v>Priority</v>
      </c>
      <c r="C29" s="3">
        <v>20</v>
      </c>
      <c r="D29" s="3">
        <v>26</v>
      </c>
      <c r="E29" s="3">
        <v>36</v>
      </c>
    </row>
    <row r="30" spans="1:5">
      <c r="A30" s="3" t="str">
        <v>WEN-BRK-010</v>
      </c>
      <c r="B30" t="str">
        <v>Need Plan to Reorder</v>
      </c>
      <c r="C30" s="3">
        <v>44</v>
      </c>
      <c r="D30" s="3">
        <v>36</v>
      </c>
      <c r="E30" s="3">
        <v>56.161290322580641</v>
      </c>
    </row>
    <row r="31" spans="1:5">
      <c r="A31" s="3" t="str">
        <v>WEN-BRK-012</v>
      </c>
      <c r="B31" t="str">
        <v>Need Plan to Reorder</v>
      </c>
      <c r="C31" s="3">
        <v>40</v>
      </c>
      <c r="D31" s="3">
        <v>36</v>
      </c>
      <c r="E31" s="3">
        <v>55.677419354838712</v>
      </c>
    </row>
    <row r="32" spans="1:5">
      <c r="A32" s="3" t="str">
        <v>WEN-BRK-014</v>
      </c>
      <c r="B32" t="str">
        <v>Priority</v>
      </c>
      <c r="C32" s="3">
        <v>16</v>
      </c>
      <c r="D32" s="3">
        <v>21</v>
      </c>
      <c r="E32" s="3">
        <v>35.354838709677423</v>
      </c>
    </row>
    <row r="33" spans="1:5">
      <c r="A33" s="3" t="str">
        <v>WEN-BRK-015</v>
      </c>
      <c r="B33" t="str">
        <v>Order Later</v>
      </c>
      <c r="C33" s="3">
        <v>51</v>
      </c>
      <c r="D33" s="3">
        <v>48</v>
      </c>
      <c r="E33" s="3">
        <v>64.129032258064512</v>
      </c>
    </row>
    <row r="34" spans="1:5">
      <c r="A34" s="3" t="str">
        <v>WEN-BRK-017</v>
      </c>
      <c r="B34" t="str">
        <v>Order Later</v>
      </c>
      <c r="C34" s="3">
        <v>34</v>
      </c>
      <c r="D34" s="3">
        <v>28</v>
      </c>
      <c r="E34" s="3">
        <v>38.322580645161288</v>
      </c>
    </row>
    <row r="35" spans="1:5">
      <c r="A35" s="3" t="str">
        <v>WEN-BRK-020</v>
      </c>
      <c r="B35" t="str">
        <v>Order Later</v>
      </c>
      <c r="C35" s="3">
        <v>30</v>
      </c>
      <c r="D35" s="3">
        <v>26</v>
      </c>
      <c r="E35" s="3">
        <v>33.58064516129032</v>
      </c>
    </row>
    <row r="36" spans="1:5">
      <c r="A36" s="3" t="str">
        <v>WEN-BRK-025</v>
      </c>
      <c r="B36" t="str">
        <v>Priority</v>
      </c>
      <c r="C36" s="3">
        <v>19</v>
      </c>
      <c r="D36" s="3">
        <v>21</v>
      </c>
      <c r="E36" s="3">
        <v>21</v>
      </c>
    </row>
    <row r="37" spans="1:5">
      <c r="A37" s="3" t="str">
        <v>WEN-SID-001</v>
      </c>
      <c r="B37" t="str">
        <v>Order Later</v>
      </c>
      <c r="C37" s="3">
        <v>54</v>
      </c>
      <c r="D37" s="3">
        <v>47</v>
      </c>
      <c r="E37" s="3">
        <v>62.870967741935488</v>
      </c>
    </row>
    <row r="38" spans="1:5">
      <c r="A38" s="3" t="str">
        <v>WEN-SID-003</v>
      </c>
      <c r="B38" t="str">
        <v>Order Later</v>
      </c>
      <c r="C38" s="3">
        <v>52</v>
      </c>
      <c r="D38" s="3">
        <v>47</v>
      </c>
      <c r="E38" s="3">
        <v>62.483870967741936</v>
      </c>
    </row>
    <row r="39" spans="1:5">
      <c r="A39" s="3" t="str">
        <v>WEN-SID-005</v>
      </c>
      <c r="B39" t="str">
        <v>Priority</v>
      </c>
      <c r="C39" s="3">
        <v>38</v>
      </c>
      <c r="D39" s="3">
        <v>40</v>
      </c>
      <c r="E39" s="3">
        <v>59.354838709677416</v>
      </c>
    </row>
    <row r="40" spans="1:5">
      <c r="A40" s="3" t="str">
        <v>WEN-SID-006</v>
      </c>
      <c r="B40" t="str">
        <v>Order Later</v>
      </c>
      <c r="C40" s="3">
        <v>73</v>
      </c>
      <c r="D40" s="3">
        <v>70</v>
      </c>
      <c r="E40" s="3">
        <v>77.935483870967744</v>
      </c>
    </row>
    <row r="41" spans="1:5">
      <c r="A41" s="3" t="str">
        <v>WEN-SID-009</v>
      </c>
      <c r="B41" t="str">
        <v>Priority</v>
      </c>
      <c r="C41" s="3">
        <v>41</v>
      </c>
      <c r="D41" s="3">
        <v>52</v>
      </c>
      <c r="E41" s="3">
        <v>75.032258064516128</v>
      </c>
    </row>
    <row r="42" spans="1:5">
      <c r="A42" s="3" t="str">
        <v>WEN-SID-010</v>
      </c>
      <c r="B42" t="str">
        <v>Order Later</v>
      </c>
      <c r="C42" s="3">
        <v>91</v>
      </c>
      <c r="D42" s="3">
        <v>81</v>
      </c>
      <c r="E42" s="3">
        <v>101.70967741935485</v>
      </c>
    </row>
    <row r="43" spans="1:5">
      <c r="A43" s="3" t="str">
        <v>WEN-SID-014</v>
      </c>
      <c r="B43" t="str">
        <v>Order Later</v>
      </c>
      <c r="C43" s="3">
        <v>87</v>
      </c>
      <c r="D43" s="3">
        <v>80</v>
      </c>
      <c r="E43" s="3">
        <v>119.67741935483872</v>
      </c>
    </row>
    <row r="44" spans="1:5">
      <c r="A44" s="3" t="str">
        <v>WEN-SID-017</v>
      </c>
      <c r="B44" t="str">
        <v>Order Later</v>
      </c>
      <c r="C44" s="3">
        <v>120</v>
      </c>
      <c r="D44" s="3">
        <v>84</v>
      </c>
      <c r="E44" s="3">
        <v>129.29032258064518</v>
      </c>
    </row>
    <row r="45" spans="1:5">
      <c r="A45" s="3" t="str">
        <v>WEN-SID-019</v>
      </c>
      <c r="B45" t="str">
        <v>Order Later</v>
      </c>
      <c r="C45" s="3">
        <v>57</v>
      </c>
      <c r="D45" s="3">
        <v>52</v>
      </c>
      <c r="E45" s="3">
        <v>63.032258064516128</v>
      </c>
    </row>
    <row r="46" spans="1:5">
      <c r="A46" s="3" t="str">
        <v>WEN-SID-020</v>
      </c>
      <c r="B46" t="str">
        <v>Priority</v>
      </c>
      <c r="C46" s="3">
        <v>72</v>
      </c>
      <c r="D46" s="3">
        <v>76</v>
      </c>
      <c r="E46" s="3">
        <v>82.967741935483872</v>
      </c>
    </row>
    <row r="47" spans="1:5">
      <c r="A47" s="3" t="str">
        <v>WEN-SAL-001</v>
      </c>
      <c r="B47" t="str">
        <v>Order Later</v>
      </c>
      <c r="C47" s="3">
        <v>38</v>
      </c>
      <c r="D47" s="3">
        <v>34</v>
      </c>
      <c r="E47" s="3">
        <v>38.387096774193552</v>
      </c>
    </row>
    <row r="48" spans="1:5">
      <c r="A48" s="3" t="str">
        <v>WEN-SAL-003</v>
      </c>
      <c r="B48" t="str">
        <v>Order Later</v>
      </c>
      <c r="C48" s="3">
        <v>26</v>
      </c>
      <c r="D48" s="3">
        <v>24</v>
      </c>
      <c r="E48" s="3">
        <v>27.419354838709676</v>
      </c>
    </row>
    <row r="49" spans="1:5">
      <c r="A49" s="3" t="str">
        <v>WEN-SAL-005</v>
      </c>
      <c r="B49" t="str">
        <v>Priority</v>
      </c>
      <c r="C49" s="3">
        <v>21</v>
      </c>
      <c r="D49" s="3">
        <v>23</v>
      </c>
      <c r="E49" s="3">
        <v>30.161290322580644</v>
      </c>
    </row>
    <row r="50" spans="1:5">
      <c r="A50" s="3" t="str">
        <v>WEN-SAL-010</v>
      </c>
      <c r="B50" t="str">
        <v>Priority</v>
      </c>
      <c r="C50" s="3">
        <v>32</v>
      </c>
      <c r="D50" s="3">
        <v>34</v>
      </c>
      <c r="E50" s="3">
        <v>34</v>
      </c>
    </row>
    <row r="51" spans="1:5">
      <c r="A51" s="3" t="str">
        <v>WEN-SAL-013</v>
      </c>
      <c r="B51" t="str">
        <v>Order Later</v>
      </c>
      <c r="C51" s="3">
        <v>31</v>
      </c>
      <c r="D51" s="3">
        <v>27</v>
      </c>
      <c r="E51" s="3">
        <v>31.451612903225808</v>
      </c>
    </row>
    <row r="52" spans="1:5">
      <c r="A52" s="3" t="str">
        <v>WEN-SAL-015</v>
      </c>
      <c r="B52" t="str">
        <v>Priority</v>
      </c>
      <c r="C52" s="3">
        <v>25</v>
      </c>
      <c r="D52" s="3">
        <v>27</v>
      </c>
      <c r="E52" s="3">
        <v>27</v>
      </c>
    </row>
    <row r="53" spans="1:5">
      <c r="A53" s="3" t="str">
        <v>WEN-BEV-001</v>
      </c>
      <c r="B53" t="str">
        <v>Order Later</v>
      </c>
      <c r="C53" s="3">
        <v>67</v>
      </c>
      <c r="D53" s="3">
        <v>64</v>
      </c>
      <c r="E53" s="3">
        <v>69.935483870967744</v>
      </c>
    </row>
    <row r="54" spans="1:5">
      <c r="A54" s="3" t="str">
        <v>WEN-BEV-004</v>
      </c>
      <c r="B54" t="str">
        <v>Need Plan to Reorder</v>
      </c>
      <c r="C54" s="3">
        <v>83</v>
      </c>
      <c r="D54" s="3">
        <v>68</v>
      </c>
      <c r="E54" s="3">
        <v>98.709677419354847</v>
      </c>
    </row>
    <row r="55" spans="1:5">
      <c r="A55" s="3" t="str">
        <v>WEN-BEV-005</v>
      </c>
      <c r="B55" t="str">
        <v>Priority</v>
      </c>
      <c r="C55" s="3">
        <v>93</v>
      </c>
      <c r="D55" s="3">
        <v>98</v>
      </c>
      <c r="E55" s="3">
        <v>98</v>
      </c>
    </row>
    <row r="56" spans="1:5">
      <c r="A56" s="3" t="str">
        <v>WEN-BEV-008</v>
      </c>
      <c r="B56" t="str">
        <v>Order Later</v>
      </c>
      <c r="C56" s="3">
        <v>108</v>
      </c>
      <c r="D56" s="3">
        <v>95</v>
      </c>
      <c r="E56" s="3">
        <v>112.54838709677419</v>
      </c>
    </row>
    <row r="57" spans="1:5">
      <c r="A57" s="3" t="str">
        <v>WEN-BEV-009</v>
      </c>
      <c r="B57" t="str">
        <v>Priority</v>
      </c>
      <c r="C57" s="3">
        <v>74</v>
      </c>
      <c r="D57" s="3">
        <v>93</v>
      </c>
      <c r="E57" s="3">
        <v>98.935483870967744</v>
      </c>
    </row>
    <row r="58" spans="1:5">
      <c r="A58" s="3" t="str">
        <v>WEN-BEV-010</v>
      </c>
      <c r="B58" t="str">
        <v>Order Later</v>
      </c>
      <c r="C58" s="3">
        <v>104</v>
      </c>
      <c r="D58" s="3">
        <v>97</v>
      </c>
      <c r="E58" s="3">
        <v>110.6774193548387</v>
      </c>
    </row>
    <row r="59" spans="1:5">
      <c r="A59" s="3" t="str">
        <v>WEN-BEV-012</v>
      </c>
      <c r="B59" t="str">
        <v>Order Later</v>
      </c>
      <c r="C59" s="3">
        <v>68</v>
      </c>
      <c r="D59" s="3">
        <v>63</v>
      </c>
      <c r="E59" s="3">
        <v>81.838709677419359</v>
      </c>
    </row>
    <row r="60" spans="1:5">
      <c r="A60" s="3" t="str">
        <v>WEN-BEV-014</v>
      </c>
      <c r="B60" t="str">
        <v>Priority</v>
      </c>
      <c r="C60" s="3">
        <v>52</v>
      </c>
      <c r="D60" s="3">
        <v>66</v>
      </c>
      <c r="E60" s="3">
        <v>74.774193548387103</v>
      </c>
    </row>
    <row r="61" spans="1:5">
      <c r="A61" s="3" t="str">
        <v>WEN-BEV-016</v>
      </c>
      <c r="B61" t="str">
        <v>Order Later</v>
      </c>
      <c r="C61" s="3">
        <v>99</v>
      </c>
      <c r="D61" s="3">
        <v>84</v>
      </c>
      <c r="E61" s="3">
        <v>113.54838709677419</v>
      </c>
    </row>
    <row r="62" spans="1:5">
      <c r="A62" s="3" t="str">
        <v>WEN-BEV-020</v>
      </c>
      <c r="B62" t="str">
        <v>Order Later</v>
      </c>
      <c r="C62" s="3">
        <v>78</v>
      </c>
      <c r="D62" s="3">
        <v>73</v>
      </c>
      <c r="E62" s="3">
        <v>80.612903225806448</v>
      </c>
    </row>
    <row r="63" spans="1:5">
      <c r="A63" s="3" t="str">
        <v>WEN-BEV-022</v>
      </c>
      <c r="B63" t="str">
        <v>Order Later</v>
      </c>
      <c r="C63" s="3">
        <v>67</v>
      </c>
      <c r="D63" s="3">
        <v>64</v>
      </c>
      <c r="E63" s="3">
        <v>69.41935483870968</v>
      </c>
    </row>
    <row r="64" spans="1:5">
      <c r="A64" s="3" t="str">
        <v>WEN-BEV-025</v>
      </c>
      <c r="B64" t="str">
        <v>Priority</v>
      </c>
      <c r="C64" s="3">
        <v>80</v>
      </c>
      <c r="D64" s="3">
        <v>85</v>
      </c>
      <c r="E64" s="3">
        <v>106.93548387096774</v>
      </c>
    </row>
    <row r="65" spans="1:5">
      <c r="A65" s="3" t="str">
        <v>WEN-BEV-026</v>
      </c>
      <c r="B65" t="str">
        <v>Order Later</v>
      </c>
      <c r="C65" s="3">
        <v>63</v>
      </c>
      <c r="D65" s="3">
        <v>59</v>
      </c>
      <c r="E65" s="3">
        <v>65.193548387096769</v>
      </c>
    </row>
    <row r="66" spans="1:5">
      <c r="A66" s="3" t="str">
        <v>WEN-BEV-028</v>
      </c>
      <c r="B66" t="str">
        <v>Order Later</v>
      </c>
      <c r="C66" s="3">
        <v>90</v>
      </c>
      <c r="D66" s="3">
        <v>86</v>
      </c>
      <c r="E66" s="3">
        <v>94.129032258064512</v>
      </c>
    </row>
    <row r="67" spans="1:5">
      <c r="A67" s="3" t="str">
        <v>WEN-BEV-030</v>
      </c>
      <c r="B67" t="str">
        <v>Order Later</v>
      </c>
      <c r="C67" s="3">
        <v>84</v>
      </c>
      <c r="D67" s="3">
        <v>81</v>
      </c>
      <c r="E67" s="3">
        <v>93.645161290322577</v>
      </c>
    </row>
    <row r="68" spans="1:5">
      <c r="A68" s="3" t="str">
        <v>WEN-BEV-032</v>
      </c>
      <c r="B68" t="str">
        <v>Order Later</v>
      </c>
      <c r="C68" s="3">
        <v>96</v>
      </c>
      <c r="D68" s="3">
        <v>92</v>
      </c>
      <c r="E68" s="3">
        <v>98.709677419354833</v>
      </c>
    </row>
    <row r="69" spans="1:5">
      <c r="A69" s="3" t="str">
        <v>WEN-BEV-035</v>
      </c>
      <c r="B69" t="str">
        <v>Order Later</v>
      </c>
      <c r="C69" s="3">
        <v>97</v>
      </c>
      <c r="D69" s="3">
        <v>92</v>
      </c>
      <c r="E69" s="3">
        <v>99.483870967741936</v>
      </c>
    </row>
    <row r="70" spans="1:5">
      <c r="A70" s="3" t="str">
        <v>WEN-DES-002</v>
      </c>
      <c r="B70" t="str">
        <v>Order Later</v>
      </c>
      <c r="C70" s="3">
        <v>27</v>
      </c>
      <c r="D70" s="3">
        <v>24</v>
      </c>
      <c r="E70" s="3">
        <v>30.451612903225808</v>
      </c>
    </row>
    <row r="71" spans="1:5">
      <c r="A71" s="3" t="str">
        <v>WEN-DES-004</v>
      </c>
      <c r="B71" t="str">
        <v>Order Later</v>
      </c>
      <c r="C71" s="3">
        <v>47</v>
      </c>
      <c r="D71" s="3">
        <v>44</v>
      </c>
      <c r="E71" s="3">
        <v>56.741935483870968</v>
      </c>
    </row>
    <row r="72" spans="1:5">
      <c r="A72" s="3" t="str">
        <v>WEN-DES-005</v>
      </c>
      <c r="B72" t="str">
        <v>Priority</v>
      </c>
      <c r="C72" s="3">
        <v>41</v>
      </c>
      <c r="D72" s="3">
        <v>44</v>
      </c>
      <c r="E72" s="3">
        <v>56.741935483870968</v>
      </c>
    </row>
    <row r="73" spans="1:5">
      <c r="A73" s="3" t="str">
        <v>WEN-DES-009</v>
      </c>
      <c r="B73" t="str">
        <v>Order Later</v>
      </c>
      <c r="C73" s="3">
        <v>39</v>
      </c>
      <c r="D73" s="3">
        <v>36</v>
      </c>
      <c r="E73" s="3">
        <v>41.322580645161288</v>
      </c>
    </row>
    <row r="74" spans="1:5">
      <c r="A74" s="3" t="str">
        <v>WEN-DES-010</v>
      </c>
      <c r="B74" t="str">
        <v>Priority</v>
      </c>
      <c r="C74" s="3">
        <v>31</v>
      </c>
      <c r="D74" s="3">
        <v>33</v>
      </c>
      <c r="E74" s="3">
        <v>42.516129032258064</v>
      </c>
    </row>
    <row r="75" spans="1:5">
      <c r="A75" s="3" t="str">
        <v>WEN-DES-013</v>
      </c>
      <c r="B75" t="str">
        <v>Need Plan to Reorder</v>
      </c>
      <c r="C75" s="3">
        <v>33</v>
      </c>
      <c r="D75" s="3">
        <v>29</v>
      </c>
      <c r="E75" s="3">
        <v>46.58064516129032</v>
      </c>
    </row>
    <row r="76" spans="1:5">
      <c r="A76" s="3" t="str">
        <v>WEN-DES-014</v>
      </c>
      <c r="B76" t="str">
        <v>Priority</v>
      </c>
      <c r="C76" s="3">
        <v>28</v>
      </c>
      <c r="D76" s="3">
        <v>35</v>
      </c>
      <c r="E76" s="3">
        <v>35</v>
      </c>
    </row>
    <row r="77" spans="1:5">
      <c r="A77" s="3" t="str">
        <v>WEN-DES-016</v>
      </c>
      <c r="B77" t="str">
        <v>Order Later</v>
      </c>
      <c r="C77" s="3">
        <v>32</v>
      </c>
      <c r="D77" s="3">
        <v>30</v>
      </c>
      <c r="E77" s="3">
        <v>36.774193548387096</v>
      </c>
    </row>
    <row r="78" spans="1:5">
      <c r="A78" s="3" t="str">
        <v>WEN-DES-020</v>
      </c>
      <c r="B78" t="str">
        <v>Order Later</v>
      </c>
      <c r="C78" s="3">
        <v>50</v>
      </c>
      <c r="D78" s="3">
        <v>45</v>
      </c>
      <c r="E78" s="3">
        <v>56.935483870967744</v>
      </c>
    </row>
    <row r="79" spans="1:5">
      <c r="A79" s="3" t="str">
        <v>WEN-KID-004</v>
      </c>
      <c r="B79" t="str">
        <v>Priority</v>
      </c>
      <c r="C79" s="3">
        <v>14</v>
      </c>
      <c r="D79" s="3">
        <v>18</v>
      </c>
      <c r="E79" s="3">
        <v>18</v>
      </c>
    </row>
    <row r="80" spans="1:5">
      <c r="A80" s="3" t="str">
        <v>WEN-KID-005</v>
      </c>
      <c r="B80" t="str">
        <v>Order Later</v>
      </c>
      <c r="C80" s="3">
        <v>24</v>
      </c>
      <c r="D80" s="3">
        <v>22</v>
      </c>
      <c r="E80" s="3">
        <v>33.967741935483872</v>
      </c>
    </row>
    <row r="81" spans="1:5">
      <c r="A81" s="3" t="str">
        <v>WEN-KID-010</v>
      </c>
      <c r="B81" t="str">
        <v>Priority</v>
      </c>
      <c r="C81" s="3">
        <v>14</v>
      </c>
      <c r="D81" s="3">
        <v>15</v>
      </c>
      <c r="E81" s="3">
        <v>15</v>
      </c>
    </row>
    <row r="82" spans="1:5">
      <c r="A82" s="3" t="str">
        <v>WEN-SAU-002</v>
      </c>
      <c r="B82" t="str">
        <v>Order Later</v>
      </c>
      <c r="C82" s="3">
        <v>93</v>
      </c>
      <c r="D82" s="3">
        <v>88</v>
      </c>
      <c r="E82" s="3">
        <v>101.74193548387098</v>
      </c>
    </row>
    <row r="83" spans="1:5">
      <c r="A83" s="3" t="str">
        <v>WEN-SAU-004</v>
      </c>
      <c r="B83" t="str">
        <v>Order Later</v>
      </c>
      <c r="C83" s="3">
        <v>92</v>
      </c>
      <c r="D83" s="3">
        <v>90</v>
      </c>
      <c r="E83" s="3">
        <v>102.38709677419355</v>
      </c>
    </row>
    <row r="84" spans="1:5">
      <c r="A84" s="3" t="str">
        <v>WEN-SAU-005</v>
      </c>
      <c r="B84" t="str">
        <v>Priority</v>
      </c>
      <c r="C84" s="3">
        <v>76</v>
      </c>
      <c r="D84" s="3">
        <v>80</v>
      </c>
      <c r="E84" s="3">
        <v>92.774193548387103</v>
      </c>
    </row>
    <row r="85" spans="1:5">
      <c r="A85" s="3" t="str">
        <v>WEN-SAU-006</v>
      </c>
      <c r="B85" t="str">
        <v>Order Later</v>
      </c>
      <c r="C85" s="3">
        <v>57</v>
      </c>
      <c r="D85" s="3">
        <v>52</v>
      </c>
      <c r="E85" s="3">
        <v>63.41935483870968</v>
      </c>
    </row>
    <row r="86" spans="1:5">
      <c r="A86" s="3" t="str">
        <v>WEN-SAU-009</v>
      </c>
      <c r="B86" t="str">
        <v>Priority</v>
      </c>
      <c r="C86" s="3">
        <v>43</v>
      </c>
      <c r="D86" s="3">
        <v>54</v>
      </c>
      <c r="E86" s="3">
        <v>54</v>
      </c>
    </row>
    <row r="87" spans="1:5">
      <c r="A87" s="3" t="str">
        <v>WEN-COM-001</v>
      </c>
      <c r="B87" t="str">
        <v>Need Plan to Reorder</v>
      </c>
      <c r="C87" s="3">
        <v>46</v>
      </c>
      <c r="D87" s="3">
        <v>38</v>
      </c>
      <c r="E87" s="3">
        <v>66.225806451612897</v>
      </c>
    </row>
    <row r="88" spans="1:5">
      <c r="A88" s="3" t="str">
        <v>WEN-COM-005</v>
      </c>
      <c r="B88" t="str">
        <v>Priority</v>
      </c>
      <c r="C88" s="3">
        <v>34</v>
      </c>
      <c r="D88" s="3">
        <v>36</v>
      </c>
      <c r="E88" s="3">
        <v>59.70967741935484</v>
      </c>
    </row>
    <row r="89" spans="1:5">
      <c r="A89" s="3" t="str">
        <v>WEN-COM-006</v>
      </c>
      <c r="B89" t="str">
        <v>Need Plan to Reorder</v>
      </c>
      <c r="C89" s="3">
        <v>50</v>
      </c>
      <c r="D89" s="3">
        <v>46</v>
      </c>
      <c r="E89" s="3">
        <v>71.967741935483872</v>
      </c>
    </row>
    <row r="90" spans="1:5">
      <c r="A90" s="3" t="str">
        <v>WEN-COM-007</v>
      </c>
      <c r="B90" t="str">
        <v>Need Plan to Reorder</v>
      </c>
      <c r="C90" s="3">
        <v>51</v>
      </c>
      <c r="D90" s="3">
        <v>26</v>
      </c>
      <c r="E90" s="3">
        <v>59.41935483870968</v>
      </c>
    </row>
    <row r="91" spans="1:5">
      <c r="A91" s="3" t="str">
        <v>WEN-COM-009</v>
      </c>
      <c r="B91" t="str">
        <v>Priority</v>
      </c>
      <c r="C91" s="3">
        <v>24</v>
      </c>
      <c r="D91" s="3">
        <v>31</v>
      </c>
      <c r="E91" s="3">
        <v>31</v>
      </c>
    </row>
    <row r="92" spans="1:5">
      <c r="A92" s="3" t="str">
        <v>WEN-COM-010</v>
      </c>
      <c r="B92" t="str">
        <v>Priority</v>
      </c>
      <c r="C92" s="3">
        <v>49</v>
      </c>
      <c r="D92" s="3">
        <v>52</v>
      </c>
      <c r="E92" s="3">
        <v>72.096774193548384</v>
      </c>
    </row>
    <row r="93" spans="1:5">
      <c r="B93"/>
    </row>
    <row r="94" spans="1:5">
      <c r="B94"/>
    </row>
    <row r="95" spans="1:5">
      <c r="B95"/>
    </row>
    <row r="96" spans="1:5">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sheetData>
  <conditionalFormatting sqref="B2:B222">
    <cfRule type="expression" dxfId="2" priority="1">
      <formula>$B2="Need Plan to Reorder"</formula>
    </cfRule>
    <cfRule type="expression" dxfId="1" priority="2">
      <formula>$B2="Priority"</formula>
    </cfRule>
    <cfRule type="expression" dxfId="0" priority="3">
      <formula>$B2="Order Later"</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0FAA-5B89-48D7-83AE-1B8CD4C7C505}">
  <dimension ref="A1:C10"/>
  <sheetViews>
    <sheetView zoomScale="92" workbookViewId="0">
      <selection activeCell="A2" sqref="A2"/>
    </sheetView>
  </sheetViews>
  <sheetFormatPr defaultRowHeight="13.8"/>
  <cols>
    <col min="1" max="1" width="13.09765625" bestFit="1" customWidth="1"/>
    <col min="2" max="2" width="19.59765625" bestFit="1" customWidth="1"/>
    <col min="3" max="3" width="26.796875" bestFit="1" customWidth="1"/>
    <col min="4" max="5" width="3.8984375" bestFit="1" customWidth="1"/>
    <col min="6" max="8" width="4.8984375" bestFit="1" customWidth="1"/>
    <col min="9" max="24" width="6.3984375" bestFit="1" customWidth="1"/>
    <col min="25" max="25" width="7.3984375" bestFit="1" customWidth="1"/>
    <col min="26" max="28" width="6.3984375" bestFit="1" customWidth="1"/>
    <col min="29" max="29" width="7.3984375" bestFit="1" customWidth="1"/>
    <col min="30" max="30" width="6.3984375" bestFit="1" customWidth="1"/>
    <col min="31" max="32" width="7.3984375" bestFit="1" customWidth="1"/>
    <col min="33" max="33" width="6.3984375" bestFit="1" customWidth="1"/>
    <col min="34" max="34" width="7.3984375" bestFit="1" customWidth="1"/>
    <col min="35" max="35" width="6.3984375" bestFit="1" customWidth="1"/>
    <col min="36" max="36" width="7.3984375" bestFit="1" customWidth="1"/>
    <col min="37" max="37" width="6.3984375" bestFit="1" customWidth="1"/>
    <col min="38" max="43" width="7.3984375" bestFit="1" customWidth="1"/>
    <col min="44" max="44" width="6.3984375" bestFit="1" customWidth="1"/>
    <col min="45" max="59" width="7.3984375" bestFit="1" customWidth="1"/>
    <col min="60" max="61" width="6.3984375" bestFit="1" customWidth="1"/>
    <col min="62" max="62" width="4.8984375" bestFit="1" customWidth="1"/>
    <col min="63" max="63" width="6.3984375" bestFit="1" customWidth="1"/>
    <col min="64" max="64" width="4.8984375" bestFit="1" customWidth="1"/>
    <col min="65" max="65" width="11.09765625" bestFit="1" customWidth="1"/>
    <col min="66" max="66" width="21.5" bestFit="1" customWidth="1"/>
    <col min="67" max="67" width="17.69921875" bestFit="1" customWidth="1"/>
    <col min="68" max="68" width="19.796875" bestFit="1" customWidth="1"/>
    <col min="69" max="69" width="20" bestFit="1" customWidth="1"/>
    <col min="70" max="70" width="19.19921875" bestFit="1" customWidth="1"/>
    <col min="71" max="71" width="18.59765625" bestFit="1" customWidth="1"/>
    <col min="72" max="72" width="11.3984375" bestFit="1" customWidth="1"/>
    <col min="73" max="73" width="11.296875" bestFit="1" customWidth="1"/>
    <col min="74" max="74" width="24.8984375" bestFit="1" customWidth="1"/>
    <col min="75" max="75" width="19.5" bestFit="1" customWidth="1"/>
    <col min="76" max="76" width="21" bestFit="1" customWidth="1"/>
    <col min="77" max="77" width="30.59765625" bestFit="1" customWidth="1"/>
    <col min="78" max="78" width="32.59765625" bestFit="1" customWidth="1"/>
    <col min="79" max="79" width="30.5" bestFit="1" customWidth="1"/>
    <col min="80" max="80" width="22.5" bestFit="1" customWidth="1"/>
    <col min="81" max="81" width="22.3984375" bestFit="1" customWidth="1"/>
    <col min="82" max="82" width="16.8984375" bestFit="1" customWidth="1"/>
    <col min="83" max="83" width="15.5" bestFit="1" customWidth="1"/>
    <col min="84" max="84" width="17.59765625" bestFit="1" customWidth="1"/>
    <col min="85" max="85" width="15.3984375" bestFit="1" customWidth="1"/>
    <col min="86" max="86" width="23.296875" bestFit="1" customWidth="1"/>
    <col min="87" max="87" width="20" bestFit="1" customWidth="1"/>
    <col min="88" max="88" width="22.3984375" bestFit="1" customWidth="1"/>
    <col min="89" max="89" width="26.59765625" bestFit="1" customWidth="1"/>
    <col min="90" max="90" width="27.3984375" bestFit="1" customWidth="1"/>
    <col min="91" max="91" width="18.5" bestFit="1" customWidth="1"/>
    <col min="92" max="92" width="17.69921875" bestFit="1" customWidth="1"/>
    <col min="93" max="94" width="23.59765625" bestFit="1" customWidth="1"/>
    <col min="95" max="95" width="20.3984375" bestFit="1" customWidth="1"/>
    <col min="96" max="96" width="12.59765625" bestFit="1" customWidth="1"/>
    <col min="97" max="97" width="18.5" bestFit="1" customWidth="1"/>
    <col min="98" max="98" width="26.59765625" bestFit="1" customWidth="1"/>
    <col min="99" max="99" width="21.3984375" bestFit="1" customWidth="1"/>
    <col min="100" max="100" width="23.59765625" bestFit="1" customWidth="1"/>
    <col min="101" max="101" width="27" bestFit="1" customWidth="1"/>
    <col min="102" max="102" width="31.19921875" bestFit="1" customWidth="1"/>
    <col min="103" max="103" width="24.296875" bestFit="1" customWidth="1"/>
    <col min="104" max="104" width="16.8984375" bestFit="1" customWidth="1"/>
    <col min="105" max="105" width="19" bestFit="1" customWidth="1"/>
    <col min="106" max="106" width="16.796875" bestFit="1" customWidth="1"/>
    <col min="107" max="107" width="17.69921875" bestFit="1" customWidth="1"/>
    <col min="108" max="108" width="19.69921875" bestFit="1" customWidth="1"/>
    <col min="109" max="109" width="17.59765625" bestFit="1" customWidth="1"/>
    <col min="110" max="110" width="15" bestFit="1" customWidth="1"/>
    <col min="111" max="111" width="17.09765625" bestFit="1" customWidth="1"/>
    <col min="112" max="112" width="14.8984375" bestFit="1" customWidth="1"/>
    <col min="113" max="113" width="30.3984375" bestFit="1" customWidth="1"/>
    <col min="114" max="114" width="29.69921875" bestFit="1" customWidth="1"/>
    <col min="115" max="116" width="25.796875" bestFit="1" customWidth="1"/>
    <col min="117" max="117" width="19.59765625" bestFit="1" customWidth="1"/>
    <col min="118" max="118" width="19.796875" bestFit="1" customWidth="1"/>
    <col min="119" max="119" width="14.69921875" bestFit="1" customWidth="1"/>
    <col min="120" max="120" width="27.59765625" bestFit="1" customWidth="1"/>
    <col min="121" max="121" width="22.69921875" bestFit="1" customWidth="1"/>
    <col min="122" max="122" width="26.3984375" bestFit="1" customWidth="1"/>
    <col min="123" max="123" width="21.59765625" bestFit="1" customWidth="1"/>
    <col min="124" max="124" width="23.59765625" bestFit="1" customWidth="1"/>
    <col min="125" max="125" width="19.8984375" bestFit="1" customWidth="1"/>
    <col min="126" max="126" width="22.69921875" bestFit="1" customWidth="1"/>
    <col min="127" max="127" width="18.69921875" bestFit="1" customWidth="1"/>
    <col min="128" max="128" width="22.69921875" bestFit="1" customWidth="1"/>
    <col min="129" max="129" width="16.8984375" bestFit="1" customWidth="1"/>
    <col min="130" max="130" width="19" bestFit="1" customWidth="1"/>
    <col min="131" max="131" width="16.796875" bestFit="1" customWidth="1"/>
    <col min="132" max="132" width="23.796875" bestFit="1" customWidth="1"/>
    <col min="133" max="133" width="25.8984375" bestFit="1" customWidth="1"/>
    <col min="134" max="134" width="23.69921875" bestFit="1" customWidth="1"/>
    <col min="135" max="135" width="12.296875" bestFit="1" customWidth="1"/>
    <col min="136" max="136" width="20.19921875" bestFit="1" customWidth="1"/>
    <col min="137" max="137" width="20.09765625" bestFit="1" customWidth="1"/>
    <col min="138" max="138" width="25.69921875" bestFit="1" customWidth="1"/>
    <col min="139" max="139" width="24.8984375" bestFit="1" customWidth="1"/>
    <col min="140" max="140" width="20.3984375" bestFit="1" customWidth="1"/>
    <col min="141" max="141" width="18" bestFit="1" customWidth="1"/>
    <col min="142" max="142" width="26.796875" bestFit="1" customWidth="1"/>
    <col min="143" max="143" width="14.8984375" bestFit="1" customWidth="1"/>
    <col min="144" max="144" width="11" bestFit="1" customWidth="1"/>
    <col min="145" max="145" width="29.59765625" bestFit="1" customWidth="1"/>
    <col min="146" max="146" width="28.796875" bestFit="1" customWidth="1"/>
    <col min="147" max="147" width="14.3984375" bestFit="1" customWidth="1"/>
    <col min="148" max="148" width="22.5" bestFit="1" customWidth="1"/>
    <col min="149" max="149" width="24.5" bestFit="1" customWidth="1"/>
    <col min="150" max="150" width="22.3984375" bestFit="1" customWidth="1"/>
    <col min="151" max="151" width="12.19921875" bestFit="1" customWidth="1"/>
    <col min="152" max="152" width="20.8984375" bestFit="1" customWidth="1"/>
    <col min="153" max="153" width="18.3984375" bestFit="1" customWidth="1"/>
    <col min="154" max="154" width="20.3984375" bestFit="1" customWidth="1"/>
    <col min="155" max="155" width="18.296875" bestFit="1" customWidth="1"/>
    <col min="156" max="156" width="12.5" bestFit="1" customWidth="1"/>
    <col min="157" max="157" width="25.296875" bestFit="1" customWidth="1"/>
    <col min="158" max="158" width="24.5" bestFit="1" customWidth="1"/>
    <col min="159" max="160" width="16.3984375" bestFit="1" customWidth="1"/>
    <col min="161" max="161" width="18.5" bestFit="1" customWidth="1"/>
    <col min="162" max="162" width="16.296875" bestFit="1" customWidth="1"/>
    <col min="163" max="163" width="26.59765625" bestFit="1" customWidth="1"/>
    <col min="164" max="164" width="22.5" bestFit="1" customWidth="1"/>
    <col min="165" max="165" width="19" bestFit="1" customWidth="1"/>
    <col min="166" max="167" width="21.3984375" bestFit="1" customWidth="1"/>
    <col min="168" max="168" width="23.3984375" bestFit="1" customWidth="1"/>
    <col min="169" max="169" width="21.296875" bestFit="1" customWidth="1"/>
    <col min="170" max="170" width="16.796875" bestFit="1" customWidth="1"/>
    <col min="171" max="171" width="17.19921875" bestFit="1" customWidth="1"/>
    <col min="172" max="172" width="26.59765625" bestFit="1" customWidth="1"/>
    <col min="173" max="173" width="25.8984375" bestFit="1" customWidth="1"/>
    <col min="174" max="174" width="23.3984375" bestFit="1" customWidth="1"/>
    <col min="175" max="175" width="30.3984375" bestFit="1" customWidth="1"/>
    <col min="176" max="176" width="15.59765625" bestFit="1" customWidth="1"/>
    <col min="177" max="177" width="17.59765625" bestFit="1" customWidth="1"/>
    <col min="178" max="178" width="20.3984375" bestFit="1" customWidth="1"/>
    <col min="179" max="179" width="18.8984375" bestFit="1" customWidth="1"/>
    <col min="180" max="180" width="22.69921875" bestFit="1" customWidth="1"/>
    <col min="181" max="182" width="20" bestFit="1" customWidth="1"/>
    <col min="183" max="184" width="19" bestFit="1" customWidth="1"/>
    <col min="185" max="185" width="15.796875" bestFit="1" customWidth="1"/>
    <col min="186" max="186" width="29.19921875" bestFit="1" customWidth="1"/>
    <col min="187" max="187" width="28.5" bestFit="1" customWidth="1"/>
    <col min="188" max="188" width="27.3984375" bestFit="1" customWidth="1"/>
    <col min="189" max="189" width="29.5" bestFit="1" customWidth="1"/>
    <col min="190" max="190" width="27.296875" bestFit="1" customWidth="1"/>
    <col min="191" max="191" width="17.8984375" bestFit="1" customWidth="1"/>
    <col min="192" max="192" width="12.59765625" bestFit="1" customWidth="1"/>
    <col min="193" max="193" width="16.5" bestFit="1" customWidth="1"/>
    <col min="194" max="194" width="27.59765625" bestFit="1" customWidth="1"/>
    <col min="195" max="195" width="29.69921875" bestFit="1" customWidth="1"/>
    <col min="196" max="196" width="27.5" bestFit="1" customWidth="1"/>
    <col min="197" max="197" width="19.5" bestFit="1" customWidth="1"/>
    <col min="198" max="198" width="19.3984375" bestFit="1" customWidth="1"/>
    <col min="199" max="199" width="21.19921875" bestFit="1" customWidth="1"/>
    <col min="200" max="200" width="20.09765625" bestFit="1" customWidth="1"/>
    <col min="201" max="201" width="11" bestFit="1" customWidth="1"/>
    <col min="202" max="202" width="26" bestFit="1" customWidth="1"/>
    <col min="203" max="203" width="20.296875" bestFit="1" customWidth="1"/>
    <col min="204" max="215" width="2.8984375" bestFit="1" customWidth="1"/>
    <col min="216" max="216" width="23.5" bestFit="1" customWidth="1"/>
    <col min="217" max="217" width="19.69921875" bestFit="1" customWidth="1"/>
    <col min="218" max="218" width="2.8984375" bestFit="1" customWidth="1"/>
    <col min="219" max="219" width="22.8984375" bestFit="1" customWidth="1"/>
    <col min="220" max="220" width="23.5" bestFit="1" customWidth="1"/>
    <col min="221" max="227" width="2.8984375" bestFit="1" customWidth="1"/>
    <col min="228" max="228" width="26.69921875" bestFit="1" customWidth="1"/>
    <col min="229" max="229" width="25.796875" bestFit="1" customWidth="1"/>
    <col min="230" max="238" width="2.8984375" bestFit="1" customWidth="1"/>
    <col min="239" max="239" width="29" bestFit="1" customWidth="1"/>
    <col min="240" max="240" width="25.09765625" bestFit="1" customWidth="1"/>
    <col min="241" max="251" width="2.8984375" bestFit="1" customWidth="1"/>
    <col min="252" max="252" width="28.296875" bestFit="1" customWidth="1"/>
    <col min="253" max="253" width="16.59765625" bestFit="1" customWidth="1"/>
    <col min="254" max="256" width="2.8984375" bestFit="1" customWidth="1"/>
    <col min="257" max="257" width="19.796875" bestFit="1" customWidth="1"/>
    <col min="258" max="258" width="14.5" bestFit="1" customWidth="1"/>
    <col min="259" max="263" width="2.8984375" bestFit="1" customWidth="1"/>
    <col min="264" max="264" width="17.796875" bestFit="1" customWidth="1"/>
    <col min="265" max="265" width="26.796875" bestFit="1" customWidth="1"/>
    <col min="266" max="273" width="2.8984375" bestFit="1" customWidth="1"/>
    <col min="274" max="274" width="30.09765625" bestFit="1" customWidth="1"/>
    <col min="275" max="275" width="24.5" bestFit="1" customWidth="1"/>
    <col min="276" max="281" width="2.8984375" bestFit="1" customWidth="1"/>
    <col min="282" max="282" width="27.69921875" bestFit="1" customWidth="1"/>
    <col min="283" max="283" width="26.09765625" bestFit="1" customWidth="1"/>
    <col min="284" max="287" width="2.8984375" bestFit="1" customWidth="1"/>
    <col min="288" max="288" width="29.3984375" bestFit="1" customWidth="1"/>
    <col min="289" max="289" width="26.5" bestFit="1" customWidth="1"/>
    <col min="290" max="293" width="2.8984375" bestFit="1" customWidth="1"/>
    <col min="294" max="294" width="29.796875" bestFit="1" customWidth="1"/>
    <col min="295" max="295" width="26" bestFit="1" customWidth="1"/>
    <col min="296" max="300" width="2.8984375" bestFit="1" customWidth="1"/>
    <col min="301" max="301" width="29.19921875" bestFit="1" customWidth="1"/>
    <col min="302" max="302" width="28.09765625" bestFit="1" customWidth="1"/>
    <col min="303" max="309" width="2.8984375" bestFit="1" customWidth="1"/>
    <col min="310" max="310" width="31.296875" bestFit="1" customWidth="1"/>
    <col min="311" max="311" width="25.8984375" bestFit="1" customWidth="1"/>
    <col min="312" max="318" width="2.8984375" bestFit="1" customWidth="1"/>
    <col min="319" max="319" width="29.09765625" bestFit="1" customWidth="1"/>
    <col min="320" max="320" width="9.8984375" bestFit="1" customWidth="1"/>
    <col min="321" max="321" width="13.09765625" bestFit="1" customWidth="1"/>
    <col min="322" max="322" width="14" bestFit="1" customWidth="1"/>
    <col min="323" max="328" width="2.8984375" bestFit="1" customWidth="1"/>
    <col min="329" max="329" width="17.296875" bestFit="1" customWidth="1"/>
    <col min="330" max="330" width="19.69921875" bestFit="1" customWidth="1"/>
    <col min="331" max="340" width="2.8984375" bestFit="1" customWidth="1"/>
    <col min="341" max="341" width="22.8984375" bestFit="1" customWidth="1"/>
    <col min="342" max="342" width="22.59765625" bestFit="1" customWidth="1"/>
    <col min="343" max="352" width="2.8984375" bestFit="1" customWidth="1"/>
    <col min="353" max="353" width="25.8984375" bestFit="1" customWidth="1"/>
    <col min="354" max="354" width="17.09765625" bestFit="1" customWidth="1"/>
    <col min="355" max="359" width="2.8984375" bestFit="1" customWidth="1"/>
    <col min="360" max="360" width="20.296875" bestFit="1" customWidth="1"/>
    <col min="361" max="361" width="25.796875" bestFit="1" customWidth="1"/>
    <col min="362" max="367" width="2.8984375" bestFit="1" customWidth="1"/>
    <col min="368" max="368" width="29" bestFit="1" customWidth="1"/>
    <col min="369" max="369" width="22.296875" bestFit="1" customWidth="1"/>
    <col min="370" max="376" width="2.8984375" bestFit="1" customWidth="1"/>
    <col min="377" max="377" width="25.59765625" bestFit="1" customWidth="1"/>
    <col min="378" max="378" width="22.59765625" bestFit="1" customWidth="1"/>
    <col min="379" max="388" width="2.8984375" bestFit="1" customWidth="1"/>
    <col min="389" max="389" width="25.8984375" bestFit="1" customWidth="1"/>
    <col min="390" max="390" width="21.59765625" bestFit="1" customWidth="1"/>
    <col min="391" max="399" width="2.8984375" bestFit="1" customWidth="1"/>
    <col min="400" max="400" width="24.796875" bestFit="1" customWidth="1"/>
    <col min="401" max="401" width="21.8984375" bestFit="1" customWidth="1"/>
    <col min="402" max="406" width="2.8984375" bestFit="1" customWidth="1"/>
    <col min="407" max="407" width="25.09765625" bestFit="1" customWidth="1"/>
    <col min="408" max="408" width="21.09765625" bestFit="1" customWidth="1"/>
    <col min="409" max="417" width="2.8984375" bestFit="1" customWidth="1"/>
    <col min="418" max="418" width="24.296875" bestFit="1" customWidth="1"/>
    <col min="419" max="419" width="13.09765625" bestFit="1" customWidth="1"/>
    <col min="420" max="425" width="2.8984375" bestFit="1" customWidth="1"/>
    <col min="426" max="426" width="16.296875" bestFit="1" customWidth="1"/>
    <col min="427" max="427" width="15.19921875" bestFit="1" customWidth="1"/>
    <col min="428" max="438" width="2.8984375" bestFit="1" customWidth="1"/>
    <col min="439" max="439" width="18.3984375" bestFit="1" customWidth="1"/>
    <col min="440" max="440" width="13" bestFit="1" customWidth="1"/>
    <col min="441" max="449" width="2.8984375" bestFit="1" customWidth="1"/>
    <col min="450" max="450" width="16.19921875" bestFit="1" customWidth="1"/>
    <col min="451" max="451" width="20.09765625" bestFit="1" customWidth="1"/>
    <col min="452" max="457" width="2.8984375" bestFit="1" customWidth="1"/>
    <col min="458" max="458" width="23.296875" bestFit="1" customWidth="1"/>
    <col min="459" max="459" width="28.19921875" bestFit="1" customWidth="1"/>
    <col min="460" max="460" width="2.8984375" bestFit="1" customWidth="1"/>
    <col min="461" max="461" width="31.3984375" bestFit="1" customWidth="1"/>
    <col min="462" max="462" width="23" bestFit="1" customWidth="1"/>
    <col min="463" max="470" width="2.8984375" bestFit="1" customWidth="1"/>
    <col min="471" max="471" width="26.19921875" bestFit="1" customWidth="1"/>
    <col min="472" max="472" width="25.19921875" bestFit="1" customWidth="1"/>
    <col min="473" max="482" width="2.8984375" bestFit="1" customWidth="1"/>
    <col min="483" max="483" width="28.3984375" bestFit="1" customWidth="1"/>
    <col min="484" max="484" width="27.59765625" bestFit="1" customWidth="1"/>
    <col min="485" max="496" width="2.8984375" bestFit="1" customWidth="1"/>
    <col min="497" max="497" width="30.796875" bestFit="1" customWidth="1"/>
    <col min="498" max="498" width="26.796875" bestFit="1" customWidth="1"/>
    <col min="499" max="506" width="2.8984375" bestFit="1" customWidth="1"/>
    <col min="507" max="507" width="30.09765625" bestFit="1" customWidth="1"/>
    <col min="508" max="508" width="22.69921875" bestFit="1" customWidth="1"/>
    <col min="509" max="516" width="2.8984375" bestFit="1" customWidth="1"/>
    <col min="517" max="517" width="26" bestFit="1" customWidth="1"/>
    <col min="518" max="518" width="22" bestFit="1" customWidth="1"/>
    <col min="519" max="527" width="2.8984375" bestFit="1" customWidth="1"/>
    <col min="528" max="528" width="25.296875" bestFit="1" customWidth="1"/>
    <col min="529" max="529" width="21.5" bestFit="1" customWidth="1"/>
    <col min="530" max="540" width="2.8984375" bestFit="1" customWidth="1"/>
    <col min="541" max="541" width="24.69921875" bestFit="1" customWidth="1"/>
    <col min="542" max="542" width="23.296875" bestFit="1" customWidth="1"/>
    <col min="543" max="547" width="2.8984375" bestFit="1" customWidth="1"/>
    <col min="548" max="548" width="26.5" bestFit="1" customWidth="1"/>
    <col min="549" max="549" width="24" bestFit="1" customWidth="1"/>
    <col min="550" max="556" width="2.8984375" bestFit="1" customWidth="1"/>
    <col min="557" max="557" width="27.19921875" bestFit="1" customWidth="1"/>
    <col min="558" max="558" width="24" bestFit="1" customWidth="1"/>
    <col min="559" max="572" width="2.8984375" bestFit="1" customWidth="1"/>
    <col min="573" max="573" width="27.19921875" bestFit="1" customWidth="1"/>
    <col min="574" max="574" width="23" bestFit="1" customWidth="1"/>
    <col min="575" max="576" width="2.8984375" bestFit="1" customWidth="1"/>
    <col min="577" max="577" width="26.19921875" bestFit="1" customWidth="1"/>
    <col min="578" max="578" width="23" bestFit="1" customWidth="1"/>
    <col min="579" max="586" width="2.8984375" bestFit="1" customWidth="1"/>
    <col min="587" max="587" width="26.19921875" bestFit="1" customWidth="1"/>
    <col min="588" max="588" width="23.19921875" bestFit="1" customWidth="1"/>
    <col min="589" max="594" width="2.8984375" bestFit="1" customWidth="1"/>
    <col min="595" max="595" width="26.3984375" bestFit="1" customWidth="1"/>
    <col min="596" max="596" width="19.3984375" bestFit="1" customWidth="1"/>
    <col min="597" max="605" width="2.8984375" bestFit="1" customWidth="1"/>
    <col min="606" max="606" width="22.59765625" bestFit="1" customWidth="1"/>
    <col min="607" max="607" width="21.5" bestFit="1" customWidth="1"/>
    <col min="608" max="616" width="2.8984375" bestFit="1" customWidth="1"/>
    <col min="617" max="617" width="24.69921875" bestFit="1" customWidth="1"/>
    <col min="618" max="618" width="21.69921875" bestFit="1" customWidth="1"/>
    <col min="619" max="625" width="2.8984375" bestFit="1" customWidth="1"/>
    <col min="626" max="626" width="24.8984375" bestFit="1" customWidth="1"/>
    <col min="627" max="627" width="20.8984375" bestFit="1" customWidth="1"/>
    <col min="628" max="632" width="2.8984375" bestFit="1" customWidth="1"/>
    <col min="633" max="633" width="24.09765625" bestFit="1" customWidth="1"/>
    <col min="634" max="634" width="20.296875" bestFit="1" customWidth="1"/>
    <col min="635" max="643" width="2.8984375" bestFit="1" customWidth="1"/>
    <col min="644" max="644" width="23.5" bestFit="1" customWidth="1"/>
    <col min="645" max="645" width="13.09765625" bestFit="1" customWidth="1"/>
    <col min="646" max="656" width="2.8984375" bestFit="1" customWidth="1"/>
    <col min="657" max="657" width="16.296875" bestFit="1" customWidth="1"/>
    <col min="658" max="658" width="13" bestFit="1" customWidth="1"/>
    <col min="659" max="665" width="2.8984375" bestFit="1" customWidth="1"/>
    <col min="666" max="666" width="16.19921875" bestFit="1" customWidth="1"/>
    <col min="667" max="667" width="26.59765625" bestFit="1" customWidth="1"/>
    <col min="668" max="675" width="2.8984375" bestFit="1" customWidth="1"/>
    <col min="676" max="676" width="29.8984375" bestFit="1" customWidth="1"/>
    <col min="677" max="677" width="21.19921875" bestFit="1" customWidth="1"/>
    <col min="678" max="694" width="2.8984375" bestFit="1" customWidth="1"/>
    <col min="695" max="695" width="24.3984375" bestFit="1" customWidth="1"/>
    <col min="696" max="696" width="22.69921875" bestFit="1" customWidth="1"/>
    <col min="697" max="700" width="2.8984375" bestFit="1" customWidth="1"/>
    <col min="701" max="701" width="26" bestFit="1" customWidth="1"/>
    <col min="702" max="702" width="32.296875" bestFit="1" customWidth="1"/>
    <col min="703" max="703" width="2.8984375" bestFit="1" customWidth="1"/>
    <col min="704" max="704" width="35.5" bestFit="1" customWidth="1"/>
    <col min="705" max="705" width="34.296875" bestFit="1" customWidth="1"/>
    <col min="706" max="712" width="2.8984375" bestFit="1" customWidth="1"/>
    <col min="713" max="713" width="37.59765625" bestFit="1" customWidth="1"/>
    <col min="714" max="714" width="32.19921875" bestFit="1" customWidth="1"/>
    <col min="715" max="721" width="2.8984375" bestFit="1" customWidth="1"/>
    <col min="722" max="722" width="35.3984375" bestFit="1" customWidth="1"/>
    <col min="723" max="723" width="24.19921875" bestFit="1" customWidth="1"/>
    <col min="724" max="725" width="2.8984375" bestFit="1" customWidth="1"/>
    <col min="726" max="726" width="27.3984375" bestFit="1" customWidth="1"/>
    <col min="727" max="727" width="24.09765625" bestFit="1" customWidth="1"/>
    <col min="728" max="732" width="2.8984375" bestFit="1" customWidth="1"/>
    <col min="733" max="733" width="27.296875" bestFit="1" customWidth="1"/>
    <col min="734" max="734" width="18.59765625" bestFit="1" customWidth="1"/>
    <col min="735" max="741" width="2.8984375" bestFit="1" customWidth="1"/>
    <col min="742" max="742" width="21.8984375" bestFit="1" customWidth="1"/>
    <col min="743" max="743" width="17.19921875" bestFit="1" customWidth="1"/>
    <col min="744" max="754" width="2.8984375" bestFit="1" customWidth="1"/>
    <col min="755" max="755" width="20.3984375" bestFit="1" customWidth="1"/>
    <col min="756" max="756" width="19.296875" bestFit="1" customWidth="1"/>
    <col min="757" max="764" width="2.8984375" bestFit="1" customWidth="1"/>
    <col min="765" max="765" width="22.5" bestFit="1" customWidth="1"/>
    <col min="766" max="766" width="17.09765625" bestFit="1" customWidth="1"/>
    <col min="767" max="776" width="2.8984375" bestFit="1" customWidth="1"/>
    <col min="777" max="777" width="20.296875" bestFit="1" customWidth="1"/>
    <col min="778" max="778" width="25" bestFit="1" customWidth="1"/>
    <col min="779" max="783" width="2.8984375" bestFit="1" customWidth="1"/>
    <col min="784" max="784" width="28.19921875" bestFit="1" customWidth="1"/>
    <col min="785" max="785" width="21.69921875" bestFit="1" customWidth="1"/>
    <col min="786" max="788" width="2.8984375" bestFit="1" customWidth="1"/>
    <col min="789" max="789" width="24.8984375" bestFit="1" customWidth="1"/>
    <col min="790" max="790" width="24.09765625" bestFit="1" customWidth="1"/>
    <col min="791" max="792" width="2.8984375" bestFit="1" customWidth="1"/>
    <col min="793" max="793" width="27.296875" bestFit="1" customWidth="1"/>
    <col min="794" max="794" width="28.296875" bestFit="1" customWidth="1"/>
    <col min="795" max="798" width="2.8984375" bestFit="1" customWidth="1"/>
    <col min="799" max="799" width="31.5" bestFit="1" customWidth="1"/>
    <col min="800" max="800" width="29.09765625" bestFit="1" customWidth="1"/>
    <col min="801" max="802" width="2.8984375" bestFit="1" customWidth="1"/>
    <col min="803" max="803" width="32.296875" bestFit="1" customWidth="1"/>
    <col min="804" max="804" width="20.19921875" bestFit="1" customWidth="1"/>
    <col min="805" max="806" width="2.8984375" bestFit="1" customWidth="1"/>
    <col min="807" max="807" width="23.3984375" bestFit="1" customWidth="1"/>
    <col min="808" max="808" width="19.3984375" bestFit="1" customWidth="1"/>
    <col min="809" max="809" width="2.8984375" bestFit="1" customWidth="1"/>
    <col min="810" max="810" width="22.59765625" bestFit="1" customWidth="1"/>
    <col min="811" max="811" width="25.296875" bestFit="1" customWidth="1"/>
    <col min="812" max="819" width="2.8984375" bestFit="1" customWidth="1"/>
    <col min="820" max="820" width="28.5" bestFit="1" customWidth="1"/>
    <col min="821" max="821" width="25.296875" bestFit="1" customWidth="1"/>
    <col min="822" max="826" width="2.8984375" bestFit="1" customWidth="1"/>
    <col min="827" max="827" width="28.5" bestFit="1" customWidth="1"/>
    <col min="828" max="828" width="22.09765625" bestFit="1" customWidth="1"/>
    <col min="829" max="829" width="2.8984375" bestFit="1" customWidth="1"/>
    <col min="830" max="830" width="25.3984375" bestFit="1" customWidth="1"/>
    <col min="831" max="831" width="14.296875" bestFit="1" customWidth="1"/>
    <col min="832" max="842" width="2.8984375" bestFit="1" customWidth="1"/>
    <col min="843" max="843" width="17.59765625" bestFit="1" customWidth="1"/>
    <col min="844" max="844" width="20.19921875" bestFit="1" customWidth="1"/>
    <col min="845" max="856" width="2.8984375" bestFit="1" customWidth="1"/>
    <col min="857" max="857" width="23.3984375" bestFit="1" customWidth="1"/>
    <col min="858" max="858" width="28.296875" bestFit="1" customWidth="1"/>
    <col min="859" max="861" width="2.8984375" bestFit="1" customWidth="1"/>
    <col min="862" max="862" width="31.5" bestFit="1" customWidth="1"/>
    <col min="863" max="863" width="23.09765625" bestFit="1" customWidth="1"/>
    <col min="864" max="870" width="2.8984375" bestFit="1" customWidth="1"/>
    <col min="871" max="871" width="26.296875" bestFit="1" customWidth="1"/>
    <col min="872" max="872" width="25.296875" bestFit="1" customWidth="1"/>
    <col min="873" max="880" width="2.8984375" bestFit="1" customWidth="1"/>
    <col min="881" max="881" width="28.5" bestFit="1" customWidth="1"/>
    <col min="882" max="882" width="28.69921875" bestFit="1" customWidth="1"/>
    <col min="883" max="891" width="2.8984375" bestFit="1" customWidth="1"/>
    <col min="892" max="892" width="31.8984375" bestFit="1" customWidth="1"/>
    <col min="893" max="893" width="32.8984375" bestFit="1" customWidth="1"/>
    <col min="894" max="898" width="2.8984375" bestFit="1" customWidth="1"/>
    <col min="899" max="899" width="36.09765625" bestFit="1" customWidth="1"/>
    <col min="900" max="900" width="26" bestFit="1" customWidth="1"/>
    <col min="901" max="904" width="2.8984375" bestFit="1" customWidth="1"/>
    <col min="905" max="905" width="29.19921875" bestFit="1" customWidth="1"/>
    <col min="906" max="906" width="18.59765625" bestFit="1" customWidth="1"/>
    <col min="907" max="916" width="2.8984375" bestFit="1" customWidth="1"/>
    <col min="917" max="917" width="21.8984375" bestFit="1" customWidth="1"/>
    <col min="918" max="918" width="20.69921875" bestFit="1" customWidth="1"/>
    <col min="919" max="931" width="2.8984375" bestFit="1" customWidth="1"/>
    <col min="932" max="932" width="23.8984375" bestFit="1" customWidth="1"/>
    <col min="933" max="933" width="18.5" bestFit="1" customWidth="1"/>
    <col min="934" max="952" width="2.8984375" bestFit="1" customWidth="1"/>
    <col min="953" max="953" width="21.796875" bestFit="1" customWidth="1"/>
    <col min="954" max="954" width="19.3984375" bestFit="1" customWidth="1"/>
    <col min="955" max="962" width="2.8984375" bestFit="1" customWidth="1"/>
    <col min="963" max="963" width="22.59765625" bestFit="1" customWidth="1"/>
    <col min="964" max="964" width="21.3984375" bestFit="1" customWidth="1"/>
    <col min="965" max="971" width="2.8984375" bestFit="1" customWidth="1"/>
    <col min="972" max="972" width="24.59765625" bestFit="1" customWidth="1"/>
    <col min="973" max="973" width="19.296875" bestFit="1" customWidth="1"/>
    <col min="974" max="987" width="2.8984375" bestFit="1" customWidth="1"/>
    <col min="988" max="988" width="22.5" bestFit="1" customWidth="1"/>
    <col min="989" max="989" width="16.69921875" bestFit="1" customWidth="1"/>
    <col min="990" max="1002" width="2.8984375" bestFit="1" customWidth="1"/>
    <col min="1003" max="1003" width="19.8984375" bestFit="1" customWidth="1"/>
    <col min="1004" max="1004" width="18.796875" bestFit="1" customWidth="1"/>
    <col min="1005" max="1013" width="2.8984375" bestFit="1" customWidth="1"/>
    <col min="1014" max="1014" width="22" bestFit="1" customWidth="1"/>
    <col min="1015" max="1015" width="16.59765625" bestFit="1" customWidth="1"/>
    <col min="1016" max="1023" width="2.8984375" bestFit="1" customWidth="1"/>
    <col min="1024" max="1024" width="19.796875" bestFit="1" customWidth="1"/>
    <col min="1025" max="1025" width="32.09765625" bestFit="1" customWidth="1"/>
    <col min="1026" max="1033" width="2.8984375" bestFit="1" customWidth="1"/>
    <col min="1034" max="1034" width="35.296875" bestFit="1" customWidth="1"/>
    <col min="1035" max="1035" width="31.3984375" bestFit="1" customWidth="1"/>
    <col min="1036" max="1039" width="2.8984375" bestFit="1" customWidth="1"/>
    <col min="1040" max="1040" width="34.59765625" bestFit="1" customWidth="1"/>
    <col min="1041" max="1041" width="27.5" bestFit="1" customWidth="1"/>
    <col min="1042" max="1046" width="2.8984375" bestFit="1" customWidth="1"/>
    <col min="1047" max="1047" width="30.69921875" bestFit="1" customWidth="1"/>
    <col min="1048" max="1048" width="27.5" bestFit="1" customWidth="1"/>
    <col min="1049" max="1058" width="2.8984375" bestFit="1" customWidth="1"/>
    <col min="1059" max="1059" width="30.69921875" bestFit="1" customWidth="1"/>
    <col min="1060" max="1060" width="21.296875" bestFit="1" customWidth="1"/>
    <col min="1061" max="1072" width="2.8984375" bestFit="1" customWidth="1"/>
    <col min="1073" max="1073" width="24.5" bestFit="1" customWidth="1"/>
    <col min="1074" max="1074" width="21.5" bestFit="1" customWidth="1"/>
    <col min="1075" max="1081" width="2.8984375" bestFit="1" customWidth="1"/>
    <col min="1082" max="1082" width="24.69921875" bestFit="1" customWidth="1"/>
    <col min="1083" max="1083" width="16.3984375" bestFit="1" customWidth="1"/>
    <col min="1084" max="1084" width="19.59765625" bestFit="1" customWidth="1"/>
    <col min="1085" max="1085" width="29.296875" bestFit="1" customWidth="1"/>
    <col min="1086" max="1088" width="2.8984375" bestFit="1" customWidth="1"/>
    <col min="1089" max="1089" width="32.5" bestFit="1" customWidth="1"/>
    <col min="1090" max="1090" width="24.3984375" bestFit="1" customWidth="1"/>
    <col min="1091" max="1093" width="2.8984375" bestFit="1" customWidth="1"/>
    <col min="1094" max="1094" width="27.59765625" bestFit="1" customWidth="1"/>
    <col min="1095" max="1095" width="28.09765625" bestFit="1" customWidth="1"/>
    <col min="1096" max="1099" width="2.8984375" bestFit="1" customWidth="1"/>
    <col min="1100" max="1100" width="31.296875" bestFit="1" customWidth="1"/>
    <col min="1101" max="1101" width="23.296875" bestFit="1" customWidth="1"/>
    <col min="1102" max="1105" width="2.8984375" bestFit="1" customWidth="1"/>
    <col min="1106" max="1106" width="26.5" bestFit="1" customWidth="1"/>
    <col min="1107" max="1107" width="25.296875" bestFit="1" customWidth="1"/>
    <col min="1108" max="1110" width="2.8984375" bestFit="1" customWidth="1"/>
    <col min="1111" max="1111" width="28.5" bestFit="1" customWidth="1"/>
    <col min="1112" max="1112" width="21.59765625" bestFit="1" customWidth="1"/>
    <col min="1113" max="1115" width="2.8984375" bestFit="1" customWidth="1"/>
    <col min="1116" max="1116" width="24.796875" bestFit="1" customWidth="1"/>
    <col min="1117" max="1117" width="24.3984375" bestFit="1" customWidth="1"/>
    <col min="1118" max="1118" width="2.8984375" bestFit="1" customWidth="1"/>
    <col min="1119" max="1119" width="27.59765625" bestFit="1" customWidth="1"/>
    <col min="1120" max="1120" width="20.3984375" bestFit="1" customWidth="1"/>
    <col min="1121" max="1122" width="2.8984375" bestFit="1" customWidth="1"/>
    <col min="1123" max="1123" width="23.59765625" bestFit="1" customWidth="1"/>
    <col min="1124" max="1124" width="24.3984375" bestFit="1" customWidth="1"/>
    <col min="1125" max="1127" width="2.8984375" bestFit="1" customWidth="1"/>
    <col min="1128" max="1128" width="27.59765625" bestFit="1" customWidth="1"/>
    <col min="1129" max="1129" width="18.59765625" bestFit="1" customWidth="1"/>
    <col min="1130" max="1140" width="2.8984375" bestFit="1" customWidth="1"/>
    <col min="1141" max="1141" width="21.8984375" bestFit="1" customWidth="1"/>
    <col min="1142" max="1142" width="20.69921875" bestFit="1" customWidth="1"/>
    <col min="1143" max="1151" width="2.8984375" bestFit="1" customWidth="1"/>
    <col min="1152" max="1152" width="23.8984375" bestFit="1" customWidth="1"/>
    <col min="1153" max="1153" width="18.5" bestFit="1" customWidth="1"/>
    <col min="1154" max="1165" width="2.8984375" bestFit="1" customWidth="1"/>
    <col min="1166" max="1166" width="21.796875" bestFit="1" customWidth="1"/>
    <col min="1167" max="1167" width="25.5" bestFit="1" customWidth="1"/>
    <col min="1168" max="1174" width="2.8984375" bestFit="1" customWidth="1"/>
    <col min="1175" max="1175" width="28.69921875" bestFit="1" customWidth="1"/>
    <col min="1176" max="1176" width="27.59765625" bestFit="1" customWidth="1"/>
    <col min="1177" max="1188" width="2.8984375" bestFit="1" customWidth="1"/>
    <col min="1189" max="1189" width="30.796875" bestFit="1" customWidth="1"/>
    <col min="1190" max="1190" width="25.3984375" bestFit="1" customWidth="1"/>
    <col min="1191" max="1203" width="2.8984375" bestFit="1" customWidth="1"/>
    <col min="1204" max="1204" width="28.59765625" bestFit="1" customWidth="1"/>
    <col min="1205" max="1205" width="14" bestFit="1" customWidth="1"/>
    <col min="1206" max="1212" width="2.8984375" bestFit="1" customWidth="1"/>
    <col min="1213" max="1213" width="17.296875" bestFit="1" customWidth="1"/>
    <col min="1214" max="1214" width="21.8984375" bestFit="1" customWidth="1"/>
    <col min="1215" max="1217" width="2.8984375" bestFit="1" customWidth="1"/>
    <col min="1218" max="1218" width="25.09765625" bestFit="1" customWidth="1"/>
    <col min="1219" max="1219" width="21.796875" bestFit="1" customWidth="1"/>
    <col min="1220" max="1223" width="2.8984375" bestFit="1" customWidth="1"/>
    <col min="1224" max="1224" width="25" bestFit="1" customWidth="1"/>
    <col min="1225" max="1225" width="27.3984375" bestFit="1" customWidth="1"/>
    <col min="1226" max="1226" width="2.8984375" bestFit="1" customWidth="1"/>
    <col min="1227" max="1227" width="30.59765625" bestFit="1" customWidth="1"/>
    <col min="1228" max="1228" width="26.59765625" bestFit="1" customWidth="1"/>
    <col min="1229" max="1242" width="2.8984375" bestFit="1" customWidth="1"/>
    <col min="1243" max="1243" width="29.8984375" bestFit="1" customWidth="1"/>
    <col min="1244" max="1244" width="22.09765625" bestFit="1" customWidth="1"/>
    <col min="1245" max="1248" width="2.8984375" bestFit="1" customWidth="1"/>
    <col min="1249" max="1249" width="25.3984375" bestFit="1" customWidth="1"/>
    <col min="1250" max="1250" width="19.69921875" bestFit="1" customWidth="1"/>
    <col min="1251" max="1256" width="2.8984375" bestFit="1" customWidth="1"/>
    <col min="1257" max="1257" width="22.8984375" bestFit="1" customWidth="1"/>
    <col min="1258" max="1258" width="28.5" bestFit="1" customWidth="1"/>
    <col min="1259" max="1260" width="2.8984375" bestFit="1" customWidth="1"/>
    <col min="1261" max="1261" width="31.69921875" bestFit="1" customWidth="1"/>
    <col min="1262" max="1262" width="16.59765625" bestFit="1" customWidth="1"/>
    <col min="1263" max="1274" width="2.8984375" bestFit="1" customWidth="1"/>
    <col min="1275" max="1275" width="19.796875" bestFit="1" customWidth="1"/>
    <col min="1276" max="1276" width="12.69921875" bestFit="1" customWidth="1"/>
    <col min="1277" max="1282" width="2.8984375" bestFit="1" customWidth="1"/>
    <col min="1283" max="1283" width="15.8984375" bestFit="1" customWidth="1"/>
    <col min="1284" max="1284" width="31.296875" bestFit="1" customWidth="1"/>
    <col min="1285" max="1295" width="2.8984375" bestFit="1" customWidth="1"/>
    <col min="1296" max="1296" width="34.5" bestFit="1" customWidth="1"/>
    <col min="1297" max="1297" width="30.5" bestFit="1" customWidth="1"/>
    <col min="1298" max="1306" width="2.8984375" bestFit="1" customWidth="1"/>
    <col min="1307" max="1307" width="33.796875" bestFit="1" customWidth="1"/>
    <col min="1308" max="1308" width="16.09765625" bestFit="1" customWidth="1"/>
    <col min="1309" max="1314" width="2.8984375" bestFit="1" customWidth="1"/>
    <col min="1315" max="1315" width="19.296875" bestFit="1" customWidth="1"/>
    <col min="1316" max="1316" width="24.19921875" bestFit="1" customWidth="1"/>
    <col min="1317" max="1326" width="2.8984375" bestFit="1" customWidth="1"/>
    <col min="1327" max="1327" width="27.3984375" bestFit="1" customWidth="1"/>
    <col min="1328" max="1328" width="26.19921875" bestFit="1" customWidth="1"/>
    <col min="1329" max="1335" width="2.8984375" bestFit="1" customWidth="1"/>
    <col min="1336" max="1336" width="29.5" bestFit="1" customWidth="1"/>
    <col min="1337" max="1337" width="24.09765625" bestFit="1" customWidth="1"/>
    <col min="1338" max="1344" width="2.8984375" bestFit="1" customWidth="1"/>
    <col min="1345" max="1345" width="27.296875" bestFit="1" customWidth="1"/>
    <col min="1346" max="1346" width="13.8984375" bestFit="1" customWidth="1"/>
    <col min="1347" max="1355" width="2.8984375" bestFit="1" customWidth="1"/>
    <col min="1356" max="1356" width="17.19921875" bestFit="1" customWidth="1"/>
    <col min="1357" max="1357" width="22.59765625" bestFit="1" customWidth="1"/>
    <col min="1358" max="1360" width="2.8984375" bestFit="1" customWidth="1"/>
    <col min="1361" max="1361" width="25.8984375" bestFit="1" customWidth="1"/>
    <col min="1362" max="1362" width="20.09765625" bestFit="1" customWidth="1"/>
    <col min="1363" max="1371" width="2.8984375" bestFit="1" customWidth="1"/>
    <col min="1372" max="1372" width="23.296875" bestFit="1" customWidth="1"/>
    <col min="1373" max="1373" width="22.09765625" bestFit="1" customWidth="1"/>
    <col min="1374" max="1380" width="2.8984375" bestFit="1" customWidth="1"/>
    <col min="1381" max="1381" width="25.3984375" bestFit="1" customWidth="1"/>
    <col min="1382" max="1382" width="20" bestFit="1" customWidth="1"/>
    <col min="1383" max="1389" width="2.8984375" bestFit="1" customWidth="1"/>
    <col min="1390" max="1390" width="23.19921875" bestFit="1" customWidth="1"/>
    <col min="1391" max="1391" width="14.19921875" bestFit="1" customWidth="1"/>
    <col min="1392" max="1403" width="2.8984375" bestFit="1" customWidth="1"/>
    <col min="1404" max="1404" width="17.5" bestFit="1" customWidth="1"/>
    <col min="1405" max="1405" width="27" bestFit="1" customWidth="1"/>
    <col min="1406" max="1418" width="2.8984375" bestFit="1" customWidth="1"/>
    <col min="1419" max="1419" width="30.19921875" bestFit="1" customWidth="1"/>
    <col min="1420" max="1420" width="26.19921875" bestFit="1" customWidth="1"/>
    <col min="1421" max="1433" width="2.8984375" bestFit="1" customWidth="1"/>
    <col min="1434" max="1434" width="29.5" bestFit="1" customWidth="1"/>
    <col min="1435" max="1435" width="18.09765625" bestFit="1" customWidth="1"/>
    <col min="1436" max="1437" width="2.8984375" bestFit="1" customWidth="1"/>
    <col min="1438" max="1438" width="21.3984375" bestFit="1" customWidth="1"/>
    <col min="1439" max="1439" width="18.09765625" bestFit="1" customWidth="1"/>
    <col min="1440" max="1448" width="2.8984375" bestFit="1" customWidth="1"/>
    <col min="1449" max="1449" width="21.3984375" bestFit="1" customWidth="1"/>
    <col min="1450" max="1450" width="20.19921875" bestFit="1" customWidth="1"/>
    <col min="1451" max="1465" width="2.8984375" bestFit="1" customWidth="1"/>
    <col min="1466" max="1466" width="23.3984375" bestFit="1" customWidth="1"/>
    <col min="1467" max="1467" width="18" bestFit="1" customWidth="1"/>
    <col min="1468" max="1478" width="2.8984375" bestFit="1" customWidth="1"/>
    <col min="1479" max="1479" width="21.296875" bestFit="1" customWidth="1"/>
    <col min="1480" max="1480" width="28.296875" bestFit="1" customWidth="1"/>
    <col min="1481" max="1487" width="2.8984375" bestFit="1" customWidth="1"/>
    <col min="1488" max="1488" width="31.5" bestFit="1" customWidth="1"/>
    <col min="1489" max="1489" width="24.19921875" bestFit="1" customWidth="1"/>
    <col min="1490" max="1492" width="2.8984375" bestFit="1" customWidth="1"/>
    <col min="1493" max="1493" width="27.3984375" bestFit="1" customWidth="1"/>
    <col min="1494" max="1494" width="20.69921875" bestFit="1" customWidth="1"/>
    <col min="1495" max="1499" width="2.8984375" bestFit="1" customWidth="1"/>
    <col min="1500" max="1500" width="23.8984375" bestFit="1" customWidth="1"/>
    <col min="1501" max="1501" width="23.09765625" bestFit="1" customWidth="1"/>
    <col min="1502" max="1506" width="2.8984375" bestFit="1" customWidth="1"/>
    <col min="1507" max="1507" width="26.296875" bestFit="1" customWidth="1"/>
    <col min="1508" max="1508" width="23.09765625" bestFit="1" customWidth="1"/>
    <col min="1509" max="1516" width="2.8984375" bestFit="1" customWidth="1"/>
    <col min="1517" max="1517" width="26.296875" bestFit="1" customWidth="1"/>
    <col min="1518" max="1518" width="25.09765625" bestFit="1" customWidth="1"/>
    <col min="1519" max="1526" width="2.8984375" bestFit="1" customWidth="1"/>
    <col min="1527" max="1527" width="28.296875" bestFit="1" customWidth="1"/>
    <col min="1528" max="1528" width="23" bestFit="1" customWidth="1"/>
    <col min="1529" max="1534" width="2.8984375" bestFit="1" customWidth="1"/>
    <col min="1535" max="1535" width="26.19921875" bestFit="1" customWidth="1"/>
    <col min="1536" max="1536" width="18.5" bestFit="1" customWidth="1"/>
    <col min="1537" max="1544" width="2.8984375" bestFit="1" customWidth="1"/>
    <col min="1545" max="1545" width="21.796875" bestFit="1" customWidth="1"/>
    <col min="1546" max="1546" width="18.8984375" bestFit="1" customWidth="1"/>
    <col min="1547" max="1558" width="2.8984375" bestFit="1" customWidth="1"/>
    <col min="1559" max="1559" width="22.09765625" bestFit="1" customWidth="1"/>
    <col min="1560" max="1560" width="28.296875" bestFit="1" customWidth="1"/>
    <col min="1561" max="1570" width="2.8984375" bestFit="1" customWidth="1"/>
    <col min="1571" max="1571" width="31.5" bestFit="1" customWidth="1"/>
    <col min="1572" max="1572" width="27.59765625" bestFit="1" customWidth="1"/>
    <col min="1573" max="1581" width="2.8984375" bestFit="1" customWidth="1"/>
    <col min="1582" max="1582" width="30.796875" bestFit="1" customWidth="1"/>
    <col min="1583" max="1583" width="25.09765625" bestFit="1" customWidth="1"/>
    <col min="1584" max="1584" width="2.8984375" bestFit="1" customWidth="1"/>
    <col min="1585" max="1585" width="28.296875" bestFit="1" customWidth="1"/>
    <col min="1586" max="1586" width="32.09765625" bestFit="1" customWidth="1"/>
    <col min="1587" max="1597" width="2.8984375" bestFit="1" customWidth="1"/>
    <col min="1598" max="1598" width="35.296875" bestFit="1" customWidth="1"/>
    <col min="1599" max="1599" width="17.296875" bestFit="1" customWidth="1"/>
    <col min="1600" max="1604" width="2.8984375" bestFit="1" customWidth="1"/>
    <col min="1605" max="1605" width="20.5" bestFit="1" customWidth="1"/>
    <col min="1606" max="1606" width="19.296875" bestFit="1" customWidth="1"/>
    <col min="1607" max="1613" width="2.8984375" bestFit="1" customWidth="1"/>
    <col min="1614" max="1614" width="22.5" bestFit="1" customWidth="1"/>
    <col min="1615" max="1615" width="22.09765625" bestFit="1" customWidth="1"/>
    <col min="1616" max="1620" width="2.8984375" bestFit="1" customWidth="1"/>
    <col min="1621" max="1621" width="25.3984375" bestFit="1" customWidth="1"/>
    <col min="1622" max="1622" width="20.59765625" bestFit="1" customWidth="1"/>
    <col min="1623" max="1626" width="2.8984375" bestFit="1" customWidth="1"/>
    <col min="1627" max="1627" width="23.796875" bestFit="1" customWidth="1"/>
    <col min="1628" max="1628" width="24.3984375" bestFit="1" customWidth="1"/>
    <col min="1629" max="1638" width="2.8984375" bestFit="1" customWidth="1"/>
    <col min="1639" max="1639" width="27.59765625" bestFit="1" customWidth="1"/>
    <col min="1640" max="1640" width="21.69921875" bestFit="1" customWidth="1"/>
    <col min="1641" max="1645" width="2.8984375" bestFit="1" customWidth="1"/>
    <col min="1646" max="1646" width="24.8984375" bestFit="1" customWidth="1"/>
    <col min="1647" max="1647" width="21.69921875" bestFit="1" customWidth="1"/>
    <col min="1648" max="1658" width="2.8984375" bestFit="1" customWidth="1"/>
    <col min="1659" max="1659" width="24.8984375" bestFit="1" customWidth="1"/>
    <col min="1660" max="1660" width="20.69921875" bestFit="1" customWidth="1"/>
    <col min="1661" max="1669" width="2.8984375" bestFit="1" customWidth="1"/>
    <col min="1670" max="1670" width="23.8984375" bestFit="1" customWidth="1"/>
    <col min="1671" max="1671" width="20.69921875" bestFit="1" customWidth="1"/>
    <col min="1672" max="1682" width="2.8984375" bestFit="1" customWidth="1"/>
    <col min="1683" max="1683" width="23.8984375" bestFit="1" customWidth="1"/>
    <col min="1684" max="1684" width="17.5" bestFit="1" customWidth="1"/>
    <col min="1685" max="1685" width="2.8984375" bestFit="1" customWidth="1"/>
    <col min="1686" max="1686" width="20.69921875" bestFit="1" customWidth="1"/>
    <col min="1687" max="1687" width="30.8984375" bestFit="1" customWidth="1"/>
    <col min="1688" max="1701" width="2.8984375" bestFit="1" customWidth="1"/>
    <col min="1702" max="1702" width="34.19921875" bestFit="1" customWidth="1"/>
    <col min="1703" max="1703" width="30.19921875" bestFit="1" customWidth="1"/>
    <col min="1704" max="1712" width="2.8984375" bestFit="1" customWidth="1"/>
    <col min="1713" max="1713" width="33.5" bestFit="1" customWidth="1"/>
    <col min="1714" max="1714" width="29.09765625" bestFit="1" customWidth="1"/>
    <col min="1715" max="1726" width="2.8984375" bestFit="1" customWidth="1"/>
    <col min="1727" max="1727" width="32.296875" bestFit="1" customWidth="1"/>
    <col min="1728" max="1728" width="31.19921875" bestFit="1" customWidth="1"/>
    <col min="1729" max="1742" width="2.8984375" bestFit="1" customWidth="1"/>
    <col min="1743" max="1743" width="34.3984375" bestFit="1" customWidth="1"/>
    <col min="1744" max="1744" width="29" bestFit="1" customWidth="1"/>
    <col min="1745" max="1754" width="2.8984375" bestFit="1" customWidth="1"/>
    <col min="1755" max="1755" width="32.19921875" bestFit="1" customWidth="1"/>
    <col min="1756" max="1756" width="19.59765625" bestFit="1" customWidth="1"/>
    <col min="1757" max="1758" width="2.8984375" bestFit="1" customWidth="1"/>
    <col min="1759" max="1759" width="22.796875" bestFit="1" customWidth="1"/>
    <col min="1760" max="1760" width="14.296875" bestFit="1" customWidth="1"/>
    <col min="1761" max="1765" width="2.8984375" bestFit="1" customWidth="1"/>
    <col min="1766" max="1766" width="17.59765625" bestFit="1" customWidth="1"/>
    <col min="1767" max="1767" width="18.19921875" bestFit="1" customWidth="1"/>
    <col min="1768" max="1776" width="2.8984375" bestFit="1" customWidth="1"/>
    <col min="1777" max="1777" width="21.5" bestFit="1" customWidth="1"/>
    <col min="1778" max="1778" width="29.296875" bestFit="1" customWidth="1"/>
    <col min="1779" max="1782" width="2.8984375" bestFit="1" customWidth="1"/>
    <col min="1783" max="1783" width="32.5" bestFit="1" customWidth="1"/>
    <col min="1784" max="1784" width="31.3984375" bestFit="1" customWidth="1"/>
    <col min="1785" max="1790" width="2.8984375" bestFit="1" customWidth="1"/>
    <col min="1791" max="1791" width="34.59765625" bestFit="1" customWidth="1"/>
    <col min="1792" max="1792" width="29.19921875" bestFit="1" customWidth="1"/>
    <col min="1793" max="1799" width="2.8984375" bestFit="1" customWidth="1"/>
    <col min="1800" max="1800" width="32.3984375" bestFit="1" customWidth="1"/>
    <col min="1801" max="1801" width="21.19921875" bestFit="1" customWidth="1"/>
    <col min="1802" max="1805" width="2.8984375" bestFit="1" customWidth="1"/>
    <col min="1806" max="1806" width="24.3984375" bestFit="1" customWidth="1"/>
    <col min="1807" max="1807" width="21.09765625" bestFit="1" customWidth="1"/>
    <col min="1808" max="1814" width="2.8984375" bestFit="1" customWidth="1"/>
    <col min="1815" max="1815" width="24.296875" bestFit="1" customWidth="1"/>
    <col min="1816" max="1816" width="22.8984375" bestFit="1" customWidth="1"/>
    <col min="1817" max="1822" width="2.8984375" bestFit="1" customWidth="1"/>
    <col min="1823" max="1823" width="26.09765625" bestFit="1" customWidth="1"/>
    <col min="1824" max="1824" width="21.796875" bestFit="1" customWidth="1"/>
    <col min="1825" max="1833" width="2.8984375" bestFit="1" customWidth="1"/>
    <col min="1834" max="1834" width="25" bestFit="1" customWidth="1"/>
    <col min="1835" max="1835" width="11" bestFit="1" customWidth="1"/>
  </cols>
  <sheetData>
    <row r="1" spans="1:3">
      <c r="A1" s="6" t="s">
        <v>2257</v>
      </c>
      <c r="B1" t="s">
        <v>2259</v>
      </c>
      <c r="C1" t="s">
        <v>2260</v>
      </c>
    </row>
    <row r="2" spans="1:3">
      <c r="A2" s="7" t="s">
        <v>2261</v>
      </c>
      <c r="B2">
        <v>12937</v>
      </c>
      <c r="C2" s="5">
        <v>67927.269999999975</v>
      </c>
    </row>
    <row r="3" spans="1:3">
      <c r="A3" s="7" t="s">
        <v>2262</v>
      </c>
      <c r="B3">
        <v>12211</v>
      </c>
      <c r="C3" s="5">
        <v>65107.05999999999</v>
      </c>
    </row>
    <row r="4" spans="1:3">
      <c r="A4" s="7" t="s">
        <v>2263</v>
      </c>
      <c r="B4">
        <v>14191</v>
      </c>
      <c r="C4" s="5">
        <v>82412.34000000004</v>
      </c>
    </row>
    <row r="5" spans="1:3">
      <c r="A5" s="7" t="s">
        <v>2264</v>
      </c>
      <c r="B5">
        <v>11754</v>
      </c>
      <c r="C5" s="5">
        <v>64271.79000000003</v>
      </c>
    </row>
    <row r="6" spans="1:3">
      <c r="A6" s="7" t="s">
        <v>2265</v>
      </c>
      <c r="B6">
        <v>11464</v>
      </c>
      <c r="C6" s="5">
        <v>62401.240000000027</v>
      </c>
    </row>
    <row r="7" spans="1:3">
      <c r="A7" s="7" t="s">
        <v>2266</v>
      </c>
      <c r="B7">
        <v>12645</v>
      </c>
      <c r="C7" s="5">
        <v>66895.849999999933</v>
      </c>
    </row>
    <row r="8" spans="1:3">
      <c r="A8" s="7" t="s">
        <v>2267</v>
      </c>
      <c r="B8">
        <v>11605</v>
      </c>
      <c r="C8" s="5">
        <v>61779.049999999981</v>
      </c>
    </row>
    <row r="9" spans="1:3">
      <c r="A9" s="7" t="s">
        <v>2268</v>
      </c>
      <c r="B9">
        <v>12720</v>
      </c>
      <c r="C9" s="5">
        <v>66809.470000000045</v>
      </c>
    </row>
    <row r="10" spans="1:3">
      <c r="A10" s="7" t="s">
        <v>2258</v>
      </c>
      <c r="B10">
        <v>99527</v>
      </c>
      <c r="C10" s="5">
        <v>537604.07000000007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24CCE-4FD2-426E-AF31-ADB618A6A538}">
  <dimension ref="A1:B12"/>
  <sheetViews>
    <sheetView topLeftCell="A4" workbookViewId="0">
      <selection activeCell="B6" sqref="B6"/>
    </sheetView>
  </sheetViews>
  <sheetFormatPr defaultRowHeight="13.8"/>
  <cols>
    <col min="1" max="1" width="26.796875" bestFit="1" customWidth="1"/>
    <col min="2" max="2" width="19.59765625" bestFit="1" customWidth="1"/>
  </cols>
  <sheetData>
    <row r="1" spans="1:2">
      <c r="A1" s="6" t="s">
        <v>2257</v>
      </c>
      <c r="B1" t="s">
        <v>2259</v>
      </c>
    </row>
    <row r="2" spans="1:2">
      <c r="A2" s="7" t="s">
        <v>318</v>
      </c>
      <c r="B2">
        <v>1138</v>
      </c>
    </row>
    <row r="3" spans="1:2">
      <c r="A3" s="7" t="s">
        <v>302</v>
      </c>
      <c r="B3">
        <v>1113</v>
      </c>
    </row>
    <row r="4" spans="1:2">
      <c r="A4" s="7" t="s">
        <v>322</v>
      </c>
      <c r="B4">
        <v>999</v>
      </c>
    </row>
    <row r="5" spans="1:2">
      <c r="A5" s="7" t="s">
        <v>316</v>
      </c>
      <c r="B5">
        <v>994</v>
      </c>
    </row>
    <row r="6" spans="1:2">
      <c r="A6" s="7" t="s">
        <v>71</v>
      </c>
      <c r="B6">
        <v>979</v>
      </c>
    </row>
    <row r="7" spans="1:2">
      <c r="A7" s="7" t="s">
        <v>304</v>
      </c>
      <c r="B7">
        <v>955</v>
      </c>
    </row>
    <row r="8" spans="1:2">
      <c r="A8" s="7" t="s">
        <v>298</v>
      </c>
      <c r="B8">
        <v>943</v>
      </c>
    </row>
    <row r="9" spans="1:2">
      <c r="A9" s="7" t="s">
        <v>292</v>
      </c>
      <c r="B9">
        <v>941</v>
      </c>
    </row>
    <row r="10" spans="1:2">
      <c r="A10" s="7" t="s">
        <v>288</v>
      </c>
      <c r="B10">
        <v>881</v>
      </c>
    </row>
    <row r="11" spans="1:2">
      <c r="A11" s="7" t="s">
        <v>260</v>
      </c>
      <c r="B11">
        <v>877</v>
      </c>
    </row>
    <row r="12" spans="1:2">
      <c r="A12" s="7" t="s">
        <v>2258</v>
      </c>
      <c r="B12">
        <v>9820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A64A-AA6A-48E1-A7C3-3F77CF00D237}">
  <dimension ref="A3:B19"/>
  <sheetViews>
    <sheetView workbookViewId="0">
      <selection activeCell="J26" sqref="J26"/>
    </sheetView>
  </sheetViews>
  <sheetFormatPr defaultRowHeight="13.8"/>
  <cols>
    <col min="1" max="1" width="23" bestFit="1" customWidth="1"/>
    <col min="2" max="2" width="26.796875" bestFit="1" customWidth="1"/>
    <col min="3" max="3" width="7.09765625" bestFit="1" customWidth="1"/>
    <col min="4" max="4" width="10.19921875" bestFit="1" customWidth="1"/>
    <col min="5" max="5" width="7.8984375" bestFit="1" customWidth="1"/>
    <col min="6" max="6" width="11" bestFit="1" customWidth="1"/>
  </cols>
  <sheetData>
    <row r="3" spans="1:2">
      <c r="A3" s="6" t="s">
        <v>2257</v>
      </c>
      <c r="B3" t="s">
        <v>2260</v>
      </c>
    </row>
    <row r="4" spans="1:2">
      <c r="A4" s="7" t="s">
        <v>444</v>
      </c>
      <c r="B4" s="5">
        <v>226938.63999999993</v>
      </c>
    </row>
    <row r="5" spans="1:2">
      <c r="A5" s="8" t="s">
        <v>450</v>
      </c>
      <c r="B5" s="5">
        <v>108778.62999999993</v>
      </c>
    </row>
    <row r="6" spans="1:2">
      <c r="A6" s="8" t="s">
        <v>452</v>
      </c>
      <c r="B6" s="5">
        <v>49033.160000000011</v>
      </c>
    </row>
    <row r="7" spans="1:2">
      <c r="A7" s="8" t="s">
        <v>454</v>
      </c>
      <c r="B7" s="5">
        <v>41706.44999999999</v>
      </c>
    </row>
    <row r="8" spans="1:2">
      <c r="A8" s="8" t="s">
        <v>445</v>
      </c>
      <c r="B8" s="5">
        <v>27420.399999999998</v>
      </c>
    </row>
    <row r="9" spans="1:2">
      <c r="A9" s="7" t="s">
        <v>449</v>
      </c>
      <c r="B9" s="5">
        <v>177723.75000000003</v>
      </c>
    </row>
    <row r="10" spans="1:2">
      <c r="A10" s="8" t="s">
        <v>450</v>
      </c>
      <c r="B10" s="5">
        <v>82478.000000000029</v>
      </c>
    </row>
    <row r="11" spans="1:2">
      <c r="A11" s="8" t="s">
        <v>452</v>
      </c>
      <c r="B11" s="5">
        <v>41131.360000000015</v>
      </c>
    </row>
    <row r="12" spans="1:2">
      <c r="A12" s="8" t="s">
        <v>454</v>
      </c>
      <c r="B12" s="5">
        <v>32990.249999999993</v>
      </c>
    </row>
    <row r="13" spans="1:2">
      <c r="A13" s="8" t="s">
        <v>445</v>
      </c>
      <c r="B13" s="5">
        <v>21124.139999999992</v>
      </c>
    </row>
    <row r="14" spans="1:2">
      <c r="A14" s="7" t="s">
        <v>447</v>
      </c>
      <c r="B14" s="5">
        <v>132941.68</v>
      </c>
    </row>
    <row r="15" spans="1:2">
      <c r="A15" s="8" t="s">
        <v>450</v>
      </c>
      <c r="B15" s="5">
        <v>61218.850000000006</v>
      </c>
    </row>
    <row r="16" spans="1:2">
      <c r="A16" s="8" t="s">
        <v>452</v>
      </c>
      <c r="B16" s="5">
        <v>32173.319999999992</v>
      </c>
    </row>
    <row r="17" spans="1:2">
      <c r="A17" s="8" t="s">
        <v>454</v>
      </c>
      <c r="B17" s="5">
        <v>26382.19000000001</v>
      </c>
    </row>
    <row r="18" spans="1:2">
      <c r="A18" s="8" t="s">
        <v>445</v>
      </c>
      <c r="B18" s="5">
        <v>13167.320000000005</v>
      </c>
    </row>
    <row r="19" spans="1:2">
      <c r="A19" s="7" t="s">
        <v>2258</v>
      </c>
      <c r="B19" s="5">
        <v>537604.06999999995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Model Overview</vt:lpstr>
      <vt:lpstr>Products</vt:lpstr>
      <vt:lpstr>Supplier Mapping</vt:lpstr>
      <vt:lpstr>Sales</vt:lpstr>
      <vt:lpstr>Inventory for Aug-31</vt:lpstr>
      <vt:lpstr>Inventory Risk</vt:lpstr>
      <vt:lpstr>Order First</vt:lpstr>
      <vt:lpstr>Need Plan to Order</vt:lpstr>
      <vt:lpstr>Monthly Sales Trend </vt:lpstr>
      <vt:lpstr>Top 10 Selling Products</vt:lpstr>
      <vt:lpstr>Store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SAMSUNG</dc:creator>
  <cp:lastModifiedBy>Hoang Tri Nguyen</cp:lastModifiedBy>
  <dcterms:created xsi:type="dcterms:W3CDTF">2026-08-27T23:56:21Z</dcterms:created>
  <dcterms:modified xsi:type="dcterms:W3CDTF">2026-09-17T19:44:14Z</dcterms:modified>
</cp:coreProperties>
</file>